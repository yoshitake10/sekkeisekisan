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表紙(工事)" sheetId="1" state="visible" r:id="rId1"/>
    <sheet xmlns:r="http://schemas.openxmlformats.org/officeDocument/2006/relationships" name="内訳書(空調設備工事)" sheetId="2" state="visible" r:id="rId2"/>
    <sheet xmlns:r="http://schemas.openxmlformats.org/officeDocument/2006/relationships" name="法定福利費内訳明細書" sheetId="3" state="visible" r:id="rId3"/>
    <sheet xmlns:r="http://schemas.openxmlformats.org/officeDocument/2006/relationships" name="御見積条件" sheetId="4" state="visible" r:id="rId4"/>
    <sheet xmlns:r="http://schemas.openxmlformats.org/officeDocument/2006/relationships" name="数量拾い根拠(内部)" sheetId="5" state="visible" r:id="rId5"/>
    <sheet xmlns:r="http://schemas.openxmlformats.org/officeDocument/2006/relationships" name="単価マスタ(内部)" sheetId="6" state="visible" r:id="rId6"/>
  </sheets>
  <definedNames>
    <definedName name="COEF">'表紙(工事)'!$N$4</definedName>
    <definedName name="OVERHEAD_RATE">'表紙(工事)'!$N$5</definedName>
    <definedName name="ROUND_UNIT">'表紙(工事)'!$N$6</definedName>
    <definedName name="WELFARE_RATE">'法定福利費内訳明細書'!$E$29</definedName>
    <definedName name="LABOR_DAY">'表紙(工事)'!$N$8</definedName>
    <definedName name="TARGET">'表紙(工事)'!$N$9</definedName>
    <definedName name="_xlnm.Print_Area" localSheetId="0">'表紙(工事)'!$A$1:$L$40</definedName>
    <definedName name="_xlnm.Print_Titles" localSheetId="1">'内訳書(空調設備工事)'!$1:$3</definedName>
    <definedName name="_xlnm.Print_Area" localSheetId="1">'内訳書(空調設備工事)'!$A$1:$I$41</definedName>
    <definedName name="_xlnm.Print_Area" localSheetId="2">'法定福利費内訳明細書'!$B$1:$G$32</definedName>
    <definedName name="_xlnm.Print_Area" localSheetId="3">'御見積条件'!$A$1:$F$39</definedName>
    <definedName name="_xlnm.Print_Area" localSheetId="4">'数量拾い根拠(内部)'!$A$1:$F$38</definedName>
    <definedName name="_xlnm.Print_Area" localSheetId="5">'単価マスタ(内部)'!$A$1:$I$37</definedName>
  </definedNames>
  <calcPr calcId="124519" fullCalcOnLoad="1"/>
</workbook>
</file>

<file path=xl/styles.xml><?xml version="1.0" encoding="utf-8"?>
<styleSheet xmlns="http://schemas.openxmlformats.org/spreadsheetml/2006/main">
  <numFmts count="10">
    <numFmt numFmtId="164" formatCode="#,##0_ ;[Red]-#,##0_ "/>
    <numFmt numFmtId="165" formatCode="#,##0_ "/>
    <numFmt numFmtId="166" formatCode="0.000"/>
    <numFmt numFmtId="167" formatCode="0.0%"/>
    <numFmt numFmtId="168" formatCode="#,##0.0"/>
    <numFmt numFmtId="169" formatCode="yyyy&quot;年&quot;m&quot;月&quot;d&quot;日&quot;"/>
    <numFmt numFmtId="170" formatCode="0.000%_ "/>
    <numFmt numFmtId="171" formatCode="yyyy-mm-dd"/>
    <numFmt numFmtId="172" formatCode="0.000%"/>
    <numFmt numFmtId="173" formatCode="&quot;粗利率 &quot;0%"/>
  </numFmts>
  <fonts count="15">
    <font>
      <name val="ＭＳ Ｐゴシック"/>
      <charset val="128"/>
      <family val="3"/>
      <sz val="11"/>
    </font>
    <font>
      <name val="ＭＳ Ｐゴシック"/>
      <charset val="128"/>
      <family val="3"/>
      <b val="1"/>
      <sz val="16"/>
    </font>
    <font>
      <name val="ＭＳ Ｐゴシック"/>
      <charset val="128"/>
      <family val="3"/>
      <b val="1"/>
      <color rgb="007F7F7F"/>
      <sz val="11"/>
    </font>
    <font>
      <name val="ＭＳ Ｐゴシック"/>
      <charset val="128"/>
      <family val="3"/>
      <color rgb="007F7F7F"/>
      <sz val="9"/>
    </font>
    <font>
      <name val="ＭＳ Ｐゴシック"/>
      <charset val="128"/>
      <family val="3"/>
      <b val="1"/>
      <sz val="11"/>
    </font>
    <font>
      <name val="ＭＳ Ｐゴシック"/>
      <charset val="128"/>
      <family val="3"/>
      <b val="1"/>
      <sz val="10"/>
    </font>
    <font>
      <name val="ＭＳ Ｐゴシック"/>
      <charset val="128"/>
      <family val="3"/>
      <sz val="10"/>
    </font>
    <font>
      <name val="ＭＳ Ｐゴシック"/>
      <charset val="128"/>
      <family val="3"/>
      <sz val="9"/>
    </font>
    <font>
      <name val="ＭＳ Ｐゴシック"/>
      <charset val="128"/>
      <family val="3"/>
      <b val="1"/>
      <sz val="14"/>
    </font>
    <font>
      <name val="ＭＳ Ｐゴシック"/>
      <charset val="128"/>
      <family val="3"/>
      <b val="1"/>
      <sz val="20"/>
    </font>
    <font>
      <name val="ＭＳ Ｐゴシック"/>
      <charset val="128"/>
      <family val="3"/>
      <sz val="14"/>
    </font>
    <font>
      <name val="ＭＳ Ｐゴシック"/>
      <charset val="128"/>
      <family val="3"/>
      <sz val="12"/>
    </font>
    <font>
      <name val="ＭＳ Ｐゴシック"/>
      <charset val="128"/>
      <family val="3"/>
      <b val="1"/>
      <sz val="12"/>
    </font>
    <font>
      <name val="ＭＳ Ｐゴシック"/>
      <charset val="128"/>
      <family val="3"/>
      <sz val="9.5"/>
    </font>
    <font>
      <name val="ＭＳ Ｐゴシック"/>
      <charset val="128"/>
      <family val="3"/>
      <color rgb="007F7F7F"/>
      <sz val="10"/>
    </font>
  </fonts>
  <fills count="6">
    <fill>
      <patternFill/>
    </fill>
    <fill>
      <patternFill patternType="gray125"/>
    </fill>
    <fill>
      <patternFill patternType="solid">
        <fgColor rgb="00D9D9D9"/>
      </patternFill>
    </fill>
    <fill>
      <patternFill patternType="solid">
        <fgColor rgb="00FFF2CC"/>
      </patternFill>
    </fill>
    <fill>
      <patternFill patternType="solid">
        <fgColor rgb="00FDE9E9"/>
      </patternFill>
    </fill>
    <fill>
      <patternFill patternType="solid">
        <fgColor rgb="00F2F2F2"/>
      </patternFill>
    </fill>
  </fills>
  <borders count="38">
    <border>
      <left/>
      <right/>
      <top/>
      <bottom/>
      <diagonal/>
    </border>
    <border>
      <left/>
      <right/>
      <top style="thin">
        <color rgb="00000000"/>
      </top>
      <bottom/>
    </border>
    <border>
      <left/>
      <right/>
      <top/>
      <bottom style="thin">
        <color rgb="00000000"/>
      </bottom>
    </border>
    <border>
      <left style="medium">
        <color rgb="00000000"/>
      </left>
      <right style="thin">
        <color rgb="00000000"/>
      </right>
      <top style="medium">
        <color rgb="00000000"/>
      </top>
      <bottom style="hair">
        <color rgb="00000000"/>
      </bottom>
    </border>
    <border>
      <left style="thin">
        <color rgb="00000000"/>
      </left>
      <right style="thin">
        <color rgb="00000000"/>
      </right>
      <top style="medium">
        <color rgb="00000000"/>
      </top>
      <bottom style="hair">
        <color rgb="00000000"/>
      </bottom>
    </border>
    <border>
      <left style="thin">
        <color rgb="00000000"/>
      </left>
      <right style="medium">
        <color rgb="00000000"/>
      </right>
      <top style="medium">
        <color rgb="00000000"/>
      </top>
      <bottom style="hair">
        <color rgb="00000000"/>
      </bottom>
    </border>
    <border>
      <left style="medium">
        <color rgb="00000000"/>
      </left>
      <right style="thin">
        <color rgb="00000000"/>
      </right>
      <top style="hair">
        <color rgb="00000000"/>
      </top>
      <bottom style="hair">
        <color rgb="00000000"/>
      </bottom>
    </border>
    <border>
      <left style="thin">
        <color rgb="00000000"/>
      </left>
      <right style="thin">
        <color rgb="00000000"/>
      </right>
      <top style="hair">
        <color rgb="00000000"/>
      </top>
      <bottom style="hair">
        <color rgb="00000000"/>
      </bottom>
    </border>
    <border>
      <left style="thin">
        <color rgb="00000000"/>
      </left>
      <right style="medium">
        <color rgb="00000000"/>
      </right>
      <top style="hair">
        <color rgb="00000000"/>
      </top>
      <bottom style="hair">
        <color rgb="00000000"/>
      </bottom>
    </border>
    <border>
      <left style="medium">
        <color rgb="00000000"/>
      </left>
      <right style="thin">
        <color rgb="00000000"/>
      </right>
      <top style="hair">
        <color rgb="00000000"/>
      </top>
      <bottom style="medium">
        <color rgb="00000000"/>
      </bottom>
    </border>
    <border>
      <left style="thin">
        <color rgb="00000000"/>
      </left>
      <right style="thin">
        <color rgb="00000000"/>
      </right>
      <top style="hair">
        <color rgb="00000000"/>
      </top>
      <bottom style="medium">
        <color rgb="00000000"/>
      </bottom>
    </border>
    <border>
      <left style="thin">
        <color rgb="00000000"/>
      </left>
      <right style="medium">
        <color rgb="00000000"/>
      </right>
      <top style="hair">
        <color rgb="00000000"/>
      </top>
      <bottom style="medium">
        <color rgb="00000000"/>
      </bottom>
    </border>
    <border>
      <left style="thin">
        <color rgb="00000000"/>
      </left>
      <right style="thin">
        <color rgb="00000000"/>
      </right>
      <top style="thin">
        <color rgb="00000000"/>
      </top>
      <bottom style="hair">
        <color rgb="00000000"/>
      </bottom>
    </border>
    <border>
      <left style="thin">
        <color rgb="00000000"/>
      </left>
      <right style="thin">
        <color rgb="00000000"/>
      </right>
      <top style="hair">
        <color rgb="00000000"/>
      </top>
      <bottom style="thin">
        <color rgb="00000000"/>
      </bottom>
    </border>
    <border>
      <left style="medium">
        <color rgb="00000000"/>
      </left>
      <right style="thin">
        <color rgb="00000000"/>
      </right>
      <top style="medium">
        <color rgb="00000000"/>
      </top>
      <bottom style="thin">
        <color rgb="00000000"/>
      </bottom>
    </border>
    <border>
      <left style="medium">
        <color rgb="00000000"/>
      </left>
      <right style="thin">
        <color rgb="00000000"/>
      </right>
      <top style="thin">
        <color rgb="00000000"/>
      </top>
      <bottom style="hair">
        <color rgb="00000000"/>
      </bottom>
    </border>
    <border>
      <left style="thin">
        <color rgb="00000000"/>
      </left>
      <right style="thin">
        <color rgb="00000000"/>
      </right>
      <top style="medium">
        <color rgb="00000000"/>
      </top>
      <bottom style="thin">
        <color rgb="00000000"/>
      </bottom>
    </border>
    <border>
      <left style="thin">
        <color rgb="00000000"/>
      </left>
      <right style="medium">
        <color rgb="00000000"/>
      </right>
      <top style="medium">
        <color rgb="00000000"/>
      </top>
      <bottom style="thin">
        <color rgb="00000000"/>
      </bottom>
    </border>
    <border>
      <left style="thin">
        <color rgb="00000000"/>
      </left>
      <right style="medium">
        <color rgb="00000000"/>
      </right>
      <top style="thin">
        <color rgb="00000000"/>
      </top>
      <bottom style="hair">
        <color rgb="00000000"/>
      </bottom>
    </border>
    <border>
      <left style="thin">
        <color rgb="00000000"/>
      </left>
      <right style="thin">
        <color rgb="00000000"/>
      </right>
      <top style="thin">
        <color rgb="00000000"/>
      </top>
      <bottom style="thin">
        <color rgb="00000000"/>
      </bottom>
    </border>
    <border>
      <left style="medium">
        <color rgb="00000000"/>
      </left>
      <right style="thin">
        <color rgb="00000000"/>
      </right>
      <top style="hair">
        <color rgb="00000000"/>
      </top>
      <bottom style="thin">
        <color rgb="00000000"/>
      </bottom>
    </border>
    <border>
      <left style="thin">
        <color rgb="00000000"/>
      </left>
      <right style="medium">
        <color rgb="00000000"/>
      </right>
      <top style="hair">
        <color rgb="00000000"/>
      </top>
      <bottom style="thin">
        <color rgb="00000000"/>
      </bottom>
    </border>
    <border>
      <left style="medium">
        <color rgb="00000000"/>
      </left>
      <right style="thin">
        <color rgb="00000000"/>
      </right>
      <top style="medium">
        <color rgb="00000000"/>
      </top>
      <bottom style="medium">
        <color rgb="00000000"/>
      </bottom>
    </border>
    <border>
      <left style="thin">
        <color rgb="00000000"/>
      </left>
      <right style="thin">
        <color rgb="00000000"/>
      </right>
      <top style="medium">
        <color rgb="00000000"/>
      </top>
      <bottom style="medium">
        <color rgb="00000000"/>
      </bottom>
    </border>
    <border>
      <left style="thin">
        <color rgb="00000000"/>
      </left>
      <right style="medium">
        <color rgb="00000000"/>
      </right>
      <top style="medium">
        <color rgb="00000000"/>
      </top>
      <bottom style="medium">
        <color rgb="00000000"/>
      </bottom>
    </border>
    <border>
      <left style="medium">
        <color rgb="00000000"/>
      </left>
      <right style="thin">
        <color rgb="00000000"/>
      </right>
      <top style="thin">
        <color rgb="00000000"/>
      </top>
      <bottom style="thin">
        <color rgb="00000000"/>
      </bottom>
    </border>
    <border>
      <left style="thin">
        <color rgb="00000000"/>
      </left>
      <right style="medium">
        <color rgb="00000000"/>
      </right>
      <top style="thin">
        <color rgb="00000000"/>
      </top>
      <bottom style="thin">
        <color rgb="00000000"/>
      </bottom>
    </border>
    <border>
      <left style="medium">
        <color rgb="00000000"/>
      </left>
      <right style="thin">
        <color rgb="00000000"/>
      </right>
      <top style="thin">
        <color rgb="00000000"/>
      </top>
      <bottom style="medium">
        <color rgb="00000000"/>
      </bottom>
    </border>
    <border>
      <left style="thin">
        <color rgb="00000000"/>
      </left>
      <right style="thin">
        <color rgb="00000000"/>
      </right>
      <top style="thin">
        <color rgb="00000000"/>
      </top>
      <bottom style="medium">
        <color rgb="00000000"/>
      </bottom>
    </border>
    <border>
      <left style="thin">
        <color rgb="00000000"/>
      </left>
      <right style="medium">
        <color rgb="00000000"/>
      </right>
      <top style="thin">
        <color rgb="00000000"/>
      </top>
      <bottom style="medium">
        <color rgb="00000000"/>
      </bottom>
    </border>
    <border>
      <left style="medium">
        <color rgb="00000000"/>
      </left>
      <right style="thin">
        <color rgb="00000000"/>
      </right>
      <top style="double">
        <color rgb="00000000"/>
      </top>
      <bottom style="medium">
        <color rgb="00000000"/>
      </bottom>
    </border>
    <border>
      <left style="medium">
        <color rgb="00000000"/>
      </left>
      <right style="thin">
        <color rgb="00000000"/>
      </right>
      <top style="thin">
        <color rgb="00000000"/>
      </top>
      <bottom style="double">
        <color rgb="00000000"/>
      </bottom>
    </border>
    <border>
      <left style="thin">
        <color rgb="00000000"/>
      </left>
      <right style="thin">
        <color rgb="00000000"/>
      </right>
      <top style="double">
        <color rgb="00000000"/>
      </top>
      <bottom style="medium">
        <color rgb="00000000"/>
      </bottom>
    </border>
    <border>
      <left style="thin">
        <color rgb="00000000"/>
      </left>
      <right style="thin">
        <color rgb="00000000"/>
      </right>
      <top style="thin">
        <color rgb="00000000"/>
      </top>
      <bottom style="double">
        <color rgb="00000000"/>
      </bottom>
    </border>
    <border>
      <left style="thin">
        <color rgb="00000000"/>
      </left>
      <right style="medium">
        <color rgb="00000000"/>
      </right>
      <top style="double">
        <color rgb="00000000"/>
      </top>
      <bottom style="medium">
        <color rgb="00000000"/>
      </bottom>
    </border>
    <border>
      <left style="thin">
        <color rgb="00000000"/>
      </left>
      <right style="medium">
        <color rgb="00000000"/>
      </right>
      <top style="thin">
        <color rgb="00000000"/>
      </top>
      <bottom style="double">
        <color rgb="00000000"/>
      </bottom>
    </border>
    <border>
      <left/>
      <right/>
      <top/>
      <bottom style="double">
        <color rgb="00000000"/>
      </bottom>
    </border>
    <border>
      <left/>
      <right/>
      <top style="double">
        <color rgb="00000000"/>
      </top>
      <bottom/>
    </border>
  </borders>
  <cellStyleXfs count="1">
    <xf numFmtId="0" fontId="0" fillId="0" borderId="0"/>
  </cellStyleXfs>
  <cellXfs count="182">
    <xf numFmtId="0" fontId="0" fillId="0" borderId="0" pivotButton="0" quotePrefix="0" xfId="0"/>
    <xf numFmtId="0" fontId="9" fillId="0" borderId="0" applyAlignment="1" pivotButton="0" quotePrefix="0" xfId="0">
      <alignment horizontal="center" vertical="center"/>
    </xf>
    <xf numFmtId="0" fontId="0" fillId="0" borderId="0" applyAlignment="1" pivotButton="0" quotePrefix="0" xfId="0">
      <alignment horizontal="right" vertical="center"/>
    </xf>
    <xf numFmtId="0" fontId="0" fillId="0" borderId="2" applyAlignment="1" pivotButton="0" quotePrefix="0" xfId="0">
      <alignment horizontal="center" vertical="center"/>
    </xf>
    <xf numFmtId="0" fontId="0" fillId="0" borderId="2" pivotButton="0" quotePrefix="0" xfId="0"/>
    <xf numFmtId="0" fontId="2" fillId="2" borderId="19" applyAlignment="1" pivotButton="0" quotePrefix="0" xfId="0">
      <alignment vertical="center"/>
    </xf>
    <xf numFmtId="0" fontId="0" fillId="2" borderId="19" applyAlignment="1" pivotButton="0" quotePrefix="0" xfId="0">
      <alignment vertical="center"/>
    </xf>
    <xf numFmtId="169" fontId="0" fillId="0" borderId="0" applyAlignment="1" pivotButton="0" quotePrefix="0" xfId="0">
      <alignment horizontal="right" vertical="center"/>
    </xf>
    <xf numFmtId="0" fontId="14" fillId="2" borderId="19" applyAlignment="1" pivotButton="0" quotePrefix="0" xfId="0">
      <alignment vertical="center" shrinkToFit="1"/>
    </xf>
    <xf numFmtId="2" fontId="0" fillId="3" borderId="19" applyAlignment="1" pivotButton="0" quotePrefix="0" xfId="0">
      <alignment horizontal="right" vertical="center"/>
    </xf>
    <xf numFmtId="0" fontId="10" fillId="0" borderId="2" applyAlignment="1" pivotButton="0" quotePrefix="0" xfId="0">
      <alignment horizontal="center" vertical="center"/>
    </xf>
    <xf numFmtId="0" fontId="11" fillId="0" borderId="0" applyAlignment="1" pivotButton="0" quotePrefix="0" xfId="0">
      <alignment horizontal="left" vertical="center"/>
    </xf>
    <xf numFmtId="9" fontId="0" fillId="3" borderId="19" applyAlignment="1" pivotButton="0" quotePrefix="0" xfId="0">
      <alignment horizontal="right" vertical="center"/>
    </xf>
    <xf numFmtId="0" fontId="0" fillId="0" borderId="1" pivotButton="0" quotePrefix="0" xfId="0"/>
    <xf numFmtId="3" fontId="0" fillId="3" borderId="19" applyAlignment="1" pivotButton="0" quotePrefix="0" xfId="0">
      <alignment horizontal="right" vertical="center"/>
    </xf>
    <xf numFmtId="0" fontId="11" fillId="0" borderId="0" applyAlignment="1" pivotButton="0" quotePrefix="0" xfId="0">
      <alignment horizontal="center" vertical="center"/>
    </xf>
    <xf numFmtId="0" fontId="8" fillId="0" borderId="36" applyAlignment="1" pivotButton="0" quotePrefix="0" xfId="0">
      <alignment horizontal="center" vertical="center"/>
    </xf>
    <xf numFmtId="0" fontId="0" fillId="0" borderId="36" pivotButton="0" quotePrefix="0" xfId="0"/>
    <xf numFmtId="0" fontId="0" fillId="0" borderId="0" applyAlignment="1" pivotButton="0" quotePrefix="0" xfId="0">
      <alignment horizontal="left" vertical="center"/>
    </xf>
    <xf numFmtId="0" fontId="12" fillId="0" borderId="0" applyAlignment="1" pivotButton="0" quotePrefix="0" xfId="0">
      <alignment vertical="center"/>
    </xf>
    <xf numFmtId="172" fontId="0" fillId="0" borderId="19" applyAlignment="1" pivotButton="0" quotePrefix="0" xfId="0">
      <alignment horizontal="right" vertical="center"/>
    </xf>
    <xf numFmtId="0" fontId="0" fillId="0" borderId="37" pivotButton="0" quotePrefix="0" xfId="0"/>
    <xf numFmtId="0" fontId="0" fillId="0" borderId="0" applyAlignment="1" pivotButton="0" quotePrefix="0" xfId="0">
      <alignment vertical="center"/>
    </xf>
    <xf numFmtId="3" fontId="0" fillId="0" borderId="19" applyAlignment="1" pivotButton="0" quotePrefix="0" xfId="0">
      <alignment horizontal="right" vertical="center"/>
    </xf>
    <xf numFmtId="0" fontId="3" fillId="0" borderId="0" applyAlignment="1" pivotButton="0" quotePrefix="0" xfId="0">
      <alignment vertical="center"/>
    </xf>
    <xf numFmtId="0" fontId="0" fillId="0" borderId="0" applyAlignment="1" pivotButton="0" quotePrefix="0" xfId="0">
      <alignment horizontal="distributed" vertical="center" indent="1"/>
    </xf>
    <xf numFmtId="0" fontId="0" fillId="0" borderId="0" applyAlignment="1" pivotButton="0" quotePrefix="0" xfId="0">
      <alignment vertical="center" shrinkToFit="1"/>
    </xf>
    <xf numFmtId="0" fontId="6" fillId="0" borderId="0" applyAlignment="1" pivotButton="0" quotePrefix="0" xfId="0">
      <alignment vertical="center" shrinkToFit="1"/>
    </xf>
    <xf numFmtId="0" fontId="6" fillId="2" borderId="14" applyAlignment="1" pivotButton="0" quotePrefix="0" xfId="0">
      <alignment horizontal="center" vertical="center" shrinkToFit="1"/>
    </xf>
    <xf numFmtId="0" fontId="0" fillId="2" borderId="16" applyAlignment="1" pivotButton="0" quotePrefix="0" xfId="0">
      <alignment horizontal="center" vertical="center" shrinkToFit="1"/>
    </xf>
    <xf numFmtId="0" fontId="0" fillId="2" borderId="16" pivotButton="0" quotePrefix="0" xfId="0"/>
    <xf numFmtId="0" fontId="6" fillId="2" borderId="16" applyAlignment="1" pivotButton="0" quotePrefix="0" xfId="0">
      <alignment horizontal="center" vertical="center" shrinkToFit="1"/>
    </xf>
    <xf numFmtId="0" fontId="0" fillId="2" borderId="17" applyAlignment="1" pivotButton="0" quotePrefix="0" xfId="0">
      <alignment horizontal="center" vertical="center" shrinkToFit="1"/>
    </xf>
    <xf numFmtId="0" fontId="14" fillId="2" borderId="19" applyAlignment="1" pivotButton="0" quotePrefix="0" xfId="0">
      <alignment horizontal="center" vertical="center" shrinkToFit="1"/>
    </xf>
    <xf numFmtId="0" fontId="0" fillId="0" borderId="25" pivotButton="0" quotePrefix="0" xfId="0"/>
    <xf numFmtId="0" fontId="0" fillId="0" borderId="19" applyAlignment="1" pivotButton="0" quotePrefix="0" xfId="0">
      <alignment horizontal="left" vertical="center" shrinkToFit="1" indent="1"/>
    </xf>
    <xf numFmtId="0" fontId="0" fillId="0" borderId="19" pivotButton="0" quotePrefix="0" xfId="0"/>
    <xf numFmtId="0" fontId="0" fillId="0" borderId="26" pivotButton="0" quotePrefix="0" xfId="0"/>
    <xf numFmtId="0" fontId="0" fillId="0" borderId="12" pivotButton="0" quotePrefix="0" xfId="0"/>
    <xf numFmtId="0" fontId="6" fillId="0" borderId="19" applyAlignment="1" pivotButton="0" quotePrefix="0" xfId="0">
      <alignment horizontal="left" vertical="center" shrinkToFit="1" indent="1"/>
    </xf>
    <xf numFmtId="0" fontId="0" fillId="0" borderId="7" pivotButton="0" quotePrefix="0" xfId="0"/>
    <xf numFmtId="0" fontId="0" fillId="0" borderId="25" applyAlignment="1" pivotButton="0" quotePrefix="0" xfId="0">
      <alignment horizontal="center" vertical="center"/>
    </xf>
    <xf numFmtId="165" fontId="0" fillId="0" borderId="19" applyAlignment="1" pivotButton="0" quotePrefix="0" xfId="0">
      <alignment horizontal="right" vertical="center"/>
    </xf>
    <xf numFmtId="0" fontId="0" fillId="0" borderId="19" applyAlignment="1" pivotButton="0" quotePrefix="0" xfId="0">
      <alignment horizontal="center" vertical="center"/>
    </xf>
    <xf numFmtId="164" fontId="0" fillId="0" borderId="19" applyAlignment="1" pivotButton="0" quotePrefix="0" xfId="0">
      <alignment horizontal="right" vertical="center"/>
    </xf>
    <xf numFmtId="0" fontId="6" fillId="0" borderId="26" applyAlignment="1" pivotButton="0" quotePrefix="0" xfId="0">
      <alignment horizontal="center" vertical="center" shrinkToFit="1"/>
    </xf>
    <xf numFmtId="0" fontId="6" fillId="0" borderId="7" applyAlignment="1" pivotButton="0" quotePrefix="0" xfId="0">
      <alignment vertical="center" shrinkToFit="1"/>
    </xf>
    <xf numFmtId="164" fontId="0" fillId="0" borderId="7" applyAlignment="1" pivotButton="0" quotePrefix="0" xfId="0">
      <alignment horizontal="right" vertical="center"/>
    </xf>
    <xf numFmtId="167" fontId="0" fillId="0" borderId="7" applyAlignment="1" pivotButton="0" quotePrefix="0" xfId="0">
      <alignment horizontal="right" vertical="center"/>
    </xf>
    <xf numFmtId="165" fontId="0" fillId="0" borderId="7" applyAlignment="1" pivotButton="0" quotePrefix="0" xfId="0">
      <alignment horizontal="right" vertical="center"/>
    </xf>
    <xf numFmtId="0" fontId="0" fillId="0" borderId="31" pivotButton="0" quotePrefix="0" xfId="0"/>
    <xf numFmtId="0" fontId="0" fillId="0" borderId="33" applyAlignment="1" pivotButton="0" quotePrefix="0" xfId="0">
      <alignment horizontal="left" vertical="center" indent="1"/>
    </xf>
    <xf numFmtId="0" fontId="0" fillId="0" borderId="33" pivotButton="0" quotePrefix="0" xfId="0"/>
    <xf numFmtId="164" fontId="0" fillId="0" borderId="33" applyAlignment="1" pivotButton="0" quotePrefix="0" xfId="0">
      <alignment horizontal="right" vertical="center"/>
    </xf>
    <xf numFmtId="0" fontId="6" fillId="0" borderId="35" applyAlignment="1" pivotButton="0" quotePrefix="0" xfId="0">
      <alignment horizontal="center" vertical="center"/>
    </xf>
    <xf numFmtId="0" fontId="6" fillId="0" borderId="13" applyAlignment="1" pivotButton="0" quotePrefix="0" xfId="0">
      <alignment vertical="center" shrinkToFit="1"/>
    </xf>
    <xf numFmtId="165" fontId="0" fillId="0" borderId="13" applyAlignment="1" pivotButton="0" quotePrefix="0" xfId="0">
      <alignment horizontal="right" vertical="center"/>
    </xf>
    <xf numFmtId="0" fontId="0" fillId="0" borderId="13" pivotButton="0" quotePrefix="0" xfId="0"/>
    <xf numFmtId="164" fontId="0" fillId="0" borderId="13" applyAlignment="1" pivotButton="0" quotePrefix="0" xfId="0">
      <alignment horizontal="right" vertical="center"/>
    </xf>
    <xf numFmtId="0" fontId="0" fillId="0" borderId="30" pivotButton="0" quotePrefix="0" xfId="0"/>
    <xf numFmtId="0" fontId="4" fillId="0" borderId="32" applyAlignment="1" pivotButton="0" quotePrefix="0" xfId="0">
      <alignment horizontal="left" vertical="center" indent="1"/>
    </xf>
    <xf numFmtId="0" fontId="0" fillId="0" borderId="32" pivotButton="0" quotePrefix="0" xfId="0"/>
    <xf numFmtId="165" fontId="4" fillId="0" borderId="32" applyAlignment="1" pivotButton="0" quotePrefix="0" xfId="0">
      <alignment horizontal="right" vertical="center"/>
    </xf>
    <xf numFmtId="0" fontId="6" fillId="0" borderId="34" applyAlignment="1" pivotButton="0" quotePrefix="0" xfId="0">
      <alignment horizontal="center" vertical="center"/>
    </xf>
    <xf numFmtId="0" fontId="5" fillId="0" borderId="19" applyAlignment="1" pivotButton="0" quotePrefix="0" xfId="0">
      <alignment vertical="center" shrinkToFit="1"/>
    </xf>
    <xf numFmtId="165" fontId="4" fillId="0" borderId="19" applyAlignment="1" pivotButton="0" quotePrefix="0" xfId="0">
      <alignment horizontal="right" vertical="center"/>
    </xf>
    <xf numFmtId="167" fontId="4" fillId="0" borderId="19" applyAlignment="1" pivotButton="0" quotePrefix="0" xfId="0">
      <alignment horizontal="right" vertical="center"/>
    </xf>
    <xf numFmtId="0" fontId="13" fillId="0" borderId="0" applyAlignment="1" pivotButton="0" quotePrefix="0" xfId="0">
      <alignment horizontal="center" vertical="top"/>
    </xf>
    <xf numFmtId="0" fontId="13" fillId="0" borderId="0" applyAlignment="1" pivotButton="0" quotePrefix="0" xfId="0">
      <alignment vertical="top" wrapText="1"/>
    </xf>
    <xf numFmtId="0" fontId="14" fillId="2" borderId="19" applyAlignment="1" pivotButton="0" quotePrefix="0" xfId="0">
      <alignment horizontal="center" vertical="center"/>
    </xf>
    <xf numFmtId="173" fontId="0" fillId="0" borderId="19" applyAlignment="1" pivotButton="0" quotePrefix="0" xfId="0">
      <alignment horizontal="center" vertical="center"/>
    </xf>
    <xf numFmtId="166" fontId="0" fillId="0" borderId="19" applyAlignment="1" pivotButton="0" quotePrefix="0" xfId="0">
      <alignment horizontal="right" vertical="center"/>
    </xf>
    <xf numFmtId="0" fontId="1" fillId="0" borderId="0" applyAlignment="1" pivotButton="0" quotePrefix="0" xfId="0">
      <alignment horizontal="center" vertical="center"/>
    </xf>
    <xf numFmtId="0" fontId="2" fillId="2" borderId="0" applyAlignment="1" pivotButton="0" quotePrefix="0" xfId="0">
      <alignment horizontal="center" vertical="center"/>
    </xf>
    <xf numFmtId="0" fontId="0" fillId="2" borderId="0" pivotButton="0" quotePrefix="0" xfId="0"/>
    <xf numFmtId="0" fontId="0" fillId="2" borderId="14" applyAlignment="1" pivotButton="0" quotePrefix="0" xfId="0">
      <alignment horizontal="center" vertical="center"/>
    </xf>
    <xf numFmtId="0" fontId="0" fillId="2" borderId="16" applyAlignment="1" pivotButton="0" quotePrefix="0" xfId="0">
      <alignment horizontal="center" vertical="center"/>
    </xf>
    <xf numFmtId="0" fontId="0" fillId="2" borderId="17" applyAlignment="1" pivotButton="0" quotePrefix="0" xfId="0">
      <alignment horizontal="center" vertical="center"/>
    </xf>
    <xf numFmtId="0" fontId="3" fillId="2" borderId="19" applyAlignment="1" pivotButton="0" quotePrefix="0" xfId="0">
      <alignment horizontal="center" vertical="center" shrinkToFit="1"/>
    </xf>
    <xf numFmtId="0" fontId="4" fillId="0" borderId="15" applyAlignment="1" pivotButton="0" quotePrefix="0" xfId="0">
      <alignment vertical="center" shrinkToFit="1"/>
    </xf>
    <xf numFmtId="0" fontId="0" fillId="0" borderId="18" pivotButton="0" quotePrefix="0" xfId="0"/>
    <xf numFmtId="0" fontId="5" fillId="0" borderId="6" applyAlignment="1" pivotButton="0" quotePrefix="0" xfId="0">
      <alignment vertical="center" shrinkToFit="1"/>
    </xf>
    <xf numFmtId="0" fontId="0" fillId="0" borderId="8" pivotButton="0" quotePrefix="0" xfId="0"/>
    <xf numFmtId="0" fontId="6" fillId="0" borderId="6" applyAlignment="1" pivotButton="0" quotePrefix="0" xfId="0">
      <alignment vertical="center" shrinkToFit="1"/>
    </xf>
    <xf numFmtId="0" fontId="7" fillId="0" borderId="7" applyAlignment="1" pivotButton="0" quotePrefix="0" xfId="0">
      <alignment horizontal="left" vertical="center" wrapText="1" indent="1"/>
    </xf>
    <xf numFmtId="164" fontId="6" fillId="0" borderId="7" applyAlignment="1" pivotButton="0" quotePrefix="0" xfId="0">
      <alignment horizontal="right" vertical="center"/>
    </xf>
    <xf numFmtId="0" fontId="6" fillId="0" borderId="7" applyAlignment="1" pivotButton="0" quotePrefix="0" xfId="0">
      <alignment horizontal="center" vertical="center"/>
    </xf>
    <xf numFmtId="165" fontId="6" fillId="0" borderId="7" applyAlignment="1" pivotButton="0" quotePrefix="0" xfId="0">
      <alignment horizontal="right" vertical="center"/>
    </xf>
    <xf numFmtId="0" fontId="6" fillId="0" borderId="8" applyAlignment="1" pivotButton="0" quotePrefix="0" xfId="0">
      <alignment horizontal="center" vertical="center" shrinkToFit="1"/>
    </xf>
    <xf numFmtId="165" fontId="6" fillId="3" borderId="7" applyAlignment="1" pivotButton="0" quotePrefix="0" xfId="0">
      <alignment horizontal="right" vertical="center"/>
    </xf>
    <xf numFmtId="166" fontId="6" fillId="3" borderId="7" applyAlignment="1" pivotButton="0" quotePrefix="0" xfId="0">
      <alignment horizontal="right" vertical="center"/>
    </xf>
    <xf numFmtId="2" fontId="6" fillId="3" borderId="7" applyAlignment="1" pivotButton="0" quotePrefix="0" xfId="0">
      <alignment horizontal="center" vertical="center"/>
    </xf>
    <xf numFmtId="0" fontId="7" fillId="0" borderId="7" applyAlignment="1" pivotButton="0" quotePrefix="0" xfId="0">
      <alignment horizontal="center" vertical="center" shrinkToFit="1"/>
    </xf>
    <xf numFmtId="167" fontId="6" fillId="0" borderId="7" applyAlignment="1" pivotButton="0" quotePrefix="0" xfId="0">
      <alignment horizontal="right" vertical="center"/>
    </xf>
    <xf numFmtId="9" fontId="6" fillId="0" borderId="7" applyAlignment="1" pivotButton="0" quotePrefix="0" xfId="0">
      <alignment horizontal="right" vertical="center"/>
    </xf>
    <xf numFmtId="0" fontId="7" fillId="0" borderId="7" applyAlignment="1" pivotButton="0" quotePrefix="0" xfId="0">
      <alignment vertical="center"/>
    </xf>
    <xf numFmtId="0" fontId="6" fillId="0" borderId="20" applyAlignment="1" pivotButton="0" quotePrefix="0" xfId="0">
      <alignment vertical="center" shrinkToFit="1"/>
    </xf>
    <xf numFmtId="0" fontId="6" fillId="0" borderId="13" applyAlignment="1" pivotButton="0" quotePrefix="0" xfId="0">
      <alignment horizontal="left" vertical="center" shrinkToFit="1" indent="1"/>
    </xf>
    <xf numFmtId="164" fontId="6" fillId="0" borderId="13" applyAlignment="1" pivotButton="0" quotePrefix="0" xfId="0">
      <alignment horizontal="right" vertical="center"/>
    </xf>
    <xf numFmtId="0" fontId="6" fillId="0" borderId="13" applyAlignment="1" pivotButton="0" quotePrefix="0" xfId="0">
      <alignment horizontal="center" vertical="center"/>
    </xf>
    <xf numFmtId="165" fontId="6" fillId="0" borderId="13" applyAlignment="1" pivotButton="0" quotePrefix="0" xfId="0">
      <alignment horizontal="right" vertical="center"/>
    </xf>
    <xf numFmtId="0" fontId="6" fillId="0" borderId="21" applyAlignment="1" pivotButton="0" quotePrefix="0" xfId="0">
      <alignment horizontal="center" vertical="center" shrinkToFit="1"/>
    </xf>
    <xf numFmtId="165" fontId="6" fillId="3" borderId="13" applyAlignment="1" pivotButton="0" quotePrefix="0" xfId="0">
      <alignment horizontal="right" vertical="center"/>
    </xf>
    <xf numFmtId="166" fontId="6" fillId="3" borderId="13" applyAlignment="1" pivotButton="0" quotePrefix="0" xfId="0">
      <alignment horizontal="right" vertical="center"/>
    </xf>
    <xf numFmtId="2" fontId="6" fillId="3" borderId="13" applyAlignment="1" pivotButton="0" quotePrefix="0" xfId="0">
      <alignment horizontal="center" vertical="center"/>
    </xf>
    <xf numFmtId="0" fontId="7" fillId="0" borderId="13" applyAlignment="1" pivotButton="0" quotePrefix="0" xfId="0">
      <alignment horizontal="center" vertical="center" shrinkToFit="1"/>
    </xf>
    <xf numFmtId="167" fontId="6" fillId="0" borderId="13" applyAlignment="1" pivotButton="0" quotePrefix="0" xfId="0">
      <alignment horizontal="right" vertical="center"/>
    </xf>
    <xf numFmtId="9" fontId="6" fillId="0" borderId="13" applyAlignment="1" pivotButton="0" quotePrefix="0" xfId="0">
      <alignment horizontal="right" vertical="center"/>
    </xf>
    <xf numFmtId="0" fontId="7" fillId="0" borderId="13" applyAlignment="1" pivotButton="0" quotePrefix="0" xfId="0">
      <alignment vertical="center"/>
    </xf>
    <xf numFmtId="0" fontId="5" fillId="0" borderId="15" applyAlignment="1" pivotButton="0" quotePrefix="0" xfId="0">
      <alignment horizontal="center" vertical="center"/>
    </xf>
    <xf numFmtId="164" fontId="5" fillId="0" borderId="12" applyAlignment="1" pivotButton="0" quotePrefix="0" xfId="0">
      <alignment horizontal="right" vertical="center"/>
    </xf>
    <xf numFmtId="168" fontId="5" fillId="0" borderId="12" applyAlignment="1" pivotButton="0" quotePrefix="0" xfId="0">
      <alignment horizontal="right" vertical="center"/>
    </xf>
    <xf numFmtId="167" fontId="5" fillId="0" borderId="12" applyAlignment="1" pivotButton="0" quotePrefix="0" xfId="0">
      <alignment horizontal="right" vertical="center"/>
    </xf>
    <xf numFmtId="0" fontId="7" fillId="4" borderId="7" applyAlignment="1" pivotButton="0" quotePrefix="0" xfId="0">
      <alignment horizontal="center" vertical="center" shrinkToFit="1"/>
    </xf>
    <xf numFmtId="0" fontId="6" fillId="0" borderId="7" applyAlignment="1" pivotButton="0" quotePrefix="0" xfId="0">
      <alignment horizontal="left" vertical="center" shrinkToFit="1" indent="1"/>
    </xf>
    <xf numFmtId="0" fontId="7" fillId="4" borderId="13" applyAlignment="1" pivotButton="0" quotePrefix="0" xfId="0">
      <alignment horizontal="center" vertical="center" shrinkToFit="1"/>
    </xf>
    <xf numFmtId="0" fontId="0" fillId="0" borderId="9" pivotButton="0" quotePrefix="0" xfId="0"/>
    <xf numFmtId="0" fontId="0" fillId="0" borderId="10" pivotButton="0" quotePrefix="0" xfId="0"/>
    <xf numFmtId="0" fontId="0" fillId="0" borderId="11" pivotButton="0" quotePrefix="0" xfId="0"/>
    <xf numFmtId="0" fontId="4" fillId="0" borderId="22" applyAlignment="1" pivotButton="0" quotePrefix="0" xfId="0">
      <alignment horizontal="center" vertical="center"/>
    </xf>
    <xf numFmtId="0" fontId="0" fillId="0" borderId="23" pivotButton="0" quotePrefix="0" xfId="0"/>
    <xf numFmtId="164" fontId="4" fillId="0" borderId="23" applyAlignment="1" pivotButton="0" quotePrefix="0" xfId="0">
      <alignment horizontal="right" vertical="center"/>
    </xf>
    <xf numFmtId="0" fontId="0" fillId="0" borderId="24" pivotButton="0" quotePrefix="0" xfId="0"/>
    <xf numFmtId="0" fontId="0" fillId="0" borderId="16" pivotButton="0" quotePrefix="0" xfId="0"/>
    <xf numFmtId="168" fontId="4" fillId="0" borderId="16" applyAlignment="1" pivotButton="0" quotePrefix="0" xfId="0">
      <alignment horizontal="right" vertical="center"/>
    </xf>
    <xf numFmtId="164" fontId="4" fillId="0" borderId="16" applyAlignment="1" pivotButton="0" quotePrefix="0" xfId="0">
      <alignment horizontal="right" vertical="center"/>
    </xf>
    <xf numFmtId="167" fontId="4" fillId="0" borderId="16" applyAlignment="1" pivotButton="0" quotePrefix="0" xfId="0">
      <alignment horizontal="right" vertical="center"/>
    </xf>
    <xf numFmtId="0" fontId="8" fillId="0" borderId="0" applyAlignment="1" pivotButton="0" quotePrefix="0" xfId="0">
      <alignment horizontal="center" vertical="center"/>
    </xf>
    <xf numFmtId="0" fontId="6" fillId="0" borderId="0" applyAlignment="1" pivotButton="0" quotePrefix="0" xfId="0">
      <alignment horizontal="center" vertical="center"/>
    </xf>
    <xf numFmtId="0" fontId="0" fillId="5" borderId="19" applyAlignment="1" pivotButton="0" quotePrefix="0" xfId="0">
      <alignment horizontal="left" vertical="center" indent="1"/>
    </xf>
    <xf numFmtId="169" fontId="0" fillId="0" borderId="19" applyAlignment="1" pivotButton="0" quotePrefix="0" xfId="0">
      <alignment horizontal="left" vertical="center" indent="1"/>
    </xf>
    <xf numFmtId="0" fontId="0" fillId="0" borderId="19" applyAlignment="1" pivotButton="0" quotePrefix="0" xfId="0">
      <alignment horizontal="left" vertical="center" indent="1"/>
    </xf>
    <xf numFmtId="0" fontId="4" fillId="0" borderId="0" applyAlignment="1" pivotButton="0" quotePrefix="0" xfId="0">
      <alignment vertical="center"/>
    </xf>
    <xf numFmtId="0" fontId="6" fillId="0" borderId="0" applyAlignment="1" pivotButton="0" quotePrefix="0" xfId="0">
      <alignment vertical="center" wrapText="1"/>
    </xf>
    <xf numFmtId="0" fontId="0" fillId="2" borderId="17" pivotButton="0" quotePrefix="0" xfId="0"/>
    <xf numFmtId="0" fontId="0" fillId="0" borderId="25" applyAlignment="1" pivotButton="0" quotePrefix="0" xfId="0">
      <alignment horizontal="left" vertical="center" shrinkToFit="1" indent="1"/>
    </xf>
    <xf numFmtId="0" fontId="6" fillId="0" borderId="19" applyAlignment="1" pivotButton="0" quotePrefix="0" xfId="0">
      <alignment horizontal="left" vertical="center" indent="1"/>
    </xf>
    <xf numFmtId="0" fontId="0" fillId="0" borderId="31" applyAlignment="1" pivotButton="0" quotePrefix="0" xfId="0">
      <alignment horizontal="left" vertical="center" shrinkToFit="1" indent="1"/>
    </xf>
    <xf numFmtId="165" fontId="0" fillId="0" borderId="33" applyAlignment="1" pivotButton="0" quotePrefix="0" xfId="0">
      <alignment horizontal="right" vertical="center"/>
    </xf>
    <xf numFmtId="0" fontId="6" fillId="0" borderId="33" applyAlignment="1" pivotButton="0" quotePrefix="0" xfId="0">
      <alignment horizontal="left" vertical="center" indent="1"/>
    </xf>
    <xf numFmtId="0" fontId="0" fillId="0" borderId="35" pivotButton="0" quotePrefix="0" xfId="0"/>
    <xf numFmtId="0" fontId="4" fillId="0" borderId="30" applyAlignment="1" pivotButton="0" quotePrefix="0" xfId="0">
      <alignment horizontal="center" vertical="center" shrinkToFit="1"/>
    </xf>
    <xf numFmtId="0" fontId="5" fillId="0" borderId="32" applyAlignment="1" pivotButton="0" quotePrefix="0" xfId="0">
      <alignment horizontal="left" vertical="center" indent="1"/>
    </xf>
    <xf numFmtId="0" fontId="0" fillId="0" borderId="34" pivotButton="0" quotePrefix="0" xfId="0"/>
    <xf numFmtId="0" fontId="6" fillId="0" borderId="0" applyAlignment="1" pivotButton="0" quotePrefix="0" xfId="0">
      <alignment vertical="center"/>
    </xf>
    <xf numFmtId="0" fontId="6" fillId="2" borderId="16" applyAlignment="1" pivotButton="0" quotePrefix="0" xfId="0">
      <alignment horizontal="center" vertical="center"/>
    </xf>
    <xf numFmtId="0" fontId="0" fillId="0" borderId="25" applyAlignment="1" pivotButton="0" quotePrefix="0" xfId="0">
      <alignment horizontal="left" vertical="center" indent="1"/>
    </xf>
    <xf numFmtId="170" fontId="0" fillId="0" borderId="19" applyAlignment="1" pivotButton="0" quotePrefix="0" xfId="0">
      <alignment horizontal="right" vertical="center"/>
    </xf>
    <xf numFmtId="0" fontId="7" fillId="0" borderId="26" applyAlignment="1" pivotButton="0" quotePrefix="0" xfId="0">
      <alignment vertical="center" wrapText="1"/>
    </xf>
    <xf numFmtId="0" fontId="0" fillId="0" borderId="31" applyAlignment="1" pivotButton="0" quotePrefix="0" xfId="0">
      <alignment horizontal="left" vertical="center" indent="1"/>
    </xf>
    <xf numFmtId="170" fontId="0" fillId="0" borderId="33" applyAlignment="1" pivotButton="0" quotePrefix="0" xfId="0">
      <alignment horizontal="right" vertical="center"/>
    </xf>
    <xf numFmtId="0" fontId="7" fillId="0" borderId="35" applyAlignment="1" pivotButton="0" quotePrefix="0" xfId="0">
      <alignment vertical="center" wrapText="1"/>
    </xf>
    <xf numFmtId="0" fontId="4" fillId="0" borderId="30" applyAlignment="1" pivotButton="0" quotePrefix="0" xfId="0">
      <alignment horizontal="center" vertical="center"/>
    </xf>
    <xf numFmtId="170" fontId="4" fillId="0" borderId="32" applyAlignment="1" pivotButton="0" quotePrefix="0" xfId="0">
      <alignment horizontal="right" vertical="center"/>
    </xf>
    <xf numFmtId="0" fontId="8" fillId="0" borderId="0" applyAlignment="1" pivotButton="0" quotePrefix="0" xfId="0">
      <alignment vertical="center"/>
    </xf>
    <xf numFmtId="0" fontId="0" fillId="0" borderId="0" applyAlignment="1" pivotButton="0" quotePrefix="0" xfId="0">
      <alignment horizontal="right" vertical="top"/>
    </xf>
    <xf numFmtId="0" fontId="0" fillId="0" borderId="0" applyAlignment="1" pivotButton="0" quotePrefix="0" xfId="0">
      <alignment vertical="top" wrapText="1"/>
    </xf>
    <xf numFmtId="0" fontId="6" fillId="2" borderId="14" applyAlignment="1" pivotButton="0" quotePrefix="0" xfId="0">
      <alignment horizontal="center" vertical="center"/>
    </xf>
    <xf numFmtId="0" fontId="6" fillId="2" borderId="17" applyAlignment="1" pivotButton="0" quotePrefix="0" xfId="0">
      <alignment horizontal="center" vertical="center"/>
    </xf>
    <xf numFmtId="0" fontId="6" fillId="0" borderId="25" applyAlignment="1" pivotButton="0" quotePrefix="0" xfId="0">
      <alignment horizontal="center" vertical="center"/>
    </xf>
    <xf numFmtId="0" fontId="6" fillId="0" borderId="19" applyAlignment="1" pivotButton="0" quotePrefix="0" xfId="0">
      <alignment horizontal="center" vertical="center"/>
    </xf>
    <xf numFmtId="0" fontId="6" fillId="0" borderId="19" applyAlignment="1" pivotButton="0" quotePrefix="0" xfId="0">
      <alignment horizontal="left" vertical="center" wrapText="1" indent="1"/>
    </xf>
    <xf numFmtId="0" fontId="6" fillId="0" borderId="26" applyAlignment="1" pivotButton="0" quotePrefix="0" xfId="0">
      <alignment horizontal="center" vertical="center" wrapText="1"/>
    </xf>
    <xf numFmtId="0" fontId="6" fillId="0" borderId="27" applyAlignment="1" pivotButton="0" quotePrefix="0" xfId="0">
      <alignment horizontal="center" vertical="center"/>
    </xf>
    <xf numFmtId="0" fontId="6" fillId="0" borderId="28" applyAlignment="1" pivotButton="0" quotePrefix="0" xfId="0">
      <alignment horizontal="center" vertical="center"/>
    </xf>
    <xf numFmtId="0" fontId="6" fillId="0" borderId="28" applyAlignment="1" pivotButton="0" quotePrefix="0" xfId="0">
      <alignment horizontal="left" vertical="center" wrapText="1" indent="1"/>
    </xf>
    <xf numFmtId="0" fontId="0" fillId="0" borderId="28" pivotButton="0" quotePrefix="0" xfId="0"/>
    <xf numFmtId="0" fontId="6" fillId="0" borderId="29" applyAlignment="1" pivotButton="0" quotePrefix="0" xfId="0">
      <alignment horizontal="center" vertical="center" wrapText="1"/>
    </xf>
    <xf numFmtId="0" fontId="5" fillId="0" borderId="0" applyAlignment="1" pivotButton="0" quotePrefix="0" xfId="0">
      <alignment vertical="center"/>
    </xf>
    <xf numFmtId="0" fontId="7" fillId="0" borderId="0" applyAlignment="1" pivotButton="0" quotePrefix="0" xfId="0">
      <alignment vertical="center"/>
    </xf>
    <xf numFmtId="0" fontId="4" fillId="5" borderId="0" applyAlignment="1" pivotButton="0" quotePrefix="0" xfId="0">
      <alignment vertical="center"/>
    </xf>
    <xf numFmtId="0" fontId="5" fillId="2" borderId="12" applyAlignment="1" pivotButton="0" quotePrefix="0" xfId="0">
      <alignment horizontal="center" vertical="center"/>
    </xf>
    <xf numFmtId="0" fontId="6" fillId="0" borderId="7" applyAlignment="1" pivotButton="0" quotePrefix="0" xfId="0">
      <alignment horizontal="left" vertical="center"/>
    </xf>
    <xf numFmtId="4" fontId="6" fillId="0" borderId="7" applyAlignment="1" pivotButton="0" quotePrefix="0" xfId="0">
      <alignment horizontal="right" vertical="center"/>
    </xf>
    <xf numFmtId="0" fontId="6" fillId="0" borderId="13" applyAlignment="1" pivotButton="0" quotePrefix="0" xfId="0">
      <alignment horizontal="left" vertical="center"/>
    </xf>
    <xf numFmtId="4" fontId="6" fillId="0" borderId="13" applyAlignment="1" pivotButton="0" quotePrefix="0" xfId="0">
      <alignment horizontal="right" vertical="center"/>
    </xf>
    <xf numFmtId="0" fontId="6" fillId="0" borderId="7" applyAlignment="1" pivotButton="0" quotePrefix="0" xfId="0">
      <alignment vertical="center"/>
    </xf>
    <xf numFmtId="166" fontId="6" fillId="0" borderId="7" applyAlignment="1" pivotButton="0" quotePrefix="0" xfId="0">
      <alignment horizontal="right" vertical="center"/>
    </xf>
    <xf numFmtId="0" fontId="6" fillId="0" borderId="13" applyAlignment="1" pivotButton="0" quotePrefix="0" xfId="0">
      <alignment vertical="center"/>
    </xf>
    <xf numFmtId="166" fontId="6" fillId="0" borderId="13" applyAlignment="1" pivotButton="0" quotePrefix="0" xfId="0">
      <alignment horizontal="right" vertical="center"/>
    </xf>
    <xf numFmtId="0" fontId="5" fillId="5" borderId="0" applyAlignment="1" pivotButton="0" quotePrefix="0" xfId="0">
      <alignment vertical="center"/>
    </xf>
    <xf numFmtId="0" fontId="7" fillId="0"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Q40"/>
  <sheetViews>
    <sheetView showGridLines="0" tabSelected="1" workbookViewId="0">
      <selection activeCell="A1" sqref="A1"/>
    </sheetView>
  </sheetViews>
  <sheetFormatPr baseColWidth="8" defaultRowHeight="15"/>
  <cols>
    <col width="6" customWidth="1" min="1" max="1"/>
    <col width="8" customWidth="1" min="2" max="2"/>
    <col width="3" customWidth="1" min="3" max="3"/>
    <col width="15" customWidth="1" min="4" max="4"/>
    <col width="9" customWidth="1" min="5" max="5"/>
    <col width="9" customWidth="1" min="6" max="6"/>
    <col width="7" customWidth="1" min="7" max="7"/>
    <col width="5" customWidth="1" min="8" max="8"/>
    <col width="7" customWidth="1" min="9" max="9"/>
    <col width="7" customWidth="1" min="10" max="10"/>
    <col width="14" customWidth="1" min="11" max="11"/>
    <col width="12" customWidth="1" min="12" max="12"/>
    <col width="26" customWidth="1" min="13" max="13"/>
    <col width="12" customWidth="1" min="14" max="14"/>
    <col width="12" customWidth="1" min="15" max="15"/>
    <col width="12" customWidth="1" min="16" max="16"/>
    <col width="9" customWidth="1" min="17" max="17"/>
    <col width="12" customWidth="1" min="18" max="18"/>
    <col width="12" customWidth="1" min="19" max="19"/>
  </cols>
  <sheetData>
    <row r="1" ht="22" customHeight="1">
      <c r="A1" s="1" t="inlineStr">
        <is>
          <t>御　見　積　書</t>
        </is>
      </c>
    </row>
    <row r="2" ht="22" customHeight="1"/>
    <row r="3" ht="20" customHeight="1">
      <c r="J3" s="2" t="inlineStr">
        <is>
          <t>No.</t>
        </is>
      </c>
      <c r="K3" s="3" t="n"/>
      <c r="L3" s="4" t="n"/>
      <c r="M3" s="5" t="inlineStr">
        <is>
          <t>【設定・内部用】（印刷範囲外）</t>
        </is>
      </c>
      <c r="N3" s="6" t="n"/>
    </row>
    <row r="4" ht="20" customHeight="1">
      <c r="J4" s="7" t="n">
        <v>46302</v>
      </c>
      <c r="M4" s="8" t="inlineStr">
        <is>
          <t>提出係数（原価→定価ベース単価）</t>
        </is>
      </c>
      <c r="N4" s="9" t="n">
        <v>1.22</v>
      </c>
    </row>
    <row r="5" ht="26" customHeight="1">
      <c r="A5" s="10" t="inlineStr">
        <is>
          <t>株式会社共栄店舗</t>
        </is>
      </c>
      <c r="B5" s="4" t="n"/>
      <c r="C5" s="4" t="n"/>
      <c r="D5" s="4" t="n"/>
      <c r="E5" s="4" t="n"/>
      <c r="F5" s="4" t="n"/>
      <c r="G5" s="11" t="inlineStr">
        <is>
          <t>御中</t>
        </is>
      </c>
      <c r="M5" s="8" t="inlineStr">
        <is>
          <t>諸経費率（現場経費・運搬・雑材・工事諸経費）</t>
        </is>
      </c>
      <c r="N5" s="12" t="n">
        <v>0.22</v>
      </c>
    </row>
    <row r="6" ht="12" customHeight="1">
      <c r="A6" s="13" t="n"/>
      <c r="B6" s="13" t="n"/>
      <c r="C6" s="13" t="n"/>
      <c r="D6" s="13" t="n"/>
      <c r="E6" s="13" t="n"/>
      <c r="F6" s="13" t="n"/>
      <c r="M6" s="8" t="inlineStr">
        <is>
          <t>出精値引き 丸め単位（目標額空欄時）</t>
        </is>
      </c>
      <c r="N6" s="14" t="n">
        <v>10000</v>
      </c>
    </row>
    <row r="7" ht="28" customHeight="1">
      <c r="A7" s="15" t="inlineStr">
        <is>
          <t>金額</t>
        </is>
      </c>
      <c r="B7" s="16" t="str">
        <f>"¥"&amp;TEXT(K31,"#,##0")&amp;"-"</f>
        <v>¥1,850,000-</v>
      </c>
      <c r="C7" s="17" t="n"/>
      <c r="D7" s="17" t="n"/>
      <c r="E7" s="17" t="n"/>
      <c r="F7" s="18" t="inlineStr">
        <is>
          <t>（税別）</t>
        </is>
      </c>
      <c r="H7" s="19" t="inlineStr">
        <is>
          <t>宮地機工株式会社</t>
        </is>
      </c>
      <c r="M7" s="8" t="inlineStr">
        <is>
          <t>法定福利費率（労務費比）</t>
        </is>
      </c>
      <c r="N7" s="20">
        <f>WELFARE_RATE</f>
        <v>0.16375</v>
      </c>
    </row>
    <row r="8" ht="10" customHeight="1">
      <c r="B8" s="21" t="n"/>
      <c r="C8" s="21" t="n"/>
      <c r="D8" s="21" t="n"/>
      <c r="E8" s="21" t="n"/>
      <c r="M8" s="8" t="inlineStr">
        <is>
          <t>労務原価日額（円/人工）</t>
        </is>
      </c>
      <c r="N8" s="14" t="n">
        <v>19000</v>
      </c>
    </row>
    <row r="9" ht="19" customHeight="1">
      <c r="A9" s="18" t="inlineStr">
        <is>
          <t>上記の通り御見積申し上げます。</t>
        </is>
      </c>
      <c r="H9" s="22" t="inlineStr">
        <is>
          <t>代表取締役　濱本　義樹</t>
        </is>
      </c>
      <c r="M9" s="8" t="inlineStr">
        <is>
          <t>目標提出額（税別・空欄なら丸め）</t>
        </is>
      </c>
      <c r="N9" s="14" t="n"/>
    </row>
    <row r="10" ht="19" customHeight="1">
      <c r="A10" s="22" t="inlineStr">
        <is>
          <t>何卒ご用命賜わりますようお願い申し上げます。</t>
        </is>
      </c>
      <c r="M10" s="8" t="inlineStr">
        <is>
          <t>参考：宮地機工 人工単価（定価ベース）</t>
        </is>
      </c>
      <c r="N10" s="23" t="n">
        <v>23225</v>
      </c>
    </row>
    <row r="11" ht="19" customHeight="1">
      <c r="H11" s="22" t="inlineStr">
        <is>
          <t>〒722-0051</t>
        </is>
      </c>
      <c r="M11" s="24" t="inlineStr">
        <is>
          <t>※ 原価＝材料原価＋人工×N8。提出単価＝原価×N4（1.22で参考見積の人工単価23,225に一致）。目標提出額 N9 を入れると出精値引きで合わせる</t>
        </is>
      </c>
    </row>
    <row r="12" ht="19" customHeight="1">
      <c r="A12" s="25" t="inlineStr">
        <is>
          <t>工事名</t>
        </is>
      </c>
      <c r="D12" s="26" t="inlineStr">
        <is>
          <t>吉野家　呉海岸通店　新設工事</t>
        </is>
      </c>
      <c r="H12" s="22" t="inlineStr">
        <is>
          <t>広島県尾道市東尾道9-9</t>
        </is>
      </c>
    </row>
    <row r="13" ht="19" customHeight="1">
      <c r="D13" s="26" t="inlineStr">
        <is>
          <t>空調設備工事</t>
        </is>
      </c>
      <c r="H13" s="22" t="inlineStr">
        <is>
          <t>TEL.0848-20-2121</t>
        </is>
      </c>
      <c r="K13" s="22" t="inlineStr">
        <is>
          <t>FAX.0848-20-2126</t>
        </is>
      </c>
    </row>
    <row r="14" ht="22" customHeight="1">
      <c r="A14" s="25" t="inlineStr">
        <is>
          <t>施工場所</t>
        </is>
      </c>
      <c r="D14" s="27" t="inlineStr">
        <is>
          <t>広島県呉市海岸（国道31号沿い）</t>
        </is>
      </c>
      <c r="H14" s="22" t="inlineStr">
        <is>
          <t>担当者</t>
        </is>
      </c>
      <c r="J14" s="22" t="inlineStr">
        <is>
          <t>濱本　義武</t>
        </is>
      </c>
    </row>
    <row r="15" ht="19" customHeight="1">
      <c r="A15" s="25" t="inlineStr">
        <is>
          <t>工事期限</t>
        </is>
      </c>
      <c r="D15" s="26" t="inlineStr">
        <is>
          <t>全体工期 2026年9月1日～2026年11月16日（空調設備工事は工程表による・天井配管 10月上旬予定）</t>
        </is>
      </c>
    </row>
    <row r="16" ht="19" customHeight="1">
      <c r="A16" s="25" t="inlineStr">
        <is>
          <t>御支払条件</t>
        </is>
      </c>
      <c r="D16" s="26" t="inlineStr">
        <is>
          <t>別途お打ち合わせ</t>
        </is>
      </c>
    </row>
    <row r="17" ht="19" customHeight="1">
      <c r="A17" s="25" t="inlineStr">
        <is>
          <t>有効期限</t>
        </is>
      </c>
      <c r="D17" s="26" t="inlineStr">
        <is>
          <t>発行後3ヶ月</t>
        </is>
      </c>
    </row>
    <row r="18" ht="12" customHeight="1"/>
    <row r="19" ht="24" customHeight="1">
      <c r="A19" s="28" t="inlineStr">
        <is>
          <t>項　目</t>
        </is>
      </c>
      <c r="B19" s="29" t="inlineStr">
        <is>
          <t>内　　　容</t>
        </is>
      </c>
      <c r="C19" s="30" t="n"/>
      <c r="D19" s="30" t="n"/>
      <c r="E19" s="30" t="n"/>
      <c r="F19" s="30" t="n"/>
      <c r="G19" s="29" t="inlineStr">
        <is>
          <t>数 量</t>
        </is>
      </c>
      <c r="H19" s="31" t="inlineStr">
        <is>
          <t>単位</t>
        </is>
      </c>
      <c r="I19" s="29" t="inlineStr">
        <is>
          <t>単  価</t>
        </is>
      </c>
      <c r="J19" s="30" t="n"/>
      <c r="K19" s="29" t="inlineStr">
        <is>
          <t>金　　額</t>
        </is>
      </c>
      <c r="L19" s="32" t="inlineStr">
        <is>
          <t>備　考</t>
        </is>
      </c>
      <c r="M19" s="33" t="inlineStr">
        <is>
          <t>内部集計（原価・粗利）</t>
        </is>
      </c>
      <c r="N19" s="33" t="inlineStr">
        <is>
          <t>基準原価</t>
        </is>
      </c>
      <c r="O19" s="33" t="inlineStr">
        <is>
          <t>労務費(提出)</t>
        </is>
      </c>
      <c r="P19" s="33" t="inlineStr">
        <is>
          <t>粗利</t>
        </is>
      </c>
      <c r="Q19" s="33" t="inlineStr">
        <is>
          <t>粗利率</t>
        </is>
      </c>
    </row>
    <row r="20" ht="22" customHeight="1">
      <c r="A20" s="34" t="n"/>
      <c r="B20" s="35" t="inlineStr">
        <is>
          <t>【吉野家　呉海岸通店　新設工事　空調設備工事】</t>
        </is>
      </c>
      <c r="C20" s="36" t="n"/>
      <c r="D20" s="36" t="n"/>
      <c r="E20" s="36" t="n"/>
      <c r="F20" s="36" t="n"/>
      <c r="G20" s="36" t="n"/>
      <c r="H20" s="36" t="n"/>
      <c r="I20" s="36" t="n"/>
      <c r="J20" s="36" t="n"/>
      <c r="K20" s="36" t="n"/>
      <c r="L20" s="37" t="n"/>
      <c r="M20" s="38" t="n"/>
      <c r="N20" s="38" t="n"/>
      <c r="O20" s="38" t="n"/>
      <c r="P20" s="38" t="n"/>
      <c r="Q20" s="38" t="n"/>
    </row>
    <row r="21" ht="20" customHeight="1">
      <c r="A21" s="34" t="n"/>
      <c r="B21" s="39" t="inlineStr">
        <is>
          <t>［工事範囲：機器吊込み・冷媒配管（ガス管保温20mm）・VPドレン・ドレン配管GW保温・室外機設置　空調機・吹出しパンカーは支給品］</t>
        </is>
      </c>
      <c r="C21" s="36" t="n"/>
      <c r="D21" s="36" t="n"/>
      <c r="E21" s="36" t="n"/>
      <c r="F21" s="36" t="n"/>
      <c r="G21" s="36" t="n"/>
      <c r="H21" s="36" t="n"/>
      <c r="I21" s="36" t="n"/>
      <c r="J21" s="36" t="n"/>
      <c r="K21" s="36" t="n"/>
      <c r="L21" s="37" t="n"/>
      <c r="M21" s="40" t="n"/>
      <c r="N21" s="40" t="n"/>
      <c r="O21" s="40" t="n"/>
      <c r="P21" s="40" t="n"/>
      <c r="Q21" s="40" t="n"/>
    </row>
    <row r="22" ht="24" customHeight="1">
      <c r="A22" s="41" t="inlineStr">
        <is>
          <t>①</t>
        </is>
      </c>
      <c r="B22" s="35" t="inlineStr">
        <is>
          <t>機器吊込み・据付（空調機 支給品）</t>
        </is>
      </c>
      <c r="C22" s="36" t="n"/>
      <c r="D22" s="36" t="n"/>
      <c r="E22" s="36" t="n"/>
      <c r="F22" s="36" t="n"/>
      <c r="G22" s="42" t="n">
        <v>1</v>
      </c>
      <c r="H22" s="43" t="inlineStr">
        <is>
          <t>式</t>
        </is>
      </c>
      <c r="I22" s="44">
        <f>K22</f>
        <v>87350</v>
      </c>
      <c r="J22" s="36" t="n"/>
      <c r="K22" s="44">
        <f>'内訳書(空調設備工事)'!H9</f>
        <v>87350</v>
      </c>
      <c r="L22" s="45" t="inlineStr">
        <is>
          <t>内訳書 （1）</t>
        </is>
      </c>
      <c r="M22" s="46" t="inlineStr">
        <is>
          <t>①機器吊込み・据付</t>
        </is>
      </c>
      <c r="N22" s="47">
        <f>'内訳書(空調設備工事)'!O9</f>
        <v>71600</v>
      </c>
      <c r="O22" s="47">
        <f>'内訳書(空調設備工事)'!P9</f>
        <v>78812</v>
      </c>
      <c r="P22" s="47">
        <f>K22-N22</f>
        <v>15750</v>
      </c>
      <c r="Q22" s="48">
        <f>IF(K22=0,"",P22/K22)</f>
        <v>0.18030910131654265</v>
      </c>
    </row>
    <row r="23" ht="24" customHeight="1">
      <c r="A23" s="41" t="inlineStr">
        <is>
          <t>②</t>
        </is>
      </c>
      <c r="B23" s="35" t="inlineStr">
        <is>
          <t>冷媒配管（被覆銅管・ガス管保温20mm）</t>
        </is>
      </c>
      <c r="C23" s="36" t="n"/>
      <c r="D23" s="36" t="n"/>
      <c r="E23" s="36" t="n"/>
      <c r="F23" s="36" t="n"/>
      <c r="G23" s="42" t="n">
        <v>1</v>
      </c>
      <c r="H23" s="43" t="inlineStr">
        <is>
          <t>式</t>
        </is>
      </c>
      <c r="I23" s="44">
        <f>K23</f>
        <v>710310</v>
      </c>
      <c r="J23" s="36" t="n"/>
      <c r="K23" s="44">
        <f>'内訳書(空調設備工事)'!H17</f>
        <v>710310</v>
      </c>
      <c r="L23" s="45" t="inlineStr">
        <is>
          <t>内訳書 （2）</t>
        </is>
      </c>
      <c r="M23" s="46" t="inlineStr">
        <is>
          <t>②冷媒配管</t>
        </is>
      </c>
      <c r="N23" s="47">
        <f>'内訳書(空調設備工事)'!O17</f>
        <v>582100</v>
      </c>
      <c r="O23" s="47">
        <f>'内訳書(空調設備工事)'!P17</f>
        <v>345382</v>
      </c>
      <c r="P23" s="47">
        <f>K23-N23</f>
        <v>128210</v>
      </c>
      <c r="Q23" s="48">
        <f>IF(K23=0,"",P23/K23)</f>
        <v>0.18049865551660543</v>
      </c>
    </row>
    <row r="24" ht="24" customHeight="1">
      <c r="A24" s="41" t="inlineStr">
        <is>
          <t>③</t>
        </is>
      </c>
      <c r="B24" s="35" t="inlineStr">
        <is>
          <t>ドレン配管（硬質塩化ビニル管 VP）</t>
        </is>
      </c>
      <c r="C24" s="36" t="n"/>
      <c r="D24" s="36" t="n"/>
      <c r="E24" s="36" t="n"/>
      <c r="F24" s="36" t="n"/>
      <c r="G24" s="42" t="n">
        <v>1</v>
      </c>
      <c r="H24" s="43" t="inlineStr">
        <is>
          <t>式</t>
        </is>
      </c>
      <c r="I24" s="44">
        <f>K24</f>
        <v>77500</v>
      </c>
      <c r="J24" s="36" t="n"/>
      <c r="K24" s="44">
        <f>'内訳書(空調設備工事)'!H24</f>
        <v>77500</v>
      </c>
      <c r="L24" s="45" t="inlineStr">
        <is>
          <t>内訳書 （3）</t>
        </is>
      </c>
      <c r="M24" s="46" t="inlineStr">
        <is>
          <t>③ドレン配管</t>
        </is>
      </c>
      <c r="N24" s="47">
        <f>'内訳書(空調設備工事)'!O24</f>
        <v>63515</v>
      </c>
      <c r="O24" s="47">
        <f>'内訳書(空調設備工事)'!P24</f>
        <v>60267</v>
      </c>
      <c r="P24" s="47">
        <f>K24-N24</f>
        <v>13985</v>
      </c>
      <c r="Q24" s="48">
        <f>IF(K24=0,"",P24/K24)</f>
        <v>0.1804516129032258</v>
      </c>
    </row>
    <row r="25" ht="24" customHeight="1">
      <c r="A25" s="41" t="inlineStr">
        <is>
          <t>④</t>
        </is>
      </c>
      <c r="B25" s="35" t="inlineStr">
        <is>
          <t>ドレン配管保温（グラスウール）</t>
        </is>
      </c>
      <c r="C25" s="36" t="n"/>
      <c r="D25" s="36" t="n"/>
      <c r="E25" s="36" t="n"/>
      <c r="F25" s="36" t="n"/>
      <c r="G25" s="42" t="n">
        <v>1</v>
      </c>
      <c r="H25" s="43" t="inlineStr">
        <is>
          <t>式</t>
        </is>
      </c>
      <c r="I25" s="44">
        <f>K25</f>
        <v>51090</v>
      </c>
      <c r="J25" s="36" t="n"/>
      <c r="K25" s="44">
        <f>'内訳書(空調設備工事)'!H29</f>
        <v>51090</v>
      </c>
      <c r="L25" s="45" t="inlineStr">
        <is>
          <t>内訳書 （4）</t>
        </is>
      </c>
      <c r="M25" s="46" t="inlineStr">
        <is>
          <t>④ドレン配管保温</t>
        </is>
      </c>
      <c r="N25" s="47">
        <f>'内訳書(空調設備工事)'!O29</f>
        <v>41880</v>
      </c>
      <c r="O25" s="47">
        <f>'内訳書(空調設備工事)'!P29</f>
        <v>28280</v>
      </c>
      <c r="P25" s="47">
        <f>K25-N25</f>
        <v>9210</v>
      </c>
      <c r="Q25" s="48">
        <f>IF(K25=0,"",P25/K25)</f>
        <v>0.1802701115678215</v>
      </c>
    </row>
    <row r="26" ht="24" customHeight="1">
      <c r="A26" s="41" t="inlineStr">
        <is>
          <t>⑤</t>
        </is>
      </c>
      <c r="B26" s="35" t="inlineStr">
        <is>
          <t>室外機設置（2段架台・基礎・防振ゴム共）</t>
        </is>
      </c>
      <c r="C26" s="36" t="n"/>
      <c r="D26" s="36" t="n"/>
      <c r="E26" s="36" t="n"/>
      <c r="F26" s="36" t="n"/>
      <c r="G26" s="42" t="n">
        <v>1</v>
      </c>
      <c r="H26" s="43" t="inlineStr">
        <is>
          <t>式</t>
        </is>
      </c>
      <c r="I26" s="44">
        <f>K26</f>
        <v>505320</v>
      </c>
      <c r="J26" s="36" t="n"/>
      <c r="K26" s="44">
        <f>'内訳書(空調設備工事)'!H39</f>
        <v>505320</v>
      </c>
      <c r="L26" s="45" t="inlineStr">
        <is>
          <t>内訳書 （5）</t>
        </is>
      </c>
      <c r="M26" s="46" t="inlineStr">
        <is>
          <t>⑤室外機設置</t>
        </is>
      </c>
      <c r="N26" s="47">
        <f>'内訳書(空調設備工事)'!O39</f>
        <v>414200</v>
      </c>
      <c r="O26" s="47">
        <f>'内訳書(空調設備工事)'!P39</f>
        <v>157624</v>
      </c>
      <c r="P26" s="47">
        <f>K26-N26</f>
        <v>91120</v>
      </c>
      <c r="Q26" s="48">
        <f>IF(K26=0,"",P26/K26)</f>
        <v>0.18032138051135913</v>
      </c>
    </row>
    <row r="27" ht="24" customHeight="1">
      <c r="A27" s="41" t="inlineStr">
        <is>
          <t>⑥</t>
        </is>
      </c>
      <c r="B27" s="35" t="inlineStr">
        <is>
          <t>法定福利費（労務費に係る事業主負担分）</t>
        </is>
      </c>
      <c r="C27" s="36" t="n"/>
      <c r="D27" s="36" t="n"/>
      <c r="E27" s="36" t="n"/>
      <c r="F27" s="36" t="n"/>
      <c r="G27" s="42" t="n">
        <v>1</v>
      </c>
      <c r="H27" s="43" t="inlineStr">
        <is>
          <t>式</t>
        </is>
      </c>
      <c r="I27" s="44">
        <f>K27</f>
        <v>109768</v>
      </c>
      <c r="J27" s="36" t="n"/>
      <c r="K27" s="44">
        <f>'法定福利費内訳明細書'!F29</f>
        <v>109768</v>
      </c>
      <c r="L27" s="45" t="inlineStr">
        <is>
          <t>別紙明細書</t>
        </is>
      </c>
      <c r="M27" s="46" t="inlineStr">
        <is>
          <t>⑥法定福利費（原価＝提出値）</t>
        </is>
      </c>
      <c r="N27" s="49">
        <f>K27</f>
        <v>109768</v>
      </c>
      <c r="O27" s="40" t="n"/>
      <c r="P27" s="40" t="n"/>
      <c r="Q27" s="40" t="n"/>
    </row>
    <row r="28" ht="24" customHeight="1">
      <c r="A28" s="41" t="inlineStr">
        <is>
          <t>⑦</t>
        </is>
      </c>
      <c r="B28" s="35" t="inlineStr">
        <is>
          <t>諸経費（現場経費・資材運搬・工事諸経費）</t>
        </is>
      </c>
      <c r="C28" s="36" t="n"/>
      <c r="D28" s="36" t="n"/>
      <c r="E28" s="36" t="n"/>
      <c r="F28" s="36" t="n"/>
      <c r="G28" s="42" t="n">
        <v>1</v>
      </c>
      <c r="H28" s="43" t="inlineStr">
        <is>
          <t>式</t>
        </is>
      </c>
      <c r="I28" s="44">
        <f>K28</f>
        <v>315000</v>
      </c>
      <c r="J28" s="36" t="n"/>
      <c r="K28" s="44">
        <f>ROUND(SUM(K22:K26)*OVERHEAD_RATE,-3)</f>
        <v>315000</v>
      </c>
      <c r="L28" s="45" t="str">
        <f>"①〜⑤計の"&amp;TEXT(OVERHEAD_RATE,"0%")</f>
        <v>①〜⑤計の22%</v>
      </c>
      <c r="M28" s="46" t="inlineStr">
        <is>
          <t>⑦諸経費（原価計上なし）</t>
        </is>
      </c>
      <c r="N28" s="49" t="n">
        <v>0</v>
      </c>
      <c r="O28" s="40" t="n"/>
      <c r="P28" s="40" t="n"/>
      <c r="Q28" s="40" t="n"/>
    </row>
    <row r="29" ht="24" customHeight="1">
      <c r="A29" s="34" t="n"/>
      <c r="B29" s="36" t="n"/>
      <c r="C29" s="36" t="n"/>
      <c r="D29" s="36" t="n"/>
      <c r="E29" s="36" t="n"/>
      <c r="F29" s="36" t="n"/>
      <c r="G29" s="36" t="n"/>
      <c r="H29" s="36" t="n"/>
      <c r="I29" s="36" t="n"/>
      <c r="J29" s="36" t="n"/>
      <c r="K29" s="36" t="n"/>
      <c r="L29" s="37" t="n"/>
      <c r="M29" s="40" t="n"/>
      <c r="N29" s="40" t="n"/>
      <c r="O29" s="40" t="n"/>
      <c r="P29" s="40" t="n"/>
      <c r="Q29" s="40" t="n"/>
    </row>
    <row r="30" ht="24" customHeight="1">
      <c r="A30" s="50" t="n"/>
      <c r="B30" s="51" t="inlineStr">
        <is>
          <t>出精値引き</t>
        </is>
      </c>
      <c r="C30" s="52" t="n"/>
      <c r="D30" s="52" t="n"/>
      <c r="E30" s="52" t="n"/>
      <c r="F30" s="52" t="n"/>
      <c r="G30" s="52" t="n"/>
      <c r="H30" s="52" t="n"/>
      <c r="I30" s="52" t="n"/>
      <c r="J30" s="52" t="n"/>
      <c r="K30" s="53">
        <f>IF(TARGET="",FLOOR(SUM(K22:K28),ROUND_UNIT)-SUM(K22:K28),TARGET-SUM(K22:K28))</f>
        <v>-6338</v>
      </c>
      <c r="L30" s="54" t="inlineStr">
        <is>
          <t>端数調整</t>
        </is>
      </c>
      <c r="M30" s="55" t="inlineStr">
        <is>
          <t>出精値引き（原価なし・粗利から控除）</t>
        </is>
      </c>
      <c r="N30" s="56" t="n">
        <v>0</v>
      </c>
      <c r="O30" s="57" t="n"/>
      <c r="P30" s="58">
        <f>K30</f>
        <v>-6338</v>
      </c>
      <c r="Q30" s="57" t="n"/>
    </row>
    <row r="31" ht="24" customHeight="1">
      <c r="A31" s="59" t="n"/>
      <c r="B31" s="60" t="inlineStr">
        <is>
          <t xml:space="preserve">　合　　計</t>
        </is>
      </c>
      <c r="C31" s="61" t="n"/>
      <c r="D31" s="61" t="n"/>
      <c r="E31" s="61" t="n"/>
      <c r="F31" s="61" t="n"/>
      <c r="G31" s="61" t="n"/>
      <c r="H31" s="61" t="n"/>
      <c r="I31" s="61" t="n"/>
      <c r="J31" s="61" t="n"/>
      <c r="K31" s="62">
        <f>SUM(K22:K30)</f>
        <v>1850000</v>
      </c>
      <c r="L31" s="63" t="inlineStr">
        <is>
          <t>（税別）</t>
        </is>
      </c>
      <c r="M31" s="64" t="inlineStr">
        <is>
          <t>合計（原価合計／粗利／粗利率）</t>
        </is>
      </c>
      <c r="N31" s="65">
        <f>SUM(N22:N30)</f>
        <v>1283063</v>
      </c>
      <c r="O31" s="42">
        <f>SUM(O22:O30)</f>
        <v>670365</v>
      </c>
      <c r="P31" s="65">
        <f>K31-N31</f>
        <v>566937</v>
      </c>
      <c r="Q31" s="66">
        <f>IF(K31=0,"",P31/K31)</f>
        <v>0.3064524324324324</v>
      </c>
    </row>
    <row r="32" ht="12" customHeight="1"/>
    <row r="33" ht="26.8" customHeight="1">
      <c r="A33" s="67" t="inlineStr">
        <is>
          <t>※</t>
        </is>
      </c>
      <c r="B33" s="68" t="inlineStr">
        <is>
          <t>本見積は換気空調機器表（F-01）・空調設備図（F-02-1）・平面図（A-08）に基づき当社にて数量を拾い出して積算しております。実施数量との差異は別途精算とさせていただきます。</t>
        </is>
      </c>
      <c r="M33" s="8" t="inlineStr">
        <is>
          <t>粗利率別 参考提出額（税別・万円未満切上げ）</t>
        </is>
      </c>
      <c r="N33" s="69" t="inlineStr">
        <is>
          <t>参考提出額</t>
        </is>
      </c>
      <c r="O33" s="69" t="inlineStr">
        <is>
          <t>必要提出係数</t>
        </is>
      </c>
    </row>
    <row r="34" ht="38.6" customHeight="1">
      <c r="A34" s="67" t="inlineStr">
        <is>
          <t>※</t>
        </is>
      </c>
      <c r="B34" s="68" t="inlineStr">
        <is>
          <t>本見積の工事範囲は「機器吊込み・冷媒配管（ガス管保温20mm）・VPドレン・ドレン配管GW保温・室外機設置」です。空調機（AC-1・AC-2・RAC の室内機・室外機・リモコン）および吹出しパンカーは支給品のため含みません（吊込み・据付費のみ計上）。</t>
        </is>
      </c>
      <c r="M34" s="70" t="n">
        <v>0.1</v>
      </c>
      <c r="N34" s="42">
        <f>ROUNDUP($N$31/(1-M34),-4)</f>
        <v>1430000</v>
      </c>
      <c r="O34" s="71">
        <f>IF(SUM($N$22:$N$26)=0,"",ROUND(($N$31/(1-M34)-$N$27-$K$28)/SUM($N$22:$N$26),3))</f>
        <v>0.853</v>
      </c>
    </row>
    <row r="35" ht="26.8" customHeight="1">
      <c r="A35" s="67" t="inlineStr">
        <is>
          <t>※</t>
        </is>
      </c>
      <c r="B35" s="68" t="inlineStr">
        <is>
          <t>渡り操作配線・リモコン取付、試運転調整、AC-2 吹出しダクト・吹出しパンカー取付、換気設備、電源・接地等の電気工事、建築工事は含みません。</t>
        </is>
      </c>
      <c r="M35" s="70" t="n">
        <v>0.15</v>
      </c>
      <c r="N35" s="42">
        <f>ROUNDUP($N$31/(1-M35),-4)</f>
        <v>1510000</v>
      </c>
      <c r="O35" s="71">
        <f>IF(SUM($N$22:$N$26)=0,"",ROUND(($N$31/(1-M35)-$N$27-$K$28)/SUM($N$22:$N$26),3))</f>
        <v>0.925</v>
      </c>
    </row>
    <row r="36" ht="26.8" customHeight="1">
      <c r="A36" s="67" t="inlineStr">
        <is>
          <t>※</t>
        </is>
      </c>
      <c r="B36" s="68" t="inlineStr">
        <is>
          <t>仮設（足場・高所作業車等）、揚重機（クレーン等）、産業廃棄物（支給品の梱包材を含む）の処分は元請様にてご手配・ご負担願います。</t>
        </is>
      </c>
      <c r="M36" s="70" t="n">
        <v>0.2</v>
      </c>
      <c r="N36" s="42">
        <f>ROUNDUP($N$31/(1-M36),-4)</f>
        <v>1610000</v>
      </c>
      <c r="O36" s="71">
        <f>IF(SUM($N$22:$N$26)=0,"",ROUND(($N$31/(1-M36)-$N$27-$K$28)/SUM($N$22:$N$26),3))</f>
        <v>1.005</v>
      </c>
    </row>
    <row r="37" ht="14.9" customHeight="1">
      <c r="A37" s="67" t="inlineStr">
        <is>
          <t>※</t>
        </is>
      </c>
      <c r="B37" s="68" t="inlineStr">
        <is>
          <t>想定数量の項目は別紙「御見積条件」記載の前提にて計上しており、実数量確定後に精算させていただきます。</t>
        </is>
      </c>
      <c r="M37" s="70" t="n">
        <v>0.25</v>
      </c>
      <c r="N37" s="42">
        <f>ROUNDUP($N$31/(1-M37),-4)</f>
        <v>1720000</v>
      </c>
      <c r="O37" s="71">
        <f>IF(SUM($N$22:$N$26)=0,"",ROUND(($N$31/(1-M37)-$N$27-$K$28)/SUM($N$22:$N$26),3))</f>
        <v>1.096</v>
      </c>
    </row>
    <row r="38" ht="14.9" customHeight="1">
      <c r="A38" s="67" t="inlineStr">
        <is>
          <t>※</t>
        </is>
      </c>
      <c r="B38" s="68" t="inlineStr">
        <is>
          <t>本見積書に記載なき事項については別途とさせて頂きます。工事に係る電気・水道は無償支給願います。</t>
        </is>
      </c>
      <c r="M38" s="70" t="n">
        <v>0.3</v>
      </c>
      <c r="N38" s="42">
        <f>ROUNDUP($N$31/(1-M38),-4)</f>
        <v>1840000</v>
      </c>
      <c r="O38" s="71">
        <f>IF(SUM($N$22:$N$26)=0,"",ROUND(($N$31/(1-M38)-$N$27-$K$28)/SUM($N$22:$N$26),3))</f>
        <v>1.2</v>
      </c>
    </row>
    <row r="39" ht="26.8" customHeight="1">
      <c r="A39" s="67" t="inlineStr">
        <is>
          <t>※</t>
        </is>
      </c>
      <c r="B39" s="68" t="inlineStr">
        <is>
          <t>本見積金額には消費税は含まれておりません。有効期限内でも銅管・鋼材等の市況が著しく変動した場合は再見積をさせていただくことがあります。</t>
        </is>
      </c>
      <c r="M39" s="24" t="inlineStr">
        <is>
          <t>※ 必要提出係数は諸経費を現状額に固定した場合の目安</t>
        </is>
      </c>
    </row>
    <row r="40" ht="14.9" customHeight="1">
      <c r="A40" s="67" t="inlineStr">
        <is>
          <t>※</t>
        </is>
      </c>
      <c r="B40" s="68" t="inlineStr">
        <is>
          <t>詳細条件は別紙「御見積条件」をご参照ください。</t>
        </is>
      </c>
    </row>
  </sheetData>
  <mergeCells count="49">
    <mergeCell ref="I30:J30"/>
    <mergeCell ref="B35:L35"/>
    <mergeCell ref="A15:B15"/>
    <mergeCell ref="D12:G12"/>
    <mergeCell ref="B25:F25"/>
    <mergeCell ref="I27:J27"/>
    <mergeCell ref="B31:F31"/>
    <mergeCell ref="D17:L17"/>
    <mergeCell ref="J4:L4"/>
    <mergeCell ref="B22:F22"/>
    <mergeCell ref="I26:J26"/>
    <mergeCell ref="B27:F27"/>
    <mergeCell ref="D16:L16"/>
    <mergeCell ref="D14:G14"/>
    <mergeCell ref="A16:B16"/>
    <mergeCell ref="B21:L21"/>
    <mergeCell ref="A5:F5"/>
    <mergeCell ref="I25:J25"/>
    <mergeCell ref="B39:L39"/>
    <mergeCell ref="A1:L2"/>
    <mergeCell ref="B7:E7"/>
    <mergeCell ref="B23:F23"/>
    <mergeCell ref="I22:J22"/>
    <mergeCell ref="I28:J28"/>
    <mergeCell ref="A12:B12"/>
    <mergeCell ref="D15:L15"/>
    <mergeCell ref="B29:F29"/>
    <mergeCell ref="B38:L38"/>
    <mergeCell ref="I24:J24"/>
    <mergeCell ref="B28:F28"/>
    <mergeCell ref="A9:F9"/>
    <mergeCell ref="B19:F19"/>
    <mergeCell ref="B34:L34"/>
    <mergeCell ref="B37:L37"/>
    <mergeCell ref="A14:B14"/>
    <mergeCell ref="I23:J23"/>
    <mergeCell ref="D13:G13"/>
    <mergeCell ref="A17:B17"/>
    <mergeCell ref="B40:L40"/>
    <mergeCell ref="B30:F30"/>
    <mergeCell ref="I29:J29"/>
    <mergeCell ref="B36:L36"/>
    <mergeCell ref="B24:F24"/>
    <mergeCell ref="B33:L33"/>
    <mergeCell ref="I19:J19"/>
    <mergeCell ref="B20:L20"/>
    <mergeCell ref="I31:J31"/>
    <mergeCell ref="B26:F26"/>
    <mergeCell ref="K3:L3"/>
  </mergeCells>
  <printOptions horizontalCentered="1" gridLines="0"/>
  <pageMargins left="0.4724409448818897" right="0.4724409448818897" top="0.5905511811023622" bottom="0.5905511811023622" header="0.3149606299212598" footer="0.2362204724409449"/>
  <pageSetup orientation="portrait" paperSize="9" fitToHeight="1" fitToWidth="1"/>
</worksheet>
</file>

<file path=xl/worksheets/sheet2.xml><?xml version="1.0" encoding="utf-8"?>
<worksheet xmlns="http://schemas.openxmlformats.org/spreadsheetml/2006/main">
  <sheetPr>
    <outlinePr summaryBelow="1" summaryRight="1"/>
    <pageSetUpPr fitToPage="1"/>
  </sheetPr>
  <dimension ref="A1:V41"/>
  <sheetViews>
    <sheetView showGridLines="0" tabSelected="0" workbookViewId="0">
      <selection activeCell="A1" sqref="A1"/>
    </sheetView>
  </sheetViews>
  <sheetFormatPr baseColWidth="8" defaultRowHeight="15"/>
  <cols>
    <col width="4" customWidth="1" min="1" max="1"/>
    <col width="27" customWidth="1" min="2" max="2"/>
    <col width="24" customWidth="1" min="3" max="3"/>
    <col width="4" customWidth="1" min="4" max="4"/>
    <col width="8" customWidth="1" min="5" max="5"/>
    <col width="5" customWidth="1" min="6" max="6"/>
    <col width="10" customWidth="1" min="7" max="7"/>
    <col width="13" customWidth="1" min="8" max="8"/>
    <col width="15" customWidth="1" min="9" max="9"/>
    <col width="10" customWidth="1" min="10" max="10"/>
    <col width="7" customWidth="1" min="11" max="11"/>
    <col width="10" customWidth="1" min="12" max="12"/>
    <col width="10" customWidth="1" min="13" max="13"/>
    <col width="7" customWidth="1" min="14" max="14"/>
    <col width="12" customWidth="1" min="15" max="15"/>
    <col width="12" customWidth="1" min="16" max="16"/>
    <col width="9" customWidth="1" min="17" max="17"/>
    <col width="12" customWidth="1" min="18" max="18"/>
    <col width="8" customWidth="1" min="19" max="19"/>
    <col width="11" customWidth="1" min="20" max="20"/>
    <col width="8" customWidth="1" min="21" max="21"/>
    <col width="40" customWidth="1" min="22" max="22"/>
  </cols>
  <sheetData>
    <row r="1" ht="26" customHeight="1">
      <c r="A1" s="72" t="inlineStr">
        <is>
          <t>内　訳　書</t>
        </is>
      </c>
      <c r="J1" s="73" t="inlineStr">
        <is>
          <t>原　価　内　訳　書（内部用・印刷範囲外）</t>
        </is>
      </c>
      <c r="K1" s="74" t="n"/>
      <c r="L1" s="74" t="n"/>
      <c r="M1" s="74" t="n"/>
      <c r="N1" s="74" t="n"/>
      <c r="O1" s="74" t="n"/>
      <c r="P1" s="74" t="n"/>
      <c r="Q1" s="74" t="n"/>
      <c r="R1" s="74" t="n"/>
      <c r="S1" s="74" t="n"/>
      <c r="T1" s="74" t="n"/>
      <c r="U1" s="74" t="n"/>
      <c r="V1" s="74" t="n"/>
    </row>
    <row r="2" ht="18" customHeight="1">
      <c r="A2" s="22" t="inlineStr">
        <is>
          <t>工事名：吉野家　呉海岸通店　新設工事　空調設備工事</t>
        </is>
      </c>
      <c r="I2" s="2" t="inlineStr">
        <is>
          <t>内訳書 No.1</t>
        </is>
      </c>
    </row>
    <row r="3" ht="20" customHeight="1">
      <c r="A3" s="75" t="inlineStr">
        <is>
          <t>名　　称</t>
        </is>
      </c>
      <c r="B3" s="30" t="n"/>
      <c r="C3" s="76" t="inlineStr">
        <is>
          <t>規格・寸法</t>
        </is>
      </c>
      <c r="D3" s="30" t="n"/>
      <c r="E3" s="76" t="inlineStr">
        <is>
          <t>数 量</t>
        </is>
      </c>
      <c r="F3" s="76" t="inlineStr">
        <is>
          <t>単位</t>
        </is>
      </c>
      <c r="G3" s="76" t="inlineStr">
        <is>
          <t>単　価</t>
        </is>
      </c>
      <c r="H3" s="76" t="inlineStr">
        <is>
          <t>金　　額</t>
        </is>
      </c>
      <c r="I3" s="77" t="inlineStr">
        <is>
          <t>備　考</t>
        </is>
      </c>
      <c r="J3" s="78" t="inlineStr">
        <is>
          <t>材料原価</t>
        </is>
      </c>
      <c r="K3" s="78" t="inlineStr">
        <is>
          <t>人工/単位</t>
        </is>
      </c>
      <c r="L3" s="78" t="inlineStr">
        <is>
          <t>労務原価</t>
        </is>
      </c>
      <c r="M3" s="78" t="inlineStr">
        <is>
          <t>基準原価単価</t>
        </is>
      </c>
      <c r="N3" s="78" t="inlineStr">
        <is>
          <t>提出係数</t>
        </is>
      </c>
      <c r="O3" s="78" t="inlineStr">
        <is>
          <t>基準原価</t>
        </is>
      </c>
      <c r="P3" s="78" t="inlineStr">
        <is>
          <t>労務費(提出)</t>
        </is>
      </c>
      <c r="Q3" s="78" t="inlineStr">
        <is>
          <t>数量根拠</t>
        </is>
      </c>
      <c r="R3" s="78" t="inlineStr">
        <is>
          <t>粗利</t>
        </is>
      </c>
      <c r="S3" s="78" t="inlineStr">
        <is>
          <t>粗利率</t>
        </is>
      </c>
      <c r="T3" s="78" t="inlineStr">
        <is>
          <t>参考定価ベース</t>
        </is>
      </c>
      <c r="U3" s="78" t="inlineStr">
        <is>
          <t>当社/参考</t>
        </is>
      </c>
      <c r="V3" s="78" t="inlineStr">
        <is>
          <t>単価出典・メモ（内部）</t>
        </is>
      </c>
    </row>
    <row r="4" ht="18" customHeight="1">
      <c r="A4" s="79" t="inlineStr">
        <is>
          <t>空調設備工事（機器吊込み・冷媒配管（ガス管保温20mm）・VPドレン・ドレン配管GW保温・室外機設置）</t>
        </is>
      </c>
      <c r="B4" s="38" t="n"/>
      <c r="C4" s="38" t="n"/>
      <c r="D4" s="38" t="n"/>
      <c r="E4" s="38" t="n"/>
      <c r="F4" s="38" t="n"/>
      <c r="G4" s="38" t="n"/>
      <c r="H4" s="38" t="n"/>
      <c r="I4" s="80" t="n"/>
      <c r="J4" s="38" t="n"/>
      <c r="K4" s="38" t="n"/>
      <c r="L4" s="38" t="n"/>
      <c r="M4" s="38" t="n"/>
      <c r="N4" s="38" t="n"/>
      <c r="O4" s="38" t="n"/>
      <c r="P4" s="38" t="n"/>
      <c r="Q4" s="38" t="n"/>
      <c r="R4" s="38" t="n"/>
      <c r="S4" s="38" t="n"/>
      <c r="T4" s="38" t="n"/>
      <c r="U4" s="38" t="n"/>
      <c r="V4" s="38" t="n"/>
    </row>
    <row r="5" ht="18" customHeight="1">
      <c r="A5" s="81" t="inlineStr">
        <is>
          <t>（1）機器吊込み・据付（空調機は支給品）</t>
        </is>
      </c>
      <c r="B5" s="40" t="n"/>
      <c r="C5" s="40" t="n"/>
      <c r="D5" s="40" t="n"/>
      <c r="E5" s="40" t="n"/>
      <c r="F5" s="40" t="n"/>
      <c r="G5" s="40" t="n"/>
      <c r="H5" s="40" t="n"/>
      <c r="I5" s="82" t="n"/>
      <c r="J5" s="40" t="n"/>
      <c r="K5" s="40" t="n"/>
      <c r="L5" s="40" t="n"/>
      <c r="M5" s="40" t="n"/>
      <c r="N5" s="40" t="n"/>
      <c r="O5" s="40" t="n"/>
      <c r="P5" s="40" t="n"/>
      <c r="Q5" s="40" t="n"/>
      <c r="R5" s="40" t="n"/>
      <c r="S5" s="40" t="n"/>
      <c r="T5" s="40" t="n"/>
      <c r="U5" s="40" t="n"/>
      <c r="V5" s="40" t="n"/>
    </row>
    <row r="6" ht="37.8" customHeight="1">
      <c r="A6" s="83" t="inlineStr">
        <is>
          <t xml:space="preserve">　AC-1 室内機 吊込み・据付</t>
        </is>
      </c>
      <c r="B6" s="40" t="n"/>
      <c r="C6" s="84" t="inlineStr">
        <is>
          <t>天井カセット形 5HP SSRC140C 客席（吊ボルト・化粧パネル取付共）</t>
        </is>
      </c>
      <c r="D6" s="40" t="n"/>
      <c r="E6" s="85" t="n">
        <v>2</v>
      </c>
      <c r="F6" s="86" t="inlineStr">
        <is>
          <t>台</t>
        </is>
      </c>
      <c r="G6" s="87">
        <f>IF(M6="","",ROUND(M6*N6,-1))</f>
        <v>23300</v>
      </c>
      <c r="H6" s="85">
        <f>IF(G6="","",ROUND(E6*G6,0))</f>
        <v>46600</v>
      </c>
      <c r="I6" s="88" t="inlineStr">
        <is>
          <t>支給品の吊込み</t>
        </is>
      </c>
      <c r="J6" s="89" t="n">
        <v>2000</v>
      </c>
      <c r="K6" s="90" t="n">
        <v>0.9</v>
      </c>
      <c r="L6" s="87">
        <f>ROUND(K6*LABOR_DAY,0)</f>
        <v>17100</v>
      </c>
      <c r="M6" s="87">
        <f>J6+L6</f>
        <v>19100</v>
      </c>
      <c r="N6" s="91">
        <f>COEF</f>
        <v>1.22</v>
      </c>
      <c r="O6" s="85">
        <f>E6*M6</f>
        <v>38200</v>
      </c>
      <c r="P6" s="85">
        <f>ROUND(E6*L6*N6,0)</f>
        <v>41724</v>
      </c>
      <c r="Q6" s="92" t="inlineStr">
        <is>
          <t>図面カウント</t>
        </is>
      </c>
      <c r="R6" s="85">
        <f>IF(H6="","",H6-O6)</f>
        <v>8400</v>
      </c>
      <c r="S6" s="93">
        <f>IF(OR(H6="",H6=0),"",R6/H6)</f>
        <v>0.18025751072961374</v>
      </c>
      <c r="T6" s="87" t="n">
        <v>21700</v>
      </c>
      <c r="U6" s="94">
        <f>IF(OR(T6="",T6=0),"",G6/T6)</f>
        <v>1.0737327188940091</v>
      </c>
      <c r="V6" s="95" t="inlineStr">
        <is>
          <t>6330476-3 搬入据付 238,750/11台≒21,700/台。木造天井のため吊ボルト受け金物・吊ボルト4本分を材料に加算｜</t>
        </is>
      </c>
    </row>
    <row r="7" ht="26.5" customHeight="1">
      <c r="A7" s="83" t="inlineStr">
        <is>
          <t xml:space="preserve">　AC-2 室内機 吊込み・据付</t>
        </is>
      </c>
      <c r="B7" s="40" t="n"/>
      <c r="C7" s="84" t="inlineStr">
        <is>
          <t>天井ビルトイン形 5HP SSRB140C 厨房（吊ボルト共）</t>
        </is>
      </c>
      <c r="D7" s="40" t="n"/>
      <c r="E7" s="85" t="n">
        <v>1</v>
      </c>
      <c r="F7" s="86" t="inlineStr">
        <is>
          <t>台</t>
        </is>
      </c>
      <c r="G7" s="87">
        <f>IF(M7="","",ROUND(M7*N7,-1))</f>
        <v>30870</v>
      </c>
      <c r="H7" s="85">
        <f>IF(G7="","",ROUND(E7*G7,0))</f>
        <v>30870</v>
      </c>
      <c r="I7" s="88" t="inlineStr">
        <is>
          <t>支給品の吊込み</t>
        </is>
      </c>
      <c r="J7" s="89" t="n">
        <v>2500</v>
      </c>
      <c r="K7" s="90" t="n">
        <v>1.2</v>
      </c>
      <c r="L7" s="87">
        <f>ROUND(K7*LABOR_DAY,0)</f>
        <v>22800</v>
      </c>
      <c r="M7" s="87">
        <f>J7+L7</f>
        <v>25300</v>
      </c>
      <c r="N7" s="91">
        <f>COEF</f>
        <v>1.22</v>
      </c>
      <c r="O7" s="85">
        <f>E7*M7</f>
        <v>25300</v>
      </c>
      <c r="P7" s="85">
        <f>ROUND(E7*L7*N7,0)</f>
        <v>27816</v>
      </c>
      <c r="Q7" s="92" t="inlineStr">
        <is>
          <t>図面カウント</t>
        </is>
      </c>
      <c r="R7" s="85">
        <f>IF(H7="","",H7-O7)</f>
        <v>5570</v>
      </c>
      <c r="S7" s="93">
        <f>IF(OR(H7="",H7=0),"",R7/H7)</f>
        <v>0.18043407839326206</v>
      </c>
      <c r="T7" s="87" t="n">
        <v>27860</v>
      </c>
      <c r="U7" s="94">
        <f>IF(OR(T7="",T7=0),"",G7/T7)</f>
        <v>1.1080402010050252</v>
      </c>
      <c r="V7" s="95" t="inlineStr">
        <is>
          <t>6330558 VRV 大形室内機 搬入据付 27,860/台 相当（ビルトイン 5HP 約50kg、吊ボルト・受け金物共）｜</t>
        </is>
      </c>
    </row>
    <row r="8" ht="18" customHeight="1">
      <c r="A8" s="96" t="inlineStr">
        <is>
          <t xml:space="preserve">　RAC 室内機 据付</t>
        </is>
      </c>
      <c r="B8" s="57" t="n"/>
      <c r="C8" s="97" t="inlineStr">
        <is>
          <t>壁掛形 2.2kW 店長室（据付板共）</t>
        </is>
      </c>
      <c r="D8" s="57" t="n"/>
      <c r="E8" s="98" t="n">
        <v>1</v>
      </c>
      <c r="F8" s="99" t="inlineStr">
        <is>
          <t>台</t>
        </is>
      </c>
      <c r="G8" s="100">
        <f>IF(M8="","",ROUND(M8*N8,-1))</f>
        <v>9880</v>
      </c>
      <c r="H8" s="98">
        <f>IF(G8="","",ROUND(E8*G8,0))</f>
        <v>9880</v>
      </c>
      <c r="I8" s="101" t="inlineStr">
        <is>
          <t>支給品の据付</t>
        </is>
      </c>
      <c r="J8" s="102" t="n">
        <v>500</v>
      </c>
      <c r="K8" s="103" t="n">
        <v>0.4</v>
      </c>
      <c r="L8" s="100">
        <f>ROUND(K8*LABOR_DAY,0)</f>
        <v>7600</v>
      </c>
      <c r="M8" s="100">
        <f>J8+L8</f>
        <v>8100</v>
      </c>
      <c r="N8" s="104">
        <f>COEF</f>
        <v>1.22</v>
      </c>
      <c r="O8" s="98">
        <f>E8*M8</f>
        <v>8100</v>
      </c>
      <c r="P8" s="98">
        <f>ROUND(E8*L8*N8,0)</f>
        <v>9272</v>
      </c>
      <c r="Q8" s="105" t="inlineStr">
        <is>
          <t>図面カウント</t>
        </is>
      </c>
      <c r="R8" s="98">
        <f>IF(H8="","",H8-O8)</f>
        <v>1780</v>
      </c>
      <c r="S8" s="106">
        <f>IF(OR(H8="",H8=0),"",R8/H8)</f>
        <v>0.18016194331983806</v>
      </c>
      <c r="T8" s="100" t="n"/>
      <c r="U8" s="107" t="n"/>
      <c r="V8" s="108" t="inlineStr">
        <is>
          <t>6330539 RA 搬入据付 12,500/組（室内外1組）の室内機分（据付板・アンカー共）｜</t>
        </is>
      </c>
    </row>
    <row r="9" ht="18" customHeight="1">
      <c r="A9" s="109" t="inlineStr">
        <is>
          <t>小　　計</t>
        </is>
      </c>
      <c r="B9" s="38" t="n"/>
      <c r="C9" s="38" t="n"/>
      <c r="D9" s="38" t="n"/>
      <c r="E9" s="38" t="n"/>
      <c r="F9" s="38" t="n"/>
      <c r="G9" s="38" t="n"/>
      <c r="H9" s="110">
        <f>SUM(H6:H8)</f>
        <v>87350</v>
      </c>
      <c r="I9" s="80" t="n"/>
      <c r="J9" s="38" t="n"/>
      <c r="K9" s="111">
        <f>SUMPRODUCT(E6:E8,K6:K8)</f>
        <v>3.4</v>
      </c>
      <c r="L9" s="38" t="n"/>
      <c r="M9" s="38" t="n"/>
      <c r="N9" s="38" t="n"/>
      <c r="O9" s="110">
        <f>SUM(O6:O8)</f>
        <v>71600</v>
      </c>
      <c r="P9" s="110">
        <f>SUM(P6:P8)</f>
        <v>78812</v>
      </c>
      <c r="Q9" s="38" t="n"/>
      <c r="R9" s="110">
        <f>H9-O9</f>
        <v>15750</v>
      </c>
      <c r="S9" s="112">
        <f>IF(H9=0,"",R9/H9)</f>
        <v>0.18030910131654265</v>
      </c>
      <c r="T9" s="38" t="n"/>
      <c r="U9" s="38" t="n"/>
      <c r="V9" s="38" t="n"/>
    </row>
    <row r="10" ht="18" customHeight="1">
      <c r="A10" s="81" t="inlineStr">
        <is>
          <t>（2）冷媒配管（被覆銅管・ガス管保温20mm）</t>
        </is>
      </c>
      <c r="B10" s="40" t="n"/>
      <c r="C10" s="40" t="n"/>
      <c r="D10" s="40" t="n"/>
      <c r="E10" s="40" t="n"/>
      <c r="F10" s="40" t="n"/>
      <c r="G10" s="40" t="n"/>
      <c r="H10" s="40" t="n"/>
      <c r="I10" s="82" t="n"/>
      <c r="J10" s="40" t="n"/>
      <c r="K10" s="40" t="n"/>
      <c r="L10" s="40" t="n"/>
      <c r="M10" s="40" t="n"/>
      <c r="N10" s="40" t="n"/>
      <c r="O10" s="40" t="n"/>
      <c r="P10" s="40" t="n"/>
      <c r="Q10" s="40" t="n"/>
      <c r="R10" s="40" t="n"/>
      <c r="S10" s="40" t="n"/>
      <c r="T10" s="40" t="n"/>
      <c r="U10" s="40" t="n"/>
      <c r="V10" s="40" t="n"/>
    </row>
    <row r="11" ht="26.5" customHeight="1">
      <c r="A11" s="83" t="inlineStr">
        <is>
          <t xml:space="preserve">　冷媒配管 φ9.52／φ15.88</t>
        </is>
      </c>
      <c r="B11" s="40" t="n"/>
      <c r="C11" s="84" t="inlineStr">
        <is>
          <t>被覆銅管 ガス管保温厚20mm 継手・支持金物共（AC-1・AC-2）</t>
        </is>
      </c>
      <c r="D11" s="40" t="n"/>
      <c r="E11" s="85" t="n">
        <v>35</v>
      </c>
      <c r="F11" s="86" t="inlineStr">
        <is>
          <t>m</t>
        </is>
      </c>
      <c r="G11" s="87">
        <f>IF(M11="","",ROUND(M11*N11,-1))</f>
        <v>13740</v>
      </c>
      <c r="H11" s="85">
        <f>IF(G11="","",ROUND(E11*G11,0))</f>
        <v>480900</v>
      </c>
      <c r="I11" s="88" t="inlineStr">
        <is>
          <t>図面実測＋想定（別紙）</t>
        </is>
      </c>
      <c r="J11" s="89" t="n">
        <v>6700</v>
      </c>
      <c r="K11" s="90" t="n">
        <v>0.24</v>
      </c>
      <c r="L11" s="87">
        <f>ROUND(K11*LABOR_DAY,0)</f>
        <v>4560</v>
      </c>
      <c r="M11" s="87">
        <f>J11+L11</f>
        <v>11260</v>
      </c>
      <c r="N11" s="91">
        <f>COEF</f>
        <v>1.22</v>
      </c>
      <c r="O11" s="85">
        <f>E11*M11</f>
        <v>394100</v>
      </c>
      <c r="P11" s="85">
        <f>ROUND(E11*L11*N11,0)</f>
        <v>194712</v>
      </c>
      <c r="Q11" s="113" t="inlineStr">
        <is>
          <t>実測+推測</t>
        </is>
      </c>
      <c r="R11" s="85">
        <f>IF(H11="","",H11-O11)</f>
        <v>86800</v>
      </c>
      <c r="S11" s="93">
        <f>IF(OR(H11="",H11=0),"",R11/H11)</f>
        <v>0.1804949053857351</v>
      </c>
      <c r="T11" s="87" t="n">
        <v>12556</v>
      </c>
      <c r="U11" s="94">
        <f>IF(OR(T11="",T11=0),"",G11/T11)</f>
        <v>1.0942975469894871</v>
      </c>
      <c r="V11" s="95" t="inlineStr">
        <is>
          <t>6330476-3 / 6330344-1 9.52+15.88 4,025/m・4.6 m/人工（10t×2）に、ガス管保温20t（耐熱PEF）の材料差 600/m・人工 0.02/m を加算｜平面実測 26.77m（AC-1西 11.15・AC-1東 7.54・AC-2 8.08）＋立上り（架台下段 2.2m×2・上段 0.9m×1）＋機器接続 0.3m×3＋余長 0.5m×3 ＝ 34.47m</t>
        </is>
      </c>
    </row>
    <row r="12" ht="26.5" customHeight="1">
      <c r="A12" s="83" t="inlineStr">
        <is>
          <t xml:space="preserve">　冷媒配管 φ6.35／φ9.52</t>
        </is>
      </c>
      <c r="B12" s="40" t="n"/>
      <c r="C12" s="84" t="inlineStr">
        <is>
          <t>被覆銅管 ガス管保温厚20mm 継手・支持金物共（RAC）</t>
        </is>
      </c>
      <c r="D12" s="40" t="n"/>
      <c r="E12" s="85" t="n">
        <v>10</v>
      </c>
      <c r="F12" s="86" t="inlineStr">
        <is>
          <t>m</t>
        </is>
      </c>
      <c r="G12" s="87">
        <f>IF(M12="","",ROUND(M12*N12,-1))</f>
        <v>8270</v>
      </c>
      <c r="H12" s="85">
        <f>IF(G12="","",ROUND(E12*G12,0))</f>
        <v>82700</v>
      </c>
      <c r="I12" s="88" t="inlineStr">
        <is>
          <t>図面実測＋想定（別紙）</t>
        </is>
      </c>
      <c r="J12" s="89" t="n">
        <v>2600</v>
      </c>
      <c r="K12" s="90" t="n">
        <v>0.22</v>
      </c>
      <c r="L12" s="87">
        <f>ROUND(K12*LABOR_DAY,0)</f>
        <v>4180</v>
      </c>
      <c r="M12" s="87">
        <f>J12+L12</f>
        <v>6780</v>
      </c>
      <c r="N12" s="91">
        <f>COEF</f>
        <v>1.22</v>
      </c>
      <c r="O12" s="85">
        <f>E12*M12</f>
        <v>67800</v>
      </c>
      <c r="P12" s="85">
        <f>ROUND(E12*L12*N12,0)</f>
        <v>50996</v>
      </c>
      <c r="Q12" s="113" t="inlineStr">
        <is>
          <t>実測+推測</t>
        </is>
      </c>
      <c r="R12" s="85">
        <f>IF(H12="","",H12-O12)</f>
        <v>14900</v>
      </c>
      <c r="S12" s="93">
        <f>IF(OR(H12="",H12=0),"",R12/H12)</f>
        <v>0.18016928657799275</v>
      </c>
      <c r="T12" s="87" t="n">
        <v>7328</v>
      </c>
      <c r="U12" s="94">
        <f>IF(OR(T12="",T12=0),"",G12/T12)</f>
        <v>1.1285480349344978</v>
      </c>
      <c r="V12" s="95" t="inlineStr">
        <is>
          <t>6330539 2分3分 1,450/m想定・5 m/人工 に、ガス管保温20t の材料差 400/m・人工 0.02/m を加算｜平面実測 7.65m＋立上り（架台上段）0.9m＋店長室 立下り 0.6m＋余長 0.3m ＝ 9.45m</t>
        </is>
      </c>
    </row>
    <row r="13" ht="26.5" customHeight="1">
      <c r="A13" s="83" t="inlineStr">
        <is>
          <t xml:space="preserve">　外部冷媒配管 化粧カバー</t>
        </is>
      </c>
      <c r="B13" s="40" t="n"/>
      <c r="C13" s="84" t="inlineStr">
        <is>
          <t>屋外用スリムダクト 継手・端末カバー共</t>
        </is>
      </c>
      <c r="D13" s="40" t="n"/>
      <c r="E13" s="85" t="n">
        <v>10</v>
      </c>
      <c r="F13" s="86" t="inlineStr">
        <is>
          <t>m</t>
        </is>
      </c>
      <c r="G13" s="87">
        <f>IF(M13="","",ROUND(M13*N13,-1))</f>
        <v>5470</v>
      </c>
      <c r="H13" s="85">
        <f>IF(G13="","",ROUND(E13*G13,0))</f>
        <v>54700</v>
      </c>
      <c r="I13" s="88" t="inlineStr">
        <is>
          <t>図面実測＋想定（別紙）</t>
        </is>
      </c>
      <c r="J13" s="89" t="n">
        <v>2200</v>
      </c>
      <c r="K13" s="90" t="n">
        <v>0.12</v>
      </c>
      <c r="L13" s="87">
        <f>ROUND(K13*LABOR_DAY,0)</f>
        <v>2280</v>
      </c>
      <c r="M13" s="87">
        <f>J13+L13</f>
        <v>4480</v>
      </c>
      <c r="N13" s="91">
        <f>COEF</f>
        <v>1.22</v>
      </c>
      <c r="O13" s="85">
        <f>E13*M13</f>
        <v>44800</v>
      </c>
      <c r="P13" s="85">
        <f>ROUND(E13*L13*N13,0)</f>
        <v>27816</v>
      </c>
      <c r="Q13" s="113" t="inlineStr">
        <is>
          <t>実測+推測</t>
        </is>
      </c>
      <c r="R13" s="85">
        <f>IF(H13="","",H13-O13)</f>
        <v>9900</v>
      </c>
      <c r="S13" s="93">
        <f>IF(OR(H13="",H13=0),"",R13/H13)</f>
        <v>0.1809872029250457</v>
      </c>
      <c r="T13" s="87" t="n">
        <v>3516</v>
      </c>
      <c r="U13" s="94">
        <f>IF(OR(T13="",T13=0),"",G13/T13)</f>
        <v>1.5557451649601821</v>
      </c>
      <c r="V13" s="95" t="inlineStr">
        <is>
          <t>屋外用スリムダクト（耐候樹脂）本体＋ウォールコーナー・エルボ・端末カバー等の継手を m 当りに按分。参考は配管保温工事費 1,194/m（6330476-3）｜屋外の平面部 3.81m（4系統 実測）＋室外機→外壁貫通の立上り（下段 2.2m×2・上段 0.9m×2）＝ 10.01m</t>
        </is>
      </c>
    </row>
    <row r="14" ht="26.5" customHeight="1">
      <c r="A14" s="83" t="inlineStr">
        <is>
          <t xml:space="preserve">　外壁貫通処理</t>
        </is>
      </c>
      <c r="B14" s="40" t="n"/>
      <c r="C14" s="84" t="inlineStr">
        <is>
          <t>穴明け・パテ・シーリング（木造外壁）</t>
        </is>
      </c>
      <c r="D14" s="40" t="n"/>
      <c r="E14" s="85" t="n">
        <v>4</v>
      </c>
      <c r="F14" s="86" t="inlineStr">
        <is>
          <t>箇所</t>
        </is>
      </c>
      <c r="G14" s="87">
        <f>IF(M14="","",ROUND(M14*N14,-1))</f>
        <v>7630</v>
      </c>
      <c r="H14" s="85">
        <f>IF(G14="","",ROUND(E14*G14,0))</f>
        <v>30520</v>
      </c>
      <c r="I14" s="88" t="n"/>
      <c r="J14" s="89" t="n">
        <v>1500</v>
      </c>
      <c r="K14" s="90" t="n">
        <v>0.25</v>
      </c>
      <c r="L14" s="87">
        <f>ROUND(K14*LABOR_DAY,0)</f>
        <v>4750</v>
      </c>
      <c r="M14" s="87">
        <f>J14+L14</f>
        <v>6250</v>
      </c>
      <c r="N14" s="91">
        <f>COEF</f>
        <v>1.22</v>
      </c>
      <c r="O14" s="85">
        <f>E14*M14</f>
        <v>25000</v>
      </c>
      <c r="P14" s="85">
        <f>ROUND(E14*L14*N14,0)</f>
        <v>23180</v>
      </c>
      <c r="Q14" s="92" t="inlineStr">
        <is>
          <t>図面カウント</t>
        </is>
      </c>
      <c r="R14" s="85">
        <f>IF(H14="","",H14-O14)</f>
        <v>5520</v>
      </c>
      <c r="S14" s="93">
        <f>IF(OR(H14="",H14=0),"",R14/H14)</f>
        <v>0.18086500655307994</v>
      </c>
      <c r="T14" s="87" t="n"/>
      <c r="U14" s="94" t="n"/>
      <c r="V14" s="95" t="inlineStr">
        <is>
          <t>外壁穴明け φ65〜75（木造・サイディング）・パテ埋め・シーリング（参考実績なし）｜</t>
        </is>
      </c>
    </row>
    <row r="15" ht="26.5" customHeight="1">
      <c r="A15" s="83" t="inlineStr">
        <is>
          <t xml:space="preserve">　気密試験・真空引き</t>
        </is>
      </c>
      <c r="B15" s="40" t="n"/>
      <c r="C15" s="84" t="inlineStr">
        <is>
          <t>パッケージエアコン（AC-1×2・AC-2）</t>
        </is>
      </c>
      <c r="D15" s="40" t="n"/>
      <c r="E15" s="85" t="n">
        <v>3</v>
      </c>
      <c r="F15" s="86" t="inlineStr">
        <is>
          <t>系統</t>
        </is>
      </c>
      <c r="G15" s="87">
        <f>IF(M15="","",ROUND(M15*N15,-1))</f>
        <v>17570</v>
      </c>
      <c r="H15" s="85">
        <f>IF(G15="","",ROUND(E15*G15,0))</f>
        <v>52710</v>
      </c>
      <c r="I15" s="88" t="n"/>
      <c r="J15" s="89" t="n">
        <v>3000</v>
      </c>
      <c r="K15" s="90" t="n">
        <v>0.6</v>
      </c>
      <c r="L15" s="87">
        <f>ROUND(K15*LABOR_DAY,0)</f>
        <v>11400</v>
      </c>
      <c r="M15" s="87">
        <f>J15+L15</f>
        <v>14400</v>
      </c>
      <c r="N15" s="91">
        <f>COEF</f>
        <v>1.22</v>
      </c>
      <c r="O15" s="85">
        <f>E15*M15</f>
        <v>43200</v>
      </c>
      <c r="P15" s="85">
        <f>ROUND(E15*L15*N15,0)</f>
        <v>41724</v>
      </c>
      <c r="Q15" s="92" t="inlineStr">
        <is>
          <t>図面カウント</t>
        </is>
      </c>
      <c r="R15" s="85">
        <f>IF(H15="","",H15-O15)</f>
        <v>9510</v>
      </c>
      <c r="S15" s="93">
        <f>IF(OR(H15="",H15=0),"",R15/H15)</f>
        <v>0.18042117245304495</v>
      </c>
      <c r="T15" s="87" t="n">
        <v>20000</v>
      </c>
      <c r="U15" s="94">
        <f>IF(OR(T15="",T15=0),"",G15/T15)</f>
        <v>0.8785</v>
      </c>
      <c r="V15" s="95" t="inlineStr">
        <is>
          <t>気密テスト 15,000〜25,000/系統・真空引き 3,750〜5,640/系統（6330558/344-1/549）｜</t>
        </is>
      </c>
    </row>
    <row r="16" ht="18" customHeight="1">
      <c r="A16" s="96" t="inlineStr">
        <is>
          <t xml:space="preserve">　気密試験・真空引き</t>
        </is>
      </c>
      <c r="B16" s="57" t="n"/>
      <c r="C16" s="97" t="inlineStr">
        <is>
          <t>ルームエアコン（RAC）</t>
        </is>
      </c>
      <c r="D16" s="57" t="n"/>
      <c r="E16" s="98" t="n">
        <v>1</v>
      </c>
      <c r="F16" s="99" t="inlineStr">
        <is>
          <t>系統</t>
        </is>
      </c>
      <c r="G16" s="100">
        <f>IF(M16="","",ROUND(M16*N16,-1))</f>
        <v>8780</v>
      </c>
      <c r="H16" s="98">
        <f>IF(G16="","",ROUND(E16*G16,0))</f>
        <v>8780</v>
      </c>
      <c r="I16" s="101" t="n"/>
      <c r="J16" s="102" t="n">
        <v>1500</v>
      </c>
      <c r="K16" s="103" t="n">
        <v>0.3</v>
      </c>
      <c r="L16" s="100">
        <f>ROUND(K16*LABOR_DAY,0)</f>
        <v>5700</v>
      </c>
      <c r="M16" s="100">
        <f>J16+L16</f>
        <v>7200</v>
      </c>
      <c r="N16" s="104">
        <f>COEF</f>
        <v>1.22</v>
      </c>
      <c r="O16" s="98">
        <f>E16*M16</f>
        <v>7200</v>
      </c>
      <c r="P16" s="98">
        <f>ROUND(E16*L16*N16,0)</f>
        <v>6954</v>
      </c>
      <c r="Q16" s="105" t="inlineStr">
        <is>
          <t>図面カウント</t>
        </is>
      </c>
      <c r="R16" s="98">
        <f>IF(H16="","",H16-O16)</f>
        <v>1580</v>
      </c>
      <c r="S16" s="106">
        <f>IF(OR(H16="",H16=0),"",R16/H16)</f>
        <v>0.17995444191343962</v>
      </c>
      <c r="T16" s="100" t="n">
        <v>7500</v>
      </c>
      <c r="U16" s="107">
        <f>IF(OR(T16="",T16=0),"",G16/T16)</f>
        <v>1.1706666666666667</v>
      </c>
      <c r="V16" s="108" t="inlineStr">
        <is>
          <t>RA 気密・真空引き（6330539 試運転 7,500/3台 等から想定）｜</t>
        </is>
      </c>
    </row>
    <row r="17" ht="18" customHeight="1">
      <c r="A17" s="109" t="inlineStr">
        <is>
          <t>小　　計</t>
        </is>
      </c>
      <c r="B17" s="38" t="n"/>
      <c r="C17" s="38" t="n"/>
      <c r="D17" s="38" t="n"/>
      <c r="E17" s="38" t="n"/>
      <c r="F17" s="38" t="n"/>
      <c r="G17" s="38" t="n"/>
      <c r="H17" s="110">
        <f>SUM(H11:H16)</f>
        <v>710310</v>
      </c>
      <c r="I17" s="80" t="n"/>
      <c r="J17" s="38" t="n"/>
      <c r="K17" s="111">
        <f>SUMPRODUCT(E11:E16,K11:K16)</f>
        <v>14.900000000000002</v>
      </c>
      <c r="L17" s="38" t="n"/>
      <c r="M17" s="38" t="n"/>
      <c r="N17" s="38" t="n"/>
      <c r="O17" s="110">
        <f>SUM(O11:O16)</f>
        <v>582100</v>
      </c>
      <c r="P17" s="110">
        <f>SUM(P11:P16)</f>
        <v>345382</v>
      </c>
      <c r="Q17" s="38" t="n"/>
      <c r="R17" s="110">
        <f>H17-O17</f>
        <v>128210</v>
      </c>
      <c r="S17" s="112">
        <f>IF(H17=0,"",R17/H17)</f>
        <v>0.18049865551660543</v>
      </c>
      <c r="T17" s="38" t="n"/>
      <c r="U17" s="38" t="n"/>
      <c r="V17" s="38" t="n"/>
    </row>
    <row r="18" ht="18" customHeight="1">
      <c r="A18" s="81" t="inlineStr">
        <is>
          <t>（3）ドレン配管（硬質塩化ビニル管 VP）</t>
        </is>
      </c>
      <c r="B18" s="40" t="n"/>
      <c r="C18" s="40" t="n"/>
      <c r="D18" s="40" t="n"/>
      <c r="E18" s="40" t="n"/>
      <c r="F18" s="40" t="n"/>
      <c r="G18" s="40" t="n"/>
      <c r="H18" s="40" t="n"/>
      <c r="I18" s="82" t="n"/>
      <c r="J18" s="40" t="n"/>
      <c r="K18" s="40" t="n"/>
      <c r="L18" s="40" t="n"/>
      <c r="M18" s="40" t="n"/>
      <c r="N18" s="40" t="n"/>
      <c r="O18" s="40" t="n"/>
      <c r="P18" s="40" t="n"/>
      <c r="Q18" s="40" t="n"/>
      <c r="R18" s="40" t="n"/>
      <c r="S18" s="40" t="n"/>
      <c r="T18" s="40" t="n"/>
      <c r="U18" s="40" t="n"/>
      <c r="V18" s="40" t="n"/>
    </row>
    <row r="19" ht="26.5" customHeight="1">
      <c r="A19" s="83" t="inlineStr">
        <is>
          <t xml:space="preserve">　ドレン管 VP25</t>
        </is>
      </c>
      <c r="B19" s="40" t="n"/>
      <c r="C19" s="84" t="inlineStr">
        <is>
          <t>継手・支持金物共（各機器〜主管・RAC）</t>
        </is>
      </c>
      <c r="D19" s="40" t="n"/>
      <c r="E19" s="85" t="n">
        <v>9</v>
      </c>
      <c r="F19" s="86" t="inlineStr">
        <is>
          <t>m</t>
        </is>
      </c>
      <c r="G19" s="87">
        <f>IF(M19="","",ROUND(M19*N19,-1))</f>
        <v>3130</v>
      </c>
      <c r="H19" s="85">
        <f>IF(G19="","",ROUND(E19*G19,0))</f>
        <v>28170</v>
      </c>
      <c r="I19" s="88" t="inlineStr">
        <is>
          <t>図面実測＋想定（別紙）</t>
        </is>
      </c>
      <c r="J19" s="89" t="n">
        <v>475</v>
      </c>
      <c r="K19" s="90" t="n">
        <v>0.11</v>
      </c>
      <c r="L19" s="87">
        <f>ROUND(K19*LABOR_DAY,0)</f>
        <v>2090</v>
      </c>
      <c r="M19" s="87">
        <f>J19+L19</f>
        <v>2565</v>
      </c>
      <c r="N19" s="91">
        <f>COEF</f>
        <v>1.22</v>
      </c>
      <c r="O19" s="85">
        <f>E19*M19</f>
        <v>23085</v>
      </c>
      <c r="P19" s="85">
        <f>ROUND(E19*L19*N19,0)</f>
        <v>22948</v>
      </c>
      <c r="Q19" s="113" t="inlineStr">
        <is>
          <t>実測+推測</t>
        </is>
      </c>
      <c r="R19" s="85">
        <f>IF(H19="","",H19-O19)</f>
        <v>5085</v>
      </c>
      <c r="S19" s="93">
        <f>IF(OR(H19="",H19=0),"",R19/H19)</f>
        <v>0.1805111821086262</v>
      </c>
      <c r="T19" s="87" t="n">
        <v>3134</v>
      </c>
      <c r="U19" s="94">
        <f>IF(OR(T19="",T19=0),"",G19/T19)</f>
        <v>0.9987236758136566</v>
      </c>
      <c r="V19" s="95" t="inlineStr">
        <is>
          <t>6330344-1/476-3/248-2 VP25 313/m、工費 2,497/m｜平面実測 5.20m（東主管 2.72・AC-2枝 1.28・西枝 0.76・RAC 0.44）＋ドレンアップ立上り 0.3m×3＋東カセット接続 0.3m＋RAC 立下り 1.9m ＝ 8.30m</t>
        </is>
      </c>
    </row>
    <row r="20" ht="18" customHeight="1">
      <c r="A20" s="83" t="inlineStr">
        <is>
          <t xml:space="preserve">　ドレン管 VP30</t>
        </is>
      </c>
      <c r="B20" s="40" t="n"/>
      <c r="C20" s="114" t="inlineStr">
        <is>
          <t>継手・支持金物共（主管）</t>
        </is>
      </c>
      <c r="D20" s="40" t="n"/>
      <c r="E20" s="85" t="n">
        <v>4</v>
      </c>
      <c r="F20" s="86" t="inlineStr">
        <is>
          <t>m</t>
        </is>
      </c>
      <c r="G20" s="87">
        <f>IF(M20="","",ROUND(M20*N20,-1))</f>
        <v>3540</v>
      </c>
      <c r="H20" s="85">
        <f>IF(G20="","",ROUND(E20*G20,0))</f>
        <v>14160</v>
      </c>
      <c r="I20" s="88" t="inlineStr">
        <is>
          <t>図面実測数量</t>
        </is>
      </c>
      <c r="J20" s="89" t="n">
        <v>620</v>
      </c>
      <c r="K20" s="90" t="n">
        <v>0.12</v>
      </c>
      <c r="L20" s="87">
        <f>ROUND(K20*LABOR_DAY,0)</f>
        <v>2280</v>
      </c>
      <c r="M20" s="87">
        <f>J20+L20</f>
        <v>2900</v>
      </c>
      <c r="N20" s="91">
        <f>COEF</f>
        <v>1.22</v>
      </c>
      <c r="O20" s="85">
        <f>E20*M20</f>
        <v>11600</v>
      </c>
      <c r="P20" s="85">
        <f>ROUND(E20*L20*N20,0)</f>
        <v>11126</v>
      </c>
      <c r="Q20" s="92" t="inlineStr">
        <is>
          <t>実測</t>
        </is>
      </c>
      <c r="R20" s="85">
        <f>IF(H20="","",H20-O20)</f>
        <v>2560</v>
      </c>
      <c r="S20" s="93">
        <f>IF(OR(H20="",H20=0),"",R20/H20)</f>
        <v>0.1807909604519774</v>
      </c>
      <c r="T20" s="87" t="n"/>
      <c r="U20" s="94" t="n"/>
      <c r="V20" s="95" t="inlineStr">
        <is>
          <t>VP25・VP40 の補間｜</t>
        </is>
      </c>
    </row>
    <row r="21" ht="26.5" customHeight="1">
      <c r="A21" s="83" t="inlineStr">
        <is>
          <t xml:space="preserve">　ドレン管 VP40</t>
        </is>
      </c>
      <c r="B21" s="40" t="n"/>
      <c r="C21" s="84" t="inlineStr">
        <is>
          <t>継手・支持金物共（主管・立下り）</t>
        </is>
      </c>
      <c r="D21" s="40" t="n"/>
      <c r="E21" s="85" t="n">
        <v>6</v>
      </c>
      <c r="F21" s="86" t="inlineStr">
        <is>
          <t>m</t>
        </is>
      </c>
      <c r="G21" s="87">
        <f>IF(M21="","",ROUND(M21*N21,-1))</f>
        <v>3940</v>
      </c>
      <c r="H21" s="85">
        <f>IF(G21="","",ROUND(E21*G21,0))</f>
        <v>23640</v>
      </c>
      <c r="I21" s="88" t="inlineStr">
        <is>
          <t>図面実測＋想定（別紙）</t>
        </is>
      </c>
      <c r="J21" s="89" t="n">
        <v>760</v>
      </c>
      <c r="K21" s="90" t="n">
        <v>0.13</v>
      </c>
      <c r="L21" s="87">
        <f>ROUND(K21*LABOR_DAY,0)</f>
        <v>2470</v>
      </c>
      <c r="M21" s="87">
        <f>J21+L21</f>
        <v>3230</v>
      </c>
      <c r="N21" s="91">
        <f>COEF</f>
        <v>1.22</v>
      </c>
      <c r="O21" s="85">
        <f>E21*M21</f>
        <v>19380</v>
      </c>
      <c r="P21" s="85">
        <f>ROUND(E21*L21*N21,0)</f>
        <v>18080</v>
      </c>
      <c r="Q21" s="113" t="inlineStr">
        <is>
          <t>実測+推測</t>
        </is>
      </c>
      <c r="R21" s="85">
        <f>IF(H21="","",H21-O21)</f>
        <v>4260</v>
      </c>
      <c r="S21" s="93">
        <f>IF(OR(H21="",H21=0),"",R21/H21)</f>
        <v>0.1802030456852792</v>
      </c>
      <c r="T21" s="87" t="n"/>
      <c r="U21" s="94" t="n"/>
      <c r="V21" s="95" t="inlineStr">
        <is>
          <t>VP25 比例｜平面実測 3.29m＋天井内→接続立上り（H=150）への立下り 2.45m ＝ 5.74m</t>
        </is>
      </c>
    </row>
    <row r="22" ht="18" customHeight="1">
      <c r="A22" s="83" t="inlineStr">
        <is>
          <t xml:space="preserve">　ドレンホース用逆止弁</t>
        </is>
      </c>
      <c r="B22" s="40" t="n"/>
      <c r="C22" s="114" t="inlineStr">
        <is>
          <t>NDB-20-25（図示品）</t>
        </is>
      </c>
      <c r="D22" s="40" t="n"/>
      <c r="E22" s="85" t="n">
        <v>1</v>
      </c>
      <c r="F22" s="86" t="inlineStr">
        <is>
          <t>個</t>
        </is>
      </c>
      <c r="G22" s="87">
        <f>IF(M22="","",ROUND(M22*N22,-1))</f>
        <v>5730</v>
      </c>
      <c r="H22" s="85">
        <f>IF(G22="","",ROUND(E22*G22,0))</f>
        <v>5730</v>
      </c>
      <c r="I22" s="88" t="n"/>
      <c r="J22" s="89" t="n">
        <v>2800</v>
      </c>
      <c r="K22" s="90" t="n">
        <v>0.1</v>
      </c>
      <c r="L22" s="87">
        <f>ROUND(K22*LABOR_DAY,0)</f>
        <v>1900</v>
      </c>
      <c r="M22" s="87">
        <f>J22+L22</f>
        <v>4700</v>
      </c>
      <c r="N22" s="91">
        <f>COEF</f>
        <v>1.22</v>
      </c>
      <c r="O22" s="85">
        <f>E22*M22</f>
        <v>4700</v>
      </c>
      <c r="P22" s="85">
        <f>ROUND(E22*L22*N22,0)</f>
        <v>2318</v>
      </c>
      <c r="Q22" s="92" t="inlineStr">
        <is>
          <t>図面カウント</t>
        </is>
      </c>
      <c r="R22" s="85">
        <f>IF(H22="","",H22-O22)</f>
        <v>1030</v>
      </c>
      <c r="S22" s="93">
        <f>IF(OR(H22="",H22=0),"",R22/H22)</f>
        <v>0.17975567190226877</v>
      </c>
      <c r="T22" s="87" t="n"/>
      <c r="U22" s="94" t="n"/>
      <c r="V22" s="95" t="inlineStr">
        <is>
          <t>ドレンホース用逆止弁 NDB-20-25（図示品番）材＋取付（市況）｜</t>
        </is>
      </c>
    </row>
    <row r="23" ht="18" customHeight="1">
      <c r="A23" s="96" t="inlineStr">
        <is>
          <t xml:space="preserve">　ドレン通水試験</t>
        </is>
      </c>
      <c r="B23" s="57" t="n"/>
      <c r="C23" s="97" t="n"/>
      <c r="D23" s="57" t="n"/>
      <c r="E23" s="98" t="n">
        <v>1</v>
      </c>
      <c r="F23" s="99" t="inlineStr">
        <is>
          <t>式</t>
        </is>
      </c>
      <c r="G23" s="100">
        <f>IF(M23="","",ROUND(M23*N23,-1))</f>
        <v>5800</v>
      </c>
      <c r="H23" s="98">
        <f>IF(G23="","",ROUND(E23*G23,0))</f>
        <v>5800</v>
      </c>
      <c r="I23" s="101" t="n"/>
      <c r="J23" s="102" t="n">
        <v>0</v>
      </c>
      <c r="K23" s="103" t="n">
        <v>0.25</v>
      </c>
      <c r="L23" s="100">
        <f>ROUND(K23*LABOR_DAY,0)</f>
        <v>4750</v>
      </c>
      <c r="M23" s="100">
        <f>J23+L23</f>
        <v>4750</v>
      </c>
      <c r="N23" s="104">
        <f>COEF</f>
        <v>1.22</v>
      </c>
      <c r="O23" s="98">
        <f>E23*M23</f>
        <v>4750</v>
      </c>
      <c r="P23" s="98">
        <f>ROUND(E23*L23*N23,0)</f>
        <v>5795</v>
      </c>
      <c r="Q23" s="105" t="inlineStr">
        <is>
          <t>－</t>
        </is>
      </c>
      <c r="R23" s="98">
        <f>IF(H23="","",H23-O23)</f>
        <v>1050</v>
      </c>
      <c r="S23" s="106">
        <f>IF(OR(H23="",H23=0),"",R23/H23)</f>
        <v>0.1810344827586207</v>
      </c>
      <c r="T23" s="100" t="n"/>
      <c r="U23" s="107" t="n"/>
      <c r="V23" s="108" t="inlineStr">
        <is>
          <t>ドレン通水試験（0.25人工）｜</t>
        </is>
      </c>
    </row>
    <row r="24" ht="18" customHeight="1">
      <c r="A24" s="109" t="inlineStr">
        <is>
          <t>小　　計</t>
        </is>
      </c>
      <c r="B24" s="38" t="n"/>
      <c r="C24" s="38" t="n"/>
      <c r="D24" s="38" t="n"/>
      <c r="E24" s="38" t="n"/>
      <c r="F24" s="38" t="n"/>
      <c r="G24" s="38" t="n"/>
      <c r="H24" s="110">
        <f>SUM(H19:H23)</f>
        <v>77500</v>
      </c>
      <c r="I24" s="80" t="n"/>
      <c r="J24" s="38" t="n"/>
      <c r="K24" s="111">
        <f>SUMPRODUCT(E19:E23,K19:K23)</f>
        <v>2.6</v>
      </c>
      <c r="L24" s="38" t="n"/>
      <c r="M24" s="38" t="n"/>
      <c r="N24" s="38" t="n"/>
      <c r="O24" s="110">
        <f>SUM(O19:O23)</f>
        <v>63515</v>
      </c>
      <c r="P24" s="110">
        <f>SUM(P19:P23)</f>
        <v>60267</v>
      </c>
      <c r="Q24" s="38" t="n"/>
      <c r="R24" s="110">
        <f>H24-O24</f>
        <v>13985</v>
      </c>
      <c r="S24" s="112">
        <f>IF(H24=0,"",R24/H24)</f>
        <v>0.1804516129032258</v>
      </c>
      <c r="T24" s="38" t="n"/>
      <c r="U24" s="38" t="n"/>
      <c r="V24" s="38" t="n"/>
    </row>
    <row r="25" ht="18" customHeight="1">
      <c r="A25" s="81" t="inlineStr">
        <is>
          <t>（4）ドレン配管保温（グラスウール）</t>
        </is>
      </c>
      <c r="B25" s="40" t="n"/>
      <c r="C25" s="40" t="n"/>
      <c r="D25" s="40" t="n"/>
      <c r="E25" s="40" t="n"/>
      <c r="F25" s="40" t="n"/>
      <c r="G25" s="40" t="n"/>
      <c r="H25" s="40" t="n"/>
      <c r="I25" s="82" t="n"/>
      <c r="J25" s="40" t="n"/>
      <c r="K25" s="40" t="n"/>
      <c r="L25" s="40" t="n"/>
      <c r="M25" s="40" t="n"/>
      <c r="N25" s="40" t="n"/>
      <c r="O25" s="40" t="n"/>
      <c r="P25" s="40" t="n"/>
      <c r="Q25" s="40" t="n"/>
      <c r="R25" s="40" t="n"/>
      <c r="S25" s="40" t="n"/>
      <c r="T25" s="40" t="n"/>
      <c r="U25" s="40" t="n"/>
      <c r="V25" s="40" t="n"/>
    </row>
    <row r="26" ht="18" customHeight="1">
      <c r="A26" s="83" t="inlineStr">
        <is>
          <t xml:space="preserve">　ドレン管保温 25A</t>
        </is>
      </c>
      <c r="B26" s="40" t="n"/>
      <c r="C26" s="114" t="inlineStr">
        <is>
          <t>GW保温筒 厚20mm ALGC仕上げ</t>
        </is>
      </c>
      <c r="D26" s="40" t="n"/>
      <c r="E26" s="85" t="n">
        <v>9</v>
      </c>
      <c r="F26" s="86" t="inlineStr">
        <is>
          <t>m</t>
        </is>
      </c>
      <c r="G26" s="87">
        <f>IF(M26="","",ROUND(M26*N26,-1))</f>
        <v>2490</v>
      </c>
      <c r="H26" s="85">
        <f>IF(G26="","",ROUND(E26*G26,0))</f>
        <v>22410</v>
      </c>
      <c r="I26" s="88" t="inlineStr">
        <is>
          <t>図面実測＋想定（別紙）</t>
        </is>
      </c>
      <c r="J26" s="89" t="n">
        <v>900</v>
      </c>
      <c r="K26" s="90" t="n">
        <v>0.06</v>
      </c>
      <c r="L26" s="87">
        <f>ROUND(K26*LABOR_DAY,0)</f>
        <v>1140</v>
      </c>
      <c r="M26" s="87">
        <f>J26+L26</f>
        <v>2040</v>
      </c>
      <c r="N26" s="91">
        <f>COEF</f>
        <v>1.22</v>
      </c>
      <c r="O26" s="85">
        <f>E26*M26</f>
        <v>18360</v>
      </c>
      <c r="P26" s="85">
        <f>ROUND(E26*L26*N26,0)</f>
        <v>12517</v>
      </c>
      <c r="Q26" s="113" t="inlineStr">
        <is>
          <t>実測+推測</t>
        </is>
      </c>
      <c r="R26" s="85">
        <f>IF(H26="","",H26-O26)</f>
        <v>4050</v>
      </c>
      <c r="S26" s="93">
        <f>IF(OR(H26="",H26=0),"",R26/H26)</f>
        <v>0.18072289156626506</v>
      </c>
      <c r="T26" s="87" t="n"/>
      <c r="U26" s="94" t="n"/>
      <c r="V26" s="95" t="inlineStr">
        <is>
          <t>GW保温筒20 ALGC 25A（参考実績なし・市況）｜ドレン管 VP25 と同長</t>
        </is>
      </c>
    </row>
    <row r="27" ht="18" customHeight="1">
      <c r="A27" s="83" t="inlineStr">
        <is>
          <t xml:space="preserve">　ドレン管保温 30A</t>
        </is>
      </c>
      <c r="B27" s="40" t="n"/>
      <c r="C27" s="114" t="inlineStr">
        <is>
          <t>GW保温筒 厚20mm ALGC仕上げ</t>
        </is>
      </c>
      <c r="D27" s="40" t="n"/>
      <c r="E27" s="85" t="n">
        <v>4</v>
      </c>
      <c r="F27" s="86" t="inlineStr">
        <is>
          <t>m</t>
        </is>
      </c>
      <c r="G27" s="87">
        <f>IF(M27="","",ROUND(M27*N27,-1))</f>
        <v>2730</v>
      </c>
      <c r="H27" s="85">
        <f>IF(G27="","",ROUND(E27*G27,0))</f>
        <v>10920</v>
      </c>
      <c r="I27" s="88" t="inlineStr">
        <is>
          <t>図面実測数量</t>
        </is>
      </c>
      <c r="J27" s="89" t="n">
        <v>1000</v>
      </c>
      <c r="K27" s="90" t="n">
        <v>0.065</v>
      </c>
      <c r="L27" s="87">
        <f>ROUND(K27*LABOR_DAY,0)</f>
        <v>1235</v>
      </c>
      <c r="M27" s="87">
        <f>J27+L27</f>
        <v>2235</v>
      </c>
      <c r="N27" s="91">
        <f>COEF</f>
        <v>1.22</v>
      </c>
      <c r="O27" s="85">
        <f>E27*M27</f>
        <v>8940</v>
      </c>
      <c r="P27" s="85">
        <f>ROUND(E27*L27*N27,0)</f>
        <v>6027</v>
      </c>
      <c r="Q27" s="92" t="inlineStr">
        <is>
          <t>実測</t>
        </is>
      </c>
      <c r="R27" s="85">
        <f>IF(H27="","",H27-O27)</f>
        <v>1980</v>
      </c>
      <c r="S27" s="93">
        <f>IF(OR(H27="",H27=0),"",R27/H27)</f>
        <v>0.1813186813186813</v>
      </c>
      <c r="T27" s="87" t="n"/>
      <c r="U27" s="94" t="n"/>
      <c r="V27" s="95" t="inlineStr">
        <is>
          <t>GW保温筒20 ALGC 30A（同上）｜</t>
        </is>
      </c>
    </row>
    <row r="28" ht="18" customHeight="1">
      <c r="A28" s="96" t="inlineStr">
        <is>
          <t xml:space="preserve">　ドレン管保温 40A</t>
        </is>
      </c>
      <c r="B28" s="57" t="n"/>
      <c r="C28" s="97" t="inlineStr">
        <is>
          <t>GW保温筒 厚20mm ALGC仕上げ</t>
        </is>
      </c>
      <c r="D28" s="57" t="n"/>
      <c r="E28" s="98" t="n">
        <v>6</v>
      </c>
      <c r="F28" s="99" t="inlineStr">
        <is>
          <t>m</t>
        </is>
      </c>
      <c r="G28" s="100">
        <f>IF(M28="","",ROUND(M28*N28,-1))</f>
        <v>2960</v>
      </c>
      <c r="H28" s="98">
        <f>IF(G28="","",ROUND(E28*G28,0))</f>
        <v>17760</v>
      </c>
      <c r="I28" s="101" t="inlineStr">
        <is>
          <t>図面実測＋想定（別紙）</t>
        </is>
      </c>
      <c r="J28" s="102" t="n">
        <v>1100</v>
      </c>
      <c r="K28" s="103" t="n">
        <v>0.07000000000000001</v>
      </c>
      <c r="L28" s="100">
        <f>ROUND(K28*LABOR_DAY,0)</f>
        <v>1330</v>
      </c>
      <c r="M28" s="100">
        <f>J28+L28</f>
        <v>2430</v>
      </c>
      <c r="N28" s="104">
        <f>COEF</f>
        <v>1.22</v>
      </c>
      <c r="O28" s="98">
        <f>E28*M28</f>
        <v>14580</v>
      </c>
      <c r="P28" s="98">
        <f>ROUND(E28*L28*N28,0)</f>
        <v>9736</v>
      </c>
      <c r="Q28" s="115" t="inlineStr">
        <is>
          <t>実測+推測</t>
        </is>
      </c>
      <c r="R28" s="98">
        <f>IF(H28="","",H28-O28)</f>
        <v>3180</v>
      </c>
      <c r="S28" s="106">
        <f>IF(OR(H28="",H28=0),"",R28/H28)</f>
        <v>0.17905405405405406</v>
      </c>
      <c r="T28" s="100" t="n"/>
      <c r="U28" s="107" t="n"/>
      <c r="V28" s="108" t="inlineStr">
        <is>
          <t>GW保温筒20 ALGC 40A（同上）｜ドレン管 VP40 と同長</t>
        </is>
      </c>
    </row>
    <row r="29" ht="18" customHeight="1">
      <c r="A29" s="109" t="inlineStr">
        <is>
          <t>小　　計</t>
        </is>
      </c>
      <c r="B29" s="38" t="n"/>
      <c r="C29" s="38" t="n"/>
      <c r="D29" s="38" t="n"/>
      <c r="E29" s="38" t="n"/>
      <c r="F29" s="38" t="n"/>
      <c r="G29" s="38" t="n"/>
      <c r="H29" s="110">
        <f>SUM(H26:H28)</f>
        <v>51090</v>
      </c>
      <c r="I29" s="80" t="n"/>
      <c r="J29" s="38" t="n"/>
      <c r="K29" s="111">
        <f>SUMPRODUCT(E26:E28,K26:K28)</f>
        <v>1.2200000000000002</v>
      </c>
      <c r="L29" s="38" t="n"/>
      <c r="M29" s="38" t="n"/>
      <c r="N29" s="38" t="n"/>
      <c r="O29" s="110">
        <f>SUM(O26:O28)</f>
        <v>41880</v>
      </c>
      <c r="P29" s="110">
        <f>SUM(P26:P28)</f>
        <v>28280</v>
      </c>
      <c r="Q29" s="38" t="n"/>
      <c r="R29" s="110">
        <f>H29-O29</f>
        <v>9210</v>
      </c>
      <c r="S29" s="112">
        <f>IF(H29=0,"",R29/H29)</f>
        <v>0.1802701115678215</v>
      </c>
      <c r="T29" s="38" t="n"/>
      <c r="U29" s="38" t="n"/>
      <c r="V29" s="38" t="n"/>
    </row>
    <row r="30" ht="18" customHeight="1">
      <c r="A30" s="81" t="inlineStr">
        <is>
          <t>（5）室外機設置</t>
        </is>
      </c>
      <c r="B30" s="40" t="n"/>
      <c r="C30" s="40" t="n"/>
      <c r="D30" s="40" t="n"/>
      <c r="E30" s="40" t="n"/>
      <c r="F30" s="40" t="n"/>
      <c r="G30" s="40" t="n"/>
      <c r="H30" s="40" t="n"/>
      <c r="I30" s="82" t="n"/>
      <c r="J30" s="40" t="n"/>
      <c r="K30" s="40" t="n"/>
      <c r="L30" s="40" t="n"/>
      <c r="M30" s="40" t="n"/>
      <c r="N30" s="40" t="n"/>
      <c r="O30" s="40" t="n"/>
      <c r="P30" s="40" t="n"/>
      <c r="Q30" s="40" t="n"/>
      <c r="R30" s="40" t="n"/>
      <c r="S30" s="40" t="n"/>
      <c r="T30" s="40" t="n"/>
      <c r="U30" s="40" t="n"/>
      <c r="V30" s="40" t="n"/>
    </row>
    <row r="31" ht="18" customHeight="1">
      <c r="A31" s="83" t="inlineStr">
        <is>
          <t xml:space="preserve">　AC-1 室外機 据付</t>
        </is>
      </c>
      <c r="B31" s="40" t="n"/>
      <c r="C31" s="114" t="inlineStr">
        <is>
          <t>5HP 架台下段（系統名表示共）</t>
        </is>
      </c>
      <c r="D31" s="40" t="n"/>
      <c r="E31" s="85" t="n">
        <v>1</v>
      </c>
      <c r="F31" s="86" t="inlineStr">
        <is>
          <t>台</t>
        </is>
      </c>
      <c r="G31" s="87">
        <f>IF(M31="","",ROUND(M31*N31,-1))</f>
        <v>20370</v>
      </c>
      <c r="H31" s="85">
        <f>IF(G31="","",ROUND(E31*G31,0))</f>
        <v>20370</v>
      </c>
      <c r="I31" s="88" t="inlineStr">
        <is>
          <t>支給品の据付</t>
        </is>
      </c>
      <c r="J31" s="89" t="n">
        <v>1500</v>
      </c>
      <c r="K31" s="90" t="n">
        <v>0.8</v>
      </c>
      <c r="L31" s="87">
        <f>ROUND(K31*LABOR_DAY,0)</f>
        <v>15200</v>
      </c>
      <c r="M31" s="87">
        <f>J31+L31</f>
        <v>16700</v>
      </c>
      <c r="N31" s="91">
        <f>COEF</f>
        <v>1.22</v>
      </c>
      <c r="O31" s="85">
        <f>E31*M31</f>
        <v>16700</v>
      </c>
      <c r="P31" s="85">
        <f>ROUND(E31*L31*N31,0)</f>
        <v>18544</v>
      </c>
      <c r="Q31" s="92" t="inlineStr">
        <is>
          <t>図面カウント</t>
        </is>
      </c>
      <c r="R31" s="85">
        <f>IF(H31="","",H31-O31)</f>
        <v>3670</v>
      </c>
      <c r="S31" s="93">
        <f>IF(OR(H31="",H31=0),"",R31/H31)</f>
        <v>0.180166912125675</v>
      </c>
      <c r="T31" s="87" t="n">
        <v>21700</v>
      </c>
      <c r="U31" s="94">
        <f>IF(OR(T31="",T31=0),"",G31/T31)</f>
        <v>0.9387096774193548</v>
      </c>
      <c r="V31" s="95" t="inlineStr">
        <is>
          <t>6330476-3 搬入据付 21,700/台（基礎・架台は別行）。防振ゴム取付・系統名表示共｜</t>
        </is>
      </c>
    </row>
    <row r="32" ht="26.5" customHeight="1">
      <c r="A32" s="83" t="inlineStr">
        <is>
          <t xml:space="preserve">　AC-1 室外機 据付</t>
        </is>
      </c>
      <c r="B32" s="40" t="n"/>
      <c r="C32" s="84" t="inlineStr">
        <is>
          <t>5HP 架台上段（揚重・系統名表示共）</t>
        </is>
      </c>
      <c r="D32" s="40" t="n"/>
      <c r="E32" s="85" t="n">
        <v>1</v>
      </c>
      <c r="F32" s="86" t="inlineStr">
        <is>
          <t>台</t>
        </is>
      </c>
      <c r="G32" s="87">
        <f>IF(M32="","",ROUND(M32*N32,-1))</f>
        <v>31960</v>
      </c>
      <c r="H32" s="85">
        <f>IF(G32="","",ROUND(E32*G32,0))</f>
        <v>31960</v>
      </c>
      <c r="I32" s="88" t="inlineStr">
        <is>
          <t>支給品の据付</t>
        </is>
      </c>
      <c r="J32" s="89" t="n">
        <v>1500</v>
      </c>
      <c r="K32" s="90" t="n">
        <v>1.3</v>
      </c>
      <c r="L32" s="87">
        <f>ROUND(K32*LABOR_DAY,0)</f>
        <v>24700</v>
      </c>
      <c r="M32" s="87">
        <f>J32+L32</f>
        <v>26200</v>
      </c>
      <c r="N32" s="91">
        <f>COEF</f>
        <v>1.22</v>
      </c>
      <c r="O32" s="85">
        <f>E32*M32</f>
        <v>26200</v>
      </c>
      <c r="P32" s="85">
        <f>ROUND(E32*L32*N32,0)</f>
        <v>30134</v>
      </c>
      <c r="Q32" s="92" t="inlineStr">
        <is>
          <t>図面カウント</t>
        </is>
      </c>
      <c r="R32" s="85">
        <f>IF(H32="","",H32-O32)</f>
        <v>5760</v>
      </c>
      <c r="S32" s="93">
        <f>IF(OR(H32="",H32=0),"",R32/H32)</f>
        <v>0.1802252816020025</v>
      </c>
      <c r="T32" s="87" t="n">
        <v>21700</v>
      </c>
      <c r="U32" s="94">
        <f>IF(OR(T32="",T32=0),"",G32/T32)</f>
        <v>1.4728110599078341</v>
      </c>
      <c r="V32" s="95" t="inlineStr">
        <is>
          <t>架台上段（H≒1.6m）への揚重（人力3名＋リフター）を人工に加算｜</t>
        </is>
      </c>
    </row>
    <row r="33" ht="18" customHeight="1">
      <c r="A33" s="83" t="inlineStr">
        <is>
          <t xml:space="preserve">　AC-2 室外機 据付</t>
        </is>
      </c>
      <c r="B33" s="40" t="n"/>
      <c r="C33" s="114" t="inlineStr">
        <is>
          <t>5HP 架台下段（系統名表示共）</t>
        </is>
      </c>
      <c r="D33" s="40" t="n"/>
      <c r="E33" s="85" t="n">
        <v>1</v>
      </c>
      <c r="F33" s="86" t="inlineStr">
        <is>
          <t>台</t>
        </is>
      </c>
      <c r="G33" s="87">
        <f>IF(M33="","",ROUND(M33*N33,-1))</f>
        <v>20370</v>
      </c>
      <c r="H33" s="85">
        <f>IF(G33="","",ROUND(E33*G33,0))</f>
        <v>20370</v>
      </c>
      <c r="I33" s="88" t="inlineStr">
        <is>
          <t>支給品の据付</t>
        </is>
      </c>
      <c r="J33" s="89" t="n">
        <v>1500</v>
      </c>
      <c r="K33" s="90" t="n">
        <v>0.8</v>
      </c>
      <c r="L33" s="87">
        <f>ROUND(K33*LABOR_DAY,0)</f>
        <v>15200</v>
      </c>
      <c r="M33" s="87">
        <f>J33+L33</f>
        <v>16700</v>
      </c>
      <c r="N33" s="91">
        <f>COEF</f>
        <v>1.22</v>
      </c>
      <c r="O33" s="85">
        <f>E33*M33</f>
        <v>16700</v>
      </c>
      <c r="P33" s="85">
        <f>ROUND(E33*L33*N33,0)</f>
        <v>18544</v>
      </c>
      <c r="Q33" s="92" t="inlineStr">
        <is>
          <t>図面カウント</t>
        </is>
      </c>
      <c r="R33" s="85">
        <f>IF(H33="","",H33-O33)</f>
        <v>3670</v>
      </c>
      <c r="S33" s="93">
        <f>IF(OR(H33="",H33=0),"",R33/H33)</f>
        <v>0.180166912125675</v>
      </c>
      <c r="T33" s="87" t="n">
        <v>21700</v>
      </c>
      <c r="U33" s="94">
        <f>IF(OR(T33="",T33=0),"",G33/T33)</f>
        <v>0.9387096774193548</v>
      </c>
      <c r="V33" s="95" t="inlineStr">
        <is>
          <t>6330476-3 搬入据付 21,700/台（基礎・架台は別行）。防振ゴム取付・系統名表示共｜</t>
        </is>
      </c>
    </row>
    <row r="34" ht="18" customHeight="1">
      <c r="A34" s="83" t="inlineStr">
        <is>
          <t xml:space="preserve">　RAC 室外機 据付</t>
        </is>
      </c>
      <c r="B34" s="40" t="n"/>
      <c r="C34" s="114" t="inlineStr">
        <is>
          <t>架台上段（揚重・系統名表示共）</t>
        </is>
      </c>
      <c r="D34" s="40" t="n"/>
      <c r="E34" s="85" t="n">
        <v>1</v>
      </c>
      <c r="F34" s="86" t="inlineStr">
        <is>
          <t>台</t>
        </is>
      </c>
      <c r="G34" s="87">
        <f>IF(M34="","",ROUND(M34*N34,-1))</f>
        <v>12200</v>
      </c>
      <c r="H34" s="85">
        <f>IF(G34="","",ROUND(E34*G34,0))</f>
        <v>12200</v>
      </c>
      <c r="I34" s="88" t="inlineStr">
        <is>
          <t>支給品の据付</t>
        </is>
      </c>
      <c r="J34" s="89" t="n">
        <v>500</v>
      </c>
      <c r="K34" s="90" t="n">
        <v>0.5</v>
      </c>
      <c r="L34" s="87">
        <f>ROUND(K34*LABOR_DAY,0)</f>
        <v>9500</v>
      </c>
      <c r="M34" s="87">
        <f>J34+L34</f>
        <v>10000</v>
      </c>
      <c r="N34" s="91">
        <f>COEF</f>
        <v>1.22</v>
      </c>
      <c r="O34" s="85">
        <f>E34*M34</f>
        <v>10000</v>
      </c>
      <c r="P34" s="85">
        <f>ROUND(E34*L34*N34,0)</f>
        <v>11590</v>
      </c>
      <c r="Q34" s="92" t="inlineStr">
        <is>
          <t>図面カウント</t>
        </is>
      </c>
      <c r="R34" s="85">
        <f>IF(H34="","",H34-O34)</f>
        <v>2200</v>
      </c>
      <c r="S34" s="93">
        <f>IF(OR(H34="",H34=0),"",R34/H34)</f>
        <v>0.18032786885245902</v>
      </c>
      <c r="T34" s="87" t="n"/>
      <c r="U34" s="94" t="n"/>
      <c r="V34" s="95" t="inlineStr">
        <is>
          <t>6330539 RA 搬入据付 12,500/組（室内外1組）の室外機分＋架台上段への揚重｜</t>
        </is>
      </c>
    </row>
    <row r="35" ht="26.5" customHeight="1">
      <c r="A35" s="83" t="inlineStr">
        <is>
          <t xml:space="preserve">　室外機架台</t>
        </is>
      </c>
      <c r="B35" s="40" t="n"/>
      <c r="C35" s="84" t="inlineStr">
        <is>
          <t>鉄骨2段積み 溶融亜鉛メッキ（AC-1 上下段）</t>
        </is>
      </c>
      <c r="D35" s="40" t="n"/>
      <c r="E35" s="85" t="n">
        <v>1</v>
      </c>
      <c r="F35" s="86" t="inlineStr">
        <is>
          <t>基</t>
        </is>
      </c>
      <c r="G35" s="87">
        <f>IF(M35="","",ROUND(M35*N35,-1))</f>
        <v>181780</v>
      </c>
      <c r="H35" s="85">
        <f>IF(G35="","",ROUND(E35*G35,0))</f>
        <v>181780</v>
      </c>
      <c r="I35" s="88" t="n"/>
      <c r="J35" s="89" t="n">
        <v>130000</v>
      </c>
      <c r="K35" s="90" t="n">
        <v>1</v>
      </c>
      <c r="L35" s="87">
        <f>ROUND(K35*LABOR_DAY,0)</f>
        <v>19000</v>
      </c>
      <c r="M35" s="87">
        <f>J35+L35</f>
        <v>149000</v>
      </c>
      <c r="N35" s="91">
        <f>COEF</f>
        <v>1.22</v>
      </c>
      <c r="O35" s="85">
        <f>E35*M35</f>
        <v>149000</v>
      </c>
      <c r="P35" s="85">
        <f>ROUND(E35*L35*N35,0)</f>
        <v>23180</v>
      </c>
      <c r="Q35" s="92" t="inlineStr">
        <is>
          <t>図面カウント</t>
        </is>
      </c>
      <c r="R35" s="85">
        <f>IF(H35="","",H35-O35)</f>
        <v>32780</v>
      </c>
      <c r="S35" s="93">
        <f>IF(OR(H35="",H35=0),"",R35/H35)</f>
        <v>0.18032786885245902</v>
      </c>
      <c r="T35" s="87" t="n"/>
      <c r="U35" s="94" t="n"/>
      <c r="V35" s="95" t="inlineStr">
        <is>
          <t>鉄骨2段架台 溶融亜鉛メッキ 5HP×2用（ダイキン H1,430 対応の段間寸法）材＋組立・据付。既製品相当の想定（要メーカー見積）｜</t>
        </is>
      </c>
    </row>
    <row r="36" ht="26.5" customHeight="1">
      <c r="A36" s="83" t="inlineStr">
        <is>
          <t xml:space="preserve">　室外機架台</t>
        </is>
      </c>
      <c r="B36" s="40" t="n"/>
      <c r="C36" s="84" t="inlineStr">
        <is>
          <t>鉄骨2段積み 溶融亜鉛メッキ（AC-2・RAC）</t>
        </is>
      </c>
      <c r="D36" s="40" t="n"/>
      <c r="E36" s="85" t="n">
        <v>1</v>
      </c>
      <c r="F36" s="86" t="inlineStr">
        <is>
          <t>基</t>
        </is>
      </c>
      <c r="G36" s="87">
        <f>IF(M36="","",ROUND(M36*N36,-1))</f>
        <v>157380</v>
      </c>
      <c r="H36" s="85">
        <f>IF(G36="","",ROUND(E36*G36,0))</f>
        <v>157380</v>
      </c>
      <c r="I36" s="88" t="n"/>
      <c r="J36" s="89" t="n">
        <v>110000</v>
      </c>
      <c r="K36" s="90" t="n">
        <v>1</v>
      </c>
      <c r="L36" s="87">
        <f>ROUND(K36*LABOR_DAY,0)</f>
        <v>19000</v>
      </c>
      <c r="M36" s="87">
        <f>J36+L36</f>
        <v>129000</v>
      </c>
      <c r="N36" s="91">
        <f>COEF</f>
        <v>1.22</v>
      </c>
      <c r="O36" s="85">
        <f>E36*M36</f>
        <v>129000</v>
      </c>
      <c r="P36" s="85">
        <f>ROUND(E36*L36*N36,0)</f>
        <v>23180</v>
      </c>
      <c r="Q36" s="92" t="inlineStr">
        <is>
          <t>図面カウント</t>
        </is>
      </c>
      <c r="R36" s="85">
        <f>IF(H36="","",H36-O36)</f>
        <v>28380</v>
      </c>
      <c r="S36" s="93">
        <f>IF(OR(H36="",H36=0),"",R36/H36)</f>
        <v>0.18032786885245902</v>
      </c>
      <c r="T36" s="87" t="n"/>
      <c r="U36" s="94" t="n"/>
      <c r="V36" s="95" t="inlineStr">
        <is>
          <t>鉄骨2段架台 溶融亜鉛メッキ 5HP＋RA用 材＋組立・据付。既製品相当の想定（要メーカー見積）｜</t>
        </is>
      </c>
    </row>
    <row r="37" ht="26.5" customHeight="1">
      <c r="A37" s="83" t="inlineStr">
        <is>
          <t xml:space="preserve">　架台基礎</t>
        </is>
      </c>
      <c r="B37" s="40" t="n"/>
      <c r="C37" s="84" t="inlineStr">
        <is>
          <t>コンクリート置基礎 4個／基・SUSアンカー</t>
        </is>
      </c>
      <c r="D37" s="40" t="n"/>
      <c r="E37" s="85" t="n">
        <v>2</v>
      </c>
      <c r="F37" s="86" t="inlineStr">
        <is>
          <t>基</t>
        </is>
      </c>
      <c r="G37" s="87">
        <f>IF(M37="","",ROUND(M37*N37,-1))</f>
        <v>29890</v>
      </c>
      <c r="H37" s="85">
        <f>IF(G37="","",ROUND(E37*G37,0))</f>
        <v>59780</v>
      </c>
      <c r="I37" s="88" t="inlineStr">
        <is>
          <t>想定数量（別紙条件書）</t>
        </is>
      </c>
      <c r="J37" s="89" t="n">
        <v>15000</v>
      </c>
      <c r="K37" s="90" t="n">
        <v>0.5</v>
      </c>
      <c r="L37" s="87">
        <f>ROUND(K37*LABOR_DAY,0)</f>
        <v>9500</v>
      </c>
      <c r="M37" s="87">
        <f>J37+L37</f>
        <v>24500</v>
      </c>
      <c r="N37" s="91">
        <f>COEF</f>
        <v>1.22</v>
      </c>
      <c r="O37" s="85">
        <f>E37*M37</f>
        <v>49000</v>
      </c>
      <c r="P37" s="85">
        <f>ROUND(E37*L37*N37,0)</f>
        <v>23180</v>
      </c>
      <c r="Q37" s="113" t="inlineStr">
        <is>
          <t>推測</t>
        </is>
      </c>
      <c r="R37" s="85">
        <f>IF(H37="","",H37-O37)</f>
        <v>10780</v>
      </c>
      <c r="S37" s="93">
        <f>IF(OR(H37="",H37=0),"",R37/H37)</f>
        <v>0.18032786885245902</v>
      </c>
      <c r="T37" s="87" t="n">
        <v>23200</v>
      </c>
      <c r="U37" s="94">
        <f>IF(OR(T37="",T37=0),"",G37/T37)</f>
        <v>1.2883620689655173</v>
      </c>
      <c r="V37" s="95" t="inlineStr">
        <is>
          <t>コンクリート置基礎 4個/基＋ステンレスアンカー。参考 基礎工事 5,800〜10,000/台（6330539/549/476-3）｜基礎形状の図示なし。架台1基につき置基礎4個を想定（外構土間に直接アンカー固定の場合は減額）</t>
        </is>
      </c>
    </row>
    <row r="38" ht="18" customHeight="1">
      <c r="A38" s="96" t="inlineStr">
        <is>
          <t xml:space="preserve">　防振ゴム</t>
        </is>
      </c>
      <c r="B38" s="57" t="n"/>
      <c r="C38" s="97" t="inlineStr">
        <is>
          <t>室外機用（4個／台）</t>
        </is>
      </c>
      <c r="D38" s="57" t="n"/>
      <c r="E38" s="98" t="n">
        <v>4</v>
      </c>
      <c r="F38" s="99" t="inlineStr">
        <is>
          <t>台分</t>
        </is>
      </c>
      <c r="G38" s="100">
        <f>IF(M38="","",ROUND(M38*N38,-1))</f>
        <v>5370</v>
      </c>
      <c r="H38" s="98">
        <f>IF(G38="","",ROUND(E38*G38,0))</f>
        <v>21480</v>
      </c>
      <c r="I38" s="101" t="n"/>
      <c r="J38" s="102" t="n">
        <v>2500</v>
      </c>
      <c r="K38" s="103" t="n">
        <v>0.1</v>
      </c>
      <c r="L38" s="100">
        <f>ROUND(K38*LABOR_DAY,0)</f>
        <v>1900</v>
      </c>
      <c r="M38" s="100">
        <f>J38+L38</f>
        <v>4400</v>
      </c>
      <c r="N38" s="104">
        <f>COEF</f>
        <v>1.22</v>
      </c>
      <c r="O38" s="98">
        <f>E38*M38</f>
        <v>17600</v>
      </c>
      <c r="P38" s="98">
        <f>ROUND(E38*L38*N38,0)</f>
        <v>9272</v>
      </c>
      <c r="Q38" s="105" t="inlineStr">
        <is>
          <t>図面カウント</t>
        </is>
      </c>
      <c r="R38" s="98">
        <f>IF(H38="","",H38-O38)</f>
        <v>3880</v>
      </c>
      <c r="S38" s="106">
        <f>IF(OR(H38="",H38=0),"",R38/H38)</f>
        <v>0.18063314711359404</v>
      </c>
      <c r="T38" s="100" t="n"/>
      <c r="U38" s="107" t="n"/>
      <c r="V38" s="108" t="inlineStr">
        <is>
          <t>室外機用防振ゴム 4個/台（市況）｜</t>
        </is>
      </c>
    </row>
    <row r="39" ht="18" customHeight="1">
      <c r="A39" s="109" t="inlineStr">
        <is>
          <t>小　　計</t>
        </is>
      </c>
      <c r="B39" s="38" t="n"/>
      <c r="C39" s="38" t="n"/>
      <c r="D39" s="38" t="n"/>
      <c r="E39" s="38" t="n"/>
      <c r="F39" s="38" t="n"/>
      <c r="G39" s="38" t="n"/>
      <c r="H39" s="110">
        <f>SUM(H31:H38)</f>
        <v>505320</v>
      </c>
      <c r="I39" s="80" t="n"/>
      <c r="J39" s="38" t="n"/>
      <c r="K39" s="111">
        <f>SUMPRODUCT(E31:E38,K31:K38)</f>
        <v>6.800000000000001</v>
      </c>
      <c r="L39" s="38" t="n"/>
      <c r="M39" s="38" t="n"/>
      <c r="N39" s="38" t="n"/>
      <c r="O39" s="110">
        <f>SUM(O31:O38)</f>
        <v>414200</v>
      </c>
      <c r="P39" s="110">
        <f>SUM(P31:P38)</f>
        <v>157624</v>
      </c>
      <c r="Q39" s="38" t="n"/>
      <c r="R39" s="110">
        <f>H39-O39</f>
        <v>91120</v>
      </c>
      <c r="S39" s="112">
        <f>IF(H39=0,"",R39/H39)</f>
        <v>0.18032138051135913</v>
      </c>
      <c r="T39" s="38" t="n"/>
      <c r="U39" s="38" t="n"/>
      <c r="V39" s="38" t="n"/>
    </row>
    <row r="40" ht="18" customHeight="1">
      <c r="A40" s="116" t="n"/>
      <c r="B40" s="117" t="n"/>
      <c r="C40" s="117" t="n"/>
      <c r="D40" s="117" t="n"/>
      <c r="E40" s="117" t="n"/>
      <c r="F40" s="117" t="n"/>
      <c r="G40" s="117" t="n"/>
      <c r="H40" s="117" t="n"/>
      <c r="I40" s="118" t="n"/>
      <c r="J40" s="117" t="n"/>
      <c r="K40" s="117" t="n"/>
      <c r="L40" s="117" t="n"/>
      <c r="M40" s="117" t="n"/>
      <c r="N40" s="117" t="n"/>
      <c r="O40" s="117" t="n"/>
      <c r="P40" s="117" t="n"/>
      <c r="Q40" s="117" t="n"/>
      <c r="R40" s="117" t="n"/>
      <c r="S40" s="117" t="n"/>
      <c r="T40" s="117" t="n"/>
      <c r="U40" s="117" t="n"/>
      <c r="V40" s="117" t="n"/>
    </row>
    <row r="41" ht="22" customHeight="1">
      <c r="A41" s="119" t="inlineStr">
        <is>
          <t>【合　　計】</t>
        </is>
      </c>
      <c r="B41" s="120" t="n"/>
      <c r="C41" s="120" t="n"/>
      <c r="D41" s="120" t="n"/>
      <c r="E41" s="120" t="n"/>
      <c r="F41" s="120" t="n"/>
      <c r="G41" s="120" t="n"/>
      <c r="H41" s="121">
        <f>H9+H17+H24+H29+H39</f>
        <v>1431570</v>
      </c>
      <c r="I41" s="122" t="n"/>
      <c r="J41" s="123" t="n"/>
      <c r="K41" s="124">
        <f>K9+K17+K24+K29+K39</f>
        <v>28.92</v>
      </c>
      <c r="L41" s="123" t="n"/>
      <c r="M41" s="123" t="n"/>
      <c r="N41" s="123" t="n"/>
      <c r="O41" s="125">
        <f>O9+O17+O24+O29+O39</f>
        <v>1173295</v>
      </c>
      <c r="P41" s="125">
        <f>P9+P17+P24+P29+P39</f>
        <v>670365</v>
      </c>
      <c r="Q41" s="123" t="n"/>
      <c r="R41" s="125">
        <f>H41-O41</f>
        <v>258275</v>
      </c>
      <c r="S41" s="126">
        <f>IF(H41=0,"",R41/H41)</f>
        <v>0.18041381140985072</v>
      </c>
      <c r="T41" s="123" t="n"/>
      <c r="U41" s="123" t="n"/>
      <c r="V41" s="123" t="n"/>
    </row>
  </sheetData>
  <mergeCells count="68">
    <mergeCell ref="C34:D34"/>
    <mergeCell ref="A17:D17"/>
    <mergeCell ref="A25:I25"/>
    <mergeCell ref="A31:B31"/>
    <mergeCell ref="C6:D6"/>
    <mergeCell ref="A15:B15"/>
    <mergeCell ref="C15:D15"/>
    <mergeCell ref="C33:D33"/>
    <mergeCell ref="A11:B11"/>
    <mergeCell ref="A29:D29"/>
    <mergeCell ref="C14:D14"/>
    <mergeCell ref="A18:I18"/>
    <mergeCell ref="A36:B36"/>
    <mergeCell ref="C26:D26"/>
    <mergeCell ref="A6:B6"/>
    <mergeCell ref="C35:D35"/>
    <mergeCell ref="C20:D20"/>
    <mergeCell ref="A9:D9"/>
    <mergeCell ref="A16:B16"/>
    <mergeCell ref="A7:B7"/>
    <mergeCell ref="C16:D16"/>
    <mergeCell ref="A5:I5"/>
    <mergeCell ref="A39:D39"/>
    <mergeCell ref="A37:B37"/>
    <mergeCell ref="C22:D22"/>
    <mergeCell ref="A24:D24"/>
    <mergeCell ref="C40:D40"/>
    <mergeCell ref="A27:B27"/>
    <mergeCell ref="A4:I4"/>
    <mergeCell ref="A3:B3"/>
    <mergeCell ref="C31:D31"/>
    <mergeCell ref="A12:B12"/>
    <mergeCell ref="J1:V1"/>
    <mergeCell ref="C12:D12"/>
    <mergeCell ref="A21:B21"/>
    <mergeCell ref="A26:B26"/>
    <mergeCell ref="C21:D21"/>
    <mergeCell ref="A10:I10"/>
    <mergeCell ref="C11:D11"/>
    <mergeCell ref="A33:B33"/>
    <mergeCell ref="C27:D27"/>
    <mergeCell ref="A32:B32"/>
    <mergeCell ref="C36:D36"/>
    <mergeCell ref="A14:B14"/>
    <mergeCell ref="A41:D41"/>
    <mergeCell ref="A23:B23"/>
    <mergeCell ref="A8:B8"/>
    <mergeCell ref="C23:D23"/>
    <mergeCell ref="C8:D8"/>
    <mergeCell ref="A22:B22"/>
    <mergeCell ref="A30:I30"/>
    <mergeCell ref="A35:B35"/>
    <mergeCell ref="A20:B20"/>
    <mergeCell ref="A38:B38"/>
    <mergeCell ref="C32:D32"/>
    <mergeCell ref="C7:D7"/>
    <mergeCell ref="C38:D38"/>
    <mergeCell ref="A19:B19"/>
    <mergeCell ref="C19:D19"/>
    <mergeCell ref="A28:B28"/>
    <mergeCell ref="A1:I1"/>
    <mergeCell ref="C37:D37"/>
    <mergeCell ref="A13:B13"/>
    <mergeCell ref="C28:D28"/>
    <mergeCell ref="C13:D13"/>
    <mergeCell ref="A40:B40"/>
    <mergeCell ref="C3:D3"/>
    <mergeCell ref="A34:B34"/>
  </mergeCells>
  <printOptions horizontalCentered="1" gridLines="0"/>
  <pageMargins left="0.4724409448818897" right="0.4724409448818897" top="0.5905511811023622" bottom="0.5905511811023622" header="0.3149606299212598" footer="0.2362204724409449"/>
  <pageSetup orientation="portrait" paperSize="9" fitToHeight="0" fitToWidth="1"/>
  <headerFooter>
    <oddHeader/>
    <oddFooter>&amp;C&amp;"ＭＳ Ｐゴシック,標準"&amp;9 &amp;P /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B1:G32"/>
  <sheetViews>
    <sheetView showGridLines="0" tabSelected="0" workbookViewId="0">
      <selection activeCell="A1" sqref="A1"/>
    </sheetView>
  </sheetViews>
  <sheetFormatPr baseColWidth="8" defaultRowHeight="15"/>
  <cols>
    <col width="2" customWidth="1" min="1" max="1"/>
    <col width="25" customWidth="1" min="2" max="2"/>
    <col width="9" customWidth="1" min="3" max="3"/>
    <col width="9" customWidth="1" min="4" max="4"/>
    <col width="14" customWidth="1" min="5" max="5"/>
    <col width="16" customWidth="1" min="6" max="6"/>
    <col width="31" customWidth="1" min="7" max="7"/>
  </cols>
  <sheetData>
    <row r="1" ht="26" customHeight="1">
      <c r="B1" s="127" t="inlineStr">
        <is>
          <t>法 定 福 利 費 内 訳 明 細 書</t>
        </is>
      </c>
    </row>
    <row r="2" ht="16" customHeight="1">
      <c r="B2" s="128" t="str">
        <f>"（御見積書 No."&amp;'表紙(工事)'!K3&amp;" の添付資料）"</f>
        <v>（御見積書 No. の添付資料）</v>
      </c>
    </row>
    <row r="3" ht="8" customHeight="1"/>
    <row r="4" ht="20" customHeight="1">
      <c r="B4" s="129" t="inlineStr">
        <is>
          <t>見積年月日</t>
        </is>
      </c>
      <c r="C4" s="130">
        <f>'表紙(工事)'!J4</f>
        <v>46302</v>
      </c>
      <c r="D4" s="36" t="n"/>
      <c r="E4" s="36" t="n"/>
      <c r="F4" s="129" t="inlineStr">
        <is>
          <t>見積No.</t>
        </is>
      </c>
      <c r="G4" s="131" t="str">
        <f>IF('表紙(工事)'!K3="","",'表紙(工事)'!K3)</f>
        <v/>
      </c>
    </row>
    <row r="5" ht="20" customHeight="1">
      <c r="B5" s="129" t="inlineStr">
        <is>
          <t>発注者名</t>
        </is>
      </c>
      <c r="C5" s="35" t="inlineStr">
        <is>
          <t>株式会社共栄店舗　御中</t>
        </is>
      </c>
      <c r="D5" s="36" t="n"/>
      <c r="E5" s="36" t="n"/>
      <c r="F5" s="36" t="n"/>
      <c r="G5" s="36" t="n"/>
    </row>
    <row r="6" ht="20" customHeight="1">
      <c r="B6" s="129" t="inlineStr">
        <is>
          <t>工事名</t>
        </is>
      </c>
      <c r="C6" s="35" t="inlineStr">
        <is>
          <t>吉野家　呉海岸通店　新設工事　空調設備工事</t>
        </is>
      </c>
      <c r="D6" s="36" t="n"/>
      <c r="E6" s="36" t="n"/>
      <c r="F6" s="36" t="n"/>
      <c r="G6" s="36" t="n"/>
    </row>
    <row r="7" ht="20" customHeight="1">
      <c r="B7" s="129" t="inlineStr">
        <is>
          <t>施工場所</t>
        </is>
      </c>
      <c r="C7" s="35" t="inlineStr">
        <is>
          <t>広島県呉市海岸（国道31号沿い）</t>
        </is>
      </c>
      <c r="D7" s="36" t="n"/>
      <c r="E7" s="36" t="n"/>
      <c r="F7" s="36" t="n"/>
      <c r="G7" s="36" t="n"/>
    </row>
    <row r="8" ht="20" customHeight="1">
      <c r="B8" s="129" t="inlineStr">
        <is>
          <t>会社名</t>
        </is>
      </c>
      <c r="C8" s="131" t="inlineStr">
        <is>
          <t>宮地機工株式会社</t>
        </is>
      </c>
      <c r="D8" s="36" t="n"/>
      <c r="E8" s="36" t="n"/>
      <c r="F8" s="129" t="inlineStr">
        <is>
          <t>所在地</t>
        </is>
      </c>
      <c r="G8" s="131" t="inlineStr">
        <is>
          <t>広島県尾道市東尾道9-9</t>
        </is>
      </c>
    </row>
    <row r="9" ht="10" customHeight="1"/>
    <row r="10" ht="20" customHeight="1">
      <c r="B10" s="132" t="inlineStr">
        <is>
          <t>【1】　労務費の内訳（法定福利費の算定基礎）</t>
        </is>
      </c>
    </row>
    <row r="11" ht="28" customHeight="1">
      <c r="B11" s="133" t="inlineStr">
        <is>
          <t>※ 本見積の労務費は、内訳書各項目の材工共単価のうち労務費相当額（自社施工分）の合計です。空調機は支給品のため含みません。</t>
        </is>
      </c>
    </row>
    <row r="12" ht="20" customHeight="1">
      <c r="B12" s="75" t="inlineStr">
        <is>
          <t>項　　目</t>
        </is>
      </c>
      <c r="C12" s="76" t="inlineStr">
        <is>
          <t>労務費（円）</t>
        </is>
      </c>
      <c r="D12" s="30" t="n"/>
      <c r="E12" s="76" t="inlineStr">
        <is>
          <t>摘　　要</t>
        </is>
      </c>
      <c r="F12" s="30" t="n"/>
      <c r="G12" s="134" t="n"/>
    </row>
    <row r="13" ht="20" customHeight="1">
      <c r="B13" s="135" t="inlineStr">
        <is>
          <t>①機器吊込み・据付</t>
        </is>
      </c>
      <c r="C13" s="42">
        <f>'内訳書(空調設備工事)'!P9</f>
        <v>78812</v>
      </c>
      <c r="D13" s="36" t="n"/>
      <c r="E13" s="136" t="inlineStr">
        <is>
          <t>内訳書 （1） 各項目の労務費相当額の合計</t>
        </is>
      </c>
      <c r="F13" s="36" t="n"/>
      <c r="G13" s="37" t="n"/>
    </row>
    <row r="14" ht="20" customHeight="1">
      <c r="B14" s="135" t="inlineStr">
        <is>
          <t>②冷媒配管</t>
        </is>
      </c>
      <c r="C14" s="42">
        <f>'内訳書(空調設備工事)'!P17</f>
        <v>345382</v>
      </c>
      <c r="D14" s="36" t="n"/>
      <c r="E14" s="136" t="inlineStr">
        <is>
          <t>内訳書 （2） 各項目の労務費相当額の合計</t>
        </is>
      </c>
      <c r="F14" s="36" t="n"/>
      <c r="G14" s="37" t="n"/>
    </row>
    <row r="15" ht="20" customHeight="1">
      <c r="B15" s="135" t="inlineStr">
        <is>
          <t>③ドレン配管</t>
        </is>
      </c>
      <c r="C15" s="42">
        <f>'内訳書(空調設備工事)'!P24</f>
        <v>60267</v>
      </c>
      <c r="D15" s="36" t="n"/>
      <c r="E15" s="136" t="inlineStr">
        <is>
          <t>内訳書 （3） 各項目の労務費相当額の合計</t>
        </is>
      </c>
      <c r="F15" s="36" t="n"/>
      <c r="G15" s="37" t="n"/>
    </row>
    <row r="16" ht="20" customHeight="1">
      <c r="B16" s="135" t="inlineStr">
        <is>
          <t>④ドレン配管保温</t>
        </is>
      </c>
      <c r="C16" s="42">
        <f>'内訳書(空調設備工事)'!P29</f>
        <v>28280</v>
      </c>
      <c r="D16" s="36" t="n"/>
      <c r="E16" s="136" t="inlineStr">
        <is>
          <t>内訳書 （4） 各項目の労務費相当額の合計</t>
        </is>
      </c>
      <c r="F16" s="36" t="n"/>
      <c r="G16" s="37" t="n"/>
    </row>
    <row r="17" ht="20" customHeight="1">
      <c r="B17" s="137" t="inlineStr">
        <is>
          <t>⑤室外機設置</t>
        </is>
      </c>
      <c r="C17" s="138">
        <f>'内訳書(空調設備工事)'!P39</f>
        <v>157624</v>
      </c>
      <c r="D17" s="52" t="n"/>
      <c r="E17" s="139" t="inlineStr">
        <is>
          <t>内訳書 （5） 各項目の労務費相当額の合計</t>
        </is>
      </c>
      <c r="F17" s="52" t="n"/>
      <c r="G17" s="140" t="n"/>
    </row>
    <row r="18" ht="20" customHeight="1">
      <c r="B18" s="141" t="inlineStr">
        <is>
          <t>労 務 費 合 計</t>
        </is>
      </c>
      <c r="C18" s="62">
        <f>SUM(C13:C17)</f>
        <v>670365</v>
      </c>
      <c r="D18" s="61" t="n"/>
      <c r="E18" s="142" t="inlineStr">
        <is>
          <t>← 法定福利費の算定基礎額</t>
        </is>
      </c>
      <c r="F18" s="61" t="n"/>
      <c r="G18" s="143" t="n"/>
    </row>
    <row r="19" ht="10" customHeight="1"/>
    <row r="20" ht="20" customHeight="1">
      <c r="B20" s="132" t="inlineStr">
        <is>
          <t>【2】　法定福利費の算定</t>
        </is>
      </c>
    </row>
    <row r="21" ht="18" customHeight="1">
      <c r="B21" s="144" t="inlineStr">
        <is>
          <t>計算式：　法定福利費 ＝ 労務費 × 事業主負担料率　（保険ごとに円未満切捨て）</t>
        </is>
      </c>
    </row>
    <row r="22" ht="22" customHeight="1">
      <c r="B22" s="75" t="inlineStr">
        <is>
          <t>保険の種類</t>
        </is>
      </c>
      <c r="C22" s="145" t="inlineStr">
        <is>
          <t>対象労務費（円）</t>
        </is>
      </c>
      <c r="D22" s="30" t="n"/>
      <c r="E22" s="145" t="inlineStr">
        <is>
          <t>事業主負担料率</t>
        </is>
      </c>
      <c r="F22" s="145" t="inlineStr">
        <is>
          <t>法定福利費（円）</t>
        </is>
      </c>
      <c r="G22" s="77" t="inlineStr">
        <is>
          <t>算定根拠</t>
        </is>
      </c>
    </row>
    <row r="23" ht="27.5" customHeight="1">
      <c r="B23" s="146" t="inlineStr">
        <is>
          <t>健康保険料</t>
        </is>
      </c>
      <c r="C23" s="42">
        <f>$C$18</f>
        <v>670365</v>
      </c>
      <c r="D23" s="36" t="n"/>
      <c r="E23" s="147" t="n">
        <v>0.0489</v>
      </c>
      <c r="F23" s="42">
        <f>ROUNDDOWN(C23*E23,0)</f>
        <v>32780</v>
      </c>
      <c r="G23" s="148" t="inlineStr">
        <is>
          <t>健康保険料率 9.780%（協会けんぽ 広島県 令和8年度）×1/2（労使折半）</t>
        </is>
      </c>
    </row>
    <row r="24" ht="27.5" customHeight="1">
      <c r="B24" s="146" t="inlineStr">
        <is>
          <t>介護保険料</t>
        </is>
      </c>
      <c r="C24" s="42">
        <f>$C$18</f>
        <v>670365</v>
      </c>
      <c r="D24" s="36" t="n"/>
      <c r="E24" s="147" t="n">
        <v>0.0081</v>
      </c>
      <c r="F24" s="42">
        <f>ROUNDDOWN(C24*E24,0)</f>
        <v>5429</v>
      </c>
      <c r="G24" s="148" t="inlineStr">
        <is>
          <t>介護保険料率 1.620%（全国一律 令和8年度）×1/2（労使折半）</t>
        </is>
      </c>
    </row>
    <row r="25" ht="27.5" customHeight="1">
      <c r="B25" s="146" t="inlineStr">
        <is>
          <t>子ども・子育て支援金</t>
        </is>
      </c>
      <c r="C25" s="42">
        <f>$C$18</f>
        <v>670365</v>
      </c>
      <c r="D25" s="36" t="n"/>
      <c r="E25" s="147" t="n">
        <v>0.00115</v>
      </c>
      <c r="F25" s="42">
        <f>ROUNDDOWN(C25*E25,0)</f>
        <v>770</v>
      </c>
      <c r="G25" s="148" t="inlineStr">
        <is>
          <t>支援金率 0.230%（令和8年4月分〜）×1/2（労使折半）</t>
        </is>
      </c>
    </row>
    <row r="26" ht="27.5" customHeight="1">
      <c r="B26" s="146" t="inlineStr">
        <is>
          <t>厚生年金保険料</t>
        </is>
      </c>
      <c r="C26" s="42">
        <f>$C$18</f>
        <v>670365</v>
      </c>
      <c r="D26" s="36" t="n"/>
      <c r="E26" s="147" t="n">
        <v>0.0915</v>
      </c>
      <c r="F26" s="42">
        <f>ROUNDDOWN(C26*E26,0)</f>
        <v>61338</v>
      </c>
      <c r="G26" s="148" t="inlineStr">
        <is>
          <t>厚生年金保険料率 18.300%（平成29年9月以降固定）×1/2（労使折半）</t>
        </is>
      </c>
    </row>
    <row r="27" ht="27.5" customHeight="1">
      <c r="B27" s="146" t="inlineStr">
        <is>
          <t>雇用保険料</t>
        </is>
      </c>
      <c r="C27" s="42">
        <f>$C$18</f>
        <v>670365</v>
      </c>
      <c r="D27" s="36" t="n"/>
      <c r="E27" s="147" t="n">
        <v>0.0105</v>
      </c>
      <c r="F27" s="42">
        <f>ROUNDDOWN(C27*E27,0)</f>
        <v>7038</v>
      </c>
      <c r="G27" s="148" t="inlineStr">
        <is>
          <t>雇用保険料率（建設の事業）事業主負担分 1.050%</t>
        </is>
      </c>
    </row>
    <row r="28" ht="22" customHeight="1">
      <c r="B28" s="149" t="inlineStr">
        <is>
          <t>子ども・子育て拠出金</t>
        </is>
      </c>
      <c r="C28" s="138">
        <f>$C$18</f>
        <v>670365</v>
      </c>
      <c r="D28" s="52" t="n"/>
      <c r="E28" s="150" t="n">
        <v>0.0036</v>
      </c>
      <c r="F28" s="138">
        <f>ROUNDDOWN(C28*E28,0)</f>
        <v>2413</v>
      </c>
      <c r="G28" s="151" t="inlineStr">
        <is>
          <t>拠出金率 0.360%（事業主全額負担）</t>
        </is>
      </c>
    </row>
    <row r="29" ht="24" customHeight="1">
      <c r="B29" s="152" t="inlineStr">
        <is>
          <t>合　　計</t>
        </is>
      </c>
      <c r="C29" s="61" t="n"/>
      <c r="D29" s="61" t="n"/>
      <c r="E29" s="153">
        <f>SUM(E23:E28)</f>
        <v>0.16375</v>
      </c>
      <c r="F29" s="62">
        <f>SUM(F23:F28)</f>
        <v>109768</v>
      </c>
      <c r="G29" s="143" t="n"/>
    </row>
    <row r="30" ht="10" customHeight="1"/>
    <row r="31" ht="28" customHeight="1">
      <c r="B31" s="133" t="inlineStr">
        <is>
          <t>※ 料率は見積作成時点（令和8年度）の公表料率によります。料率が改定された場合は改定後の料率により精算させていただきます。</t>
        </is>
      </c>
    </row>
    <row r="32" ht="15.5" customHeight="1">
      <c r="B32" s="133" t="inlineStr">
        <is>
          <t>※ 法定福利費は御見積書の⑥に計上しています。</t>
        </is>
      </c>
    </row>
  </sheetData>
  <mergeCells count="33">
    <mergeCell ref="B2:G2"/>
    <mergeCell ref="E13:G13"/>
    <mergeCell ref="C24:D24"/>
    <mergeCell ref="C6:G6"/>
    <mergeCell ref="C15:D15"/>
    <mergeCell ref="B1:G1"/>
    <mergeCell ref="C5:G5"/>
    <mergeCell ref="C14:D14"/>
    <mergeCell ref="E15:G15"/>
    <mergeCell ref="C26:D26"/>
    <mergeCell ref="C29:D29"/>
    <mergeCell ref="C16:D16"/>
    <mergeCell ref="C25:D25"/>
    <mergeCell ref="C8:E8"/>
    <mergeCell ref="C22:D22"/>
    <mergeCell ref="E16:G16"/>
    <mergeCell ref="C12:D12"/>
    <mergeCell ref="C27:D27"/>
    <mergeCell ref="B32:G32"/>
    <mergeCell ref="E12:G12"/>
    <mergeCell ref="E18:G18"/>
    <mergeCell ref="C17:D17"/>
    <mergeCell ref="C23:D23"/>
    <mergeCell ref="C7:G7"/>
    <mergeCell ref="E14:G14"/>
    <mergeCell ref="B31:G31"/>
    <mergeCell ref="C4:E4"/>
    <mergeCell ref="E17:G17"/>
    <mergeCell ref="C28:D28"/>
    <mergeCell ref="C13:D13"/>
    <mergeCell ref="C18:D18"/>
    <mergeCell ref="B21:G21"/>
    <mergeCell ref="B11:G11"/>
  </mergeCells>
  <printOptions horizontalCentered="1" gridLines="0"/>
  <pageMargins left="0.4724409448818897" right="0.4724409448818897" top="0.5905511811023622" bottom="0.5905511811023622" header="0.3149606299212598" footer="0.2362204724409449"/>
  <pageSetup orientation="portrait" paperSize="9" fitToHeight="1" fitToWidth="1"/>
</worksheet>
</file>

<file path=xl/worksheets/sheet4.xml><?xml version="1.0" encoding="utf-8"?>
<worksheet xmlns="http://schemas.openxmlformats.org/spreadsheetml/2006/main">
  <sheetPr>
    <outlinePr summaryBelow="1" summaryRight="1"/>
    <pageSetUpPr fitToPage="1"/>
  </sheetPr>
  <dimension ref="A1:F39"/>
  <sheetViews>
    <sheetView showGridLines="0" tabSelected="0" workbookViewId="0">
      <selection activeCell="A1" sqref="A1"/>
    </sheetView>
  </sheetViews>
  <sheetFormatPr baseColWidth="8" defaultRowHeight="15"/>
  <cols>
    <col width="5" customWidth="1" min="1" max="1"/>
    <col width="10" customWidth="1" min="2" max="2"/>
    <col width="25" customWidth="1" min="3" max="3"/>
    <col width="20" customWidth="1" min="4" max="4"/>
    <col width="16" customWidth="1" min="5" max="5"/>
    <col width="19" customWidth="1" min="6" max="6"/>
  </cols>
  <sheetData>
    <row r="1" ht="24" customHeight="1">
      <c r="A1" s="154" t="inlineStr">
        <is>
          <t>御見積条件・注意事項</t>
        </is>
      </c>
    </row>
    <row r="2" ht="16" customHeight="1">
      <c r="A2" s="144" t="inlineStr">
        <is>
          <t>吉野家　呉海岸通店　新設工事　空調設備工事　御見積書 添付</t>
        </is>
      </c>
    </row>
    <row r="3" ht="8" customHeight="1"/>
    <row r="4" ht="22" customHeight="1">
      <c r="A4" s="19" t="inlineStr">
        <is>
          <t>【1】御見積条件・注意事項</t>
        </is>
      </c>
    </row>
    <row r="5" ht="63" customHeight="1">
      <c r="A5" s="155" t="inlineStr">
        <is>
          <t>1.</t>
        </is>
      </c>
      <c r="B5" s="156" t="inlineStr">
        <is>
          <t>本見積は換気空調機器表 F-01（2025.05.25）・空調設備図 F-02-1（2026.05.25）・平面図 A-08（2026.07.29）に基づき当社にて拾い出した数量により積算しております。冷媒管・ドレン管の平面延長は空調設備図（1/50）から計測し、立上り・立下り・機器接続部は想定数量として計上しています（別紙【2】参照）。</t>
        </is>
      </c>
    </row>
    <row r="6" ht="63" customHeight="1">
      <c r="A6" s="155" t="inlineStr">
        <is>
          <t>2.</t>
        </is>
      </c>
      <c r="B6" s="156" t="inlineStr">
        <is>
          <t>本見積の工事範囲は、ご指示の「機器吊込み・冷媒配管（ガス管保温20mm）・VPドレン・ドレン配管GW保温・室外機設置」です。空調設備図の特記で空調設備工事とされている項目のうち、渡り操作配線・リモコン取付、リモコン・スイッチ類の名称表示、試運転調整は本見積に含みません。必要な場合は別途お見積りいたします。</t>
        </is>
      </c>
    </row>
    <row r="7" ht="49.2" customHeight="1">
      <c r="A7" s="155" t="inlineStr">
        <is>
          <t>3.</t>
        </is>
      </c>
      <c r="B7" s="156" t="inlineStr">
        <is>
          <t>空調機（AC-1 天井カセット形 SSRC140C×2台、AC-2 天井ビルトイン形 SSRB140C×1台、RAC 店長室用×1台、各リモコン）および吹出しパンカー PK-SB#10TK×4台は支給品のため含みません。本見積は空調機の搬入・吊込み・据付費のみを計上しています。</t>
        </is>
      </c>
    </row>
    <row r="8" ht="35.5" customHeight="1">
      <c r="A8" s="155" t="inlineStr">
        <is>
          <t>4.</t>
        </is>
      </c>
      <c r="B8" s="156" t="inlineStr">
        <is>
          <t>AC-2（天井ビルトイン形）から吹出しパンカーまでのダクト・パンカー取付、換気設備（換気扇・送風機・フード・ダクト類）は本見積に含みません。</t>
        </is>
      </c>
    </row>
    <row r="9" ht="63" customHeight="1">
      <c r="A9" s="155" t="inlineStr">
        <is>
          <t>5.</t>
        </is>
      </c>
      <c r="B9" s="156" t="inlineStr">
        <is>
          <t>空調設備図の特記により、室外機の基礎・鉄骨架台（2段積み・溶融亜鉛メッキ防錆処理）・防振ゴムは「室外機設置」に計上しています。架台は既製品相当とし、ダイキン製室外機（H1,430mm）に対応する段間寸法・背面と建物壁面の隙間200mm以上を確保します。外構の土間コンクリートに直接アンカー固定できる場合は基礎を減額いたします。</t>
        </is>
      </c>
    </row>
    <row r="10" ht="49.2" customHeight="1">
      <c r="A10" s="155" t="inlineStr">
        <is>
          <t>6.</t>
        </is>
      </c>
      <c r="B10" s="156" t="inlineStr">
        <is>
          <t>冷媒管は被覆銅管とし、ガス管は保温厚20mm（耐熱ポリエチレンフォーム）、液管はメーカー標準被覆としています。屋外露出部は特記により断熱材巻きの上、屋外用化粧カバー（スリムダクト）仕上げとして計上しています。</t>
        </is>
      </c>
    </row>
    <row r="11" ht="35.5" customHeight="1">
      <c r="A11" s="155" t="inlineStr">
        <is>
          <t>7.</t>
        </is>
      </c>
      <c r="B11" s="156" t="inlineStr">
        <is>
          <t>冷媒の追加充填は、各系統の配管長（最長約14m）が支給機のチャージレス配管長以内と想定し計上していません。必要となった場合は実費にて精算させていただきます。</t>
        </is>
      </c>
    </row>
    <row r="12" ht="49.2" customHeight="1">
      <c r="A12" s="155" t="inlineStr">
        <is>
          <t>8.</t>
        </is>
      </c>
      <c r="B12" s="156" t="inlineStr">
        <is>
          <t>ドレン管は硬質塩化ビニル管（VP）とし、空調設備図の口径（25A・30A・40A）により計上しています。範囲は各機器から「空調機ドレン接続立上り（H=150）」までとし、以降は給排水工事です。図示のドレンホース用逆止弁 NDB-20-25 は本見積に計上しています。</t>
        </is>
      </c>
    </row>
    <row r="13" ht="49.2" customHeight="1">
      <c r="A13" s="155" t="inlineStr">
        <is>
          <t>9.</t>
        </is>
      </c>
      <c r="B13" s="156" t="inlineStr">
        <is>
          <t>ドレン管の保温はグラスウール保温筒 厚20mm・アルミガラスクロス（ALGC）仕上げとして全長に計上しています。厨房内の露出部をステンレスラッキング等とする場合は別途協議とさせていただきます。</t>
        </is>
      </c>
    </row>
    <row r="14" ht="35.5" customHeight="1">
      <c r="A14" s="155" t="inlineStr">
        <is>
          <t>10.</t>
        </is>
      </c>
      <c r="B14" s="156" t="inlineStr">
        <is>
          <t>冷媒管の外壁貫通穴明け（4箇所）は本見積に計上しています。構造材の補強、天井・壁の開口および仕上げ補修、天井点検口は建築工事とし含みません。</t>
        </is>
      </c>
    </row>
    <row r="15" ht="35.5" customHeight="1">
      <c r="A15" s="155" t="inlineStr">
        <is>
          <t>11.</t>
        </is>
      </c>
      <c r="B15" s="156" t="inlineStr">
        <is>
          <t>仮設（足場・高所作業車・仮設電気・水道等）および産業廃棄物（支給品の梱包材を含む）の処分費は元請様にてご負担願います（当社発生材は指定集積場所への分別搬出まで）。</t>
        </is>
      </c>
    </row>
    <row r="16" ht="49.2" customHeight="1">
      <c r="A16" s="155" t="inlineStr">
        <is>
          <t>12.</t>
        </is>
      </c>
      <c r="B16" s="156" t="inlineStr">
        <is>
          <t>工期は工程表（吉野家呉海岸通店新設工事 工程表）に基づく通常の日中作業を前提としております。夜間・休日作業、工程変更や他工事との輻輳による手待ち、工期延長に伴う経費増は別途協議とさせていただきます。</t>
        </is>
      </c>
    </row>
    <row r="17" ht="35.5" customHeight="1">
      <c r="A17" s="155" t="inlineStr">
        <is>
          <t>13.</t>
        </is>
      </c>
      <c r="B17" s="156" t="inlineStr">
        <is>
          <t>本見積書に記載なき事項については別途とさせていただきます。工事に係る電気・水道は無償支給願います。</t>
        </is>
      </c>
    </row>
    <row r="18" ht="35.5" customHeight="1">
      <c r="A18" s="155" t="inlineStr">
        <is>
          <t>14.</t>
        </is>
      </c>
      <c r="B18" s="156" t="inlineStr">
        <is>
          <t>本見積金額には消費税は含まれておりません。労務費に係る法定福利費（事業主負担分）は別紙「法定福利費内訳明細書」のとおり計上しています。</t>
        </is>
      </c>
    </row>
    <row r="19" ht="10" customHeight="1"/>
    <row r="20" ht="22" customHeight="1">
      <c r="A20" s="19" t="inlineStr">
        <is>
          <t>【2】想定数量（推測）項目の前提</t>
        </is>
      </c>
    </row>
    <row r="21" ht="29" customHeight="1">
      <c r="A21" s="133" t="inlineStr">
        <is>
          <t>図面に数量・経路の記載がなく当社にて想定した項目です。「図面実測＋想定」は平面延長を図面計測し、立上り等を想定加算したものです。実数量確定後に精算させていただきます。</t>
        </is>
      </c>
    </row>
    <row r="22" ht="20" customHeight="1">
      <c r="A22" s="157" t="inlineStr">
        <is>
          <t>No.</t>
        </is>
      </c>
      <c r="B22" s="145" t="inlineStr">
        <is>
          <t>内訳書</t>
        </is>
      </c>
      <c r="C22" s="145" t="inlineStr">
        <is>
          <t>項　　目</t>
        </is>
      </c>
      <c r="D22" s="145" t="inlineStr">
        <is>
          <t>前提・想定内容</t>
        </is>
      </c>
      <c r="E22" s="30" t="n"/>
      <c r="F22" s="158" t="inlineStr">
        <is>
          <t>数量（区分）</t>
        </is>
      </c>
    </row>
    <row r="23" ht="66.5" customHeight="1">
      <c r="A23" s="159" t="n">
        <v>1</v>
      </c>
      <c r="B23" s="160" t="inlineStr">
        <is>
          <t>（2）</t>
        </is>
      </c>
      <c r="C23" s="161" t="inlineStr">
        <is>
          <t>冷媒配管 φ9.52／φ15.88 被覆銅管 ガス管保温厚20mm 継手・支持金物共（AC-1・AC-2）</t>
        </is>
      </c>
      <c r="D23" s="161" t="inlineStr">
        <is>
          <t>平面実測 26.77m（AC-1西 11.15・AC-1東 7.54・AC-2 8.08）＋立上り（架台下段 2.2m×2・上段 0.9m×1）＋機器接続 0.3m×3＋余長 0.5m×3 ＝ 34.47m</t>
        </is>
      </c>
      <c r="E23" s="36" t="n"/>
      <c r="F23" s="162" t="inlineStr">
        <is>
          <t>35 m（実測＋想定）</t>
        </is>
      </c>
    </row>
    <row r="24" ht="54" customHeight="1">
      <c r="A24" s="159" t="n">
        <v>2</v>
      </c>
      <c r="B24" s="160" t="inlineStr">
        <is>
          <t>（2）</t>
        </is>
      </c>
      <c r="C24" s="161" t="inlineStr">
        <is>
          <t>冷媒配管 φ6.35／φ9.52 被覆銅管 ガス管保温厚20mm 継手・支持金物共（RAC）</t>
        </is>
      </c>
      <c r="D24" s="161" t="inlineStr">
        <is>
          <t>平面実測 7.65m＋立上り（架台上段）0.9m＋店長室 立下り 0.6m＋余長 0.3m ＝ 9.45m</t>
        </is>
      </c>
      <c r="E24" s="36" t="n"/>
      <c r="F24" s="162" t="inlineStr">
        <is>
          <t>10 m（実測＋想定）</t>
        </is>
      </c>
    </row>
    <row r="25" ht="41.5" customHeight="1">
      <c r="A25" s="159" t="n">
        <v>3</v>
      </c>
      <c r="B25" s="160" t="inlineStr">
        <is>
          <t>（2）</t>
        </is>
      </c>
      <c r="C25" s="161" t="inlineStr">
        <is>
          <t>外部冷媒配管 化粧カバー 屋外用スリムダクト 継手・端末カバー共</t>
        </is>
      </c>
      <c r="D25" s="161" t="inlineStr">
        <is>
          <t>屋外の平面部 3.81m（4系統 実測）＋室外機→外壁貫通の立上り（下段 2.2m×2・上段 0.9m×2）＝ 10.01m</t>
        </is>
      </c>
      <c r="E25" s="36" t="n"/>
      <c r="F25" s="162" t="inlineStr">
        <is>
          <t>10 m（実測＋想定）</t>
        </is>
      </c>
    </row>
    <row r="26" ht="66.5" customHeight="1">
      <c r="A26" s="159" t="n">
        <v>4</v>
      </c>
      <c r="B26" s="160" t="inlineStr">
        <is>
          <t>（3）</t>
        </is>
      </c>
      <c r="C26" s="161" t="inlineStr">
        <is>
          <t>ドレン管 VP25 継手・支持金物共（各機器〜主管・RAC）</t>
        </is>
      </c>
      <c r="D26" s="161" t="inlineStr">
        <is>
          <t>平面実測 5.20m（東主管 2.72・AC-2枝 1.28・西枝 0.76・RAC 0.44）＋ドレンアップ立上り 0.3m×3＋東カセット接続 0.3m＋RAC 立下り 1.9m ＝ 8.30m</t>
        </is>
      </c>
      <c r="E26" s="36" t="n"/>
      <c r="F26" s="162" t="inlineStr">
        <is>
          <t>9 m（実測＋想定）</t>
        </is>
      </c>
    </row>
    <row r="27" ht="41.5" customHeight="1">
      <c r="A27" s="159" t="n">
        <v>5</v>
      </c>
      <c r="B27" s="160" t="inlineStr">
        <is>
          <t>（3）</t>
        </is>
      </c>
      <c r="C27" s="161" t="inlineStr">
        <is>
          <t>ドレン管 VP40 継手・支持金物共（主管・立下り）</t>
        </is>
      </c>
      <c r="D27" s="161" t="inlineStr">
        <is>
          <t>平面実測 3.29m＋天井内→接続立上り（H=150）への立下り 2.45m ＝ 5.74m</t>
        </is>
      </c>
      <c r="E27" s="36" t="n"/>
      <c r="F27" s="162" t="inlineStr">
        <is>
          <t>6 m（実測＋想定）</t>
        </is>
      </c>
    </row>
    <row r="28" ht="29" customHeight="1">
      <c r="A28" s="159" t="n">
        <v>6</v>
      </c>
      <c r="B28" s="160" t="inlineStr">
        <is>
          <t>（4）</t>
        </is>
      </c>
      <c r="C28" s="161" t="inlineStr">
        <is>
          <t>ドレン管保温 25A GW保温筒 厚20mm ALGC仕上げ</t>
        </is>
      </c>
      <c r="D28" s="161" t="inlineStr">
        <is>
          <t>ドレン管 VP25 と同長</t>
        </is>
      </c>
      <c r="E28" s="36" t="n"/>
      <c r="F28" s="162" t="inlineStr">
        <is>
          <t>9 m（実測＋想定）</t>
        </is>
      </c>
    </row>
    <row r="29" ht="29" customHeight="1">
      <c r="A29" s="159" t="n">
        <v>7</v>
      </c>
      <c r="B29" s="160" t="inlineStr">
        <is>
          <t>（4）</t>
        </is>
      </c>
      <c r="C29" s="161" t="inlineStr">
        <is>
          <t>ドレン管保温 40A GW保温筒 厚20mm ALGC仕上げ</t>
        </is>
      </c>
      <c r="D29" s="161" t="inlineStr">
        <is>
          <t>ドレン管 VP40 と同長</t>
        </is>
      </c>
      <c r="E29" s="36" t="n"/>
      <c r="F29" s="162" t="inlineStr">
        <is>
          <t>6 m（実測＋想定）</t>
        </is>
      </c>
    </row>
    <row r="30" ht="41.5" customHeight="1">
      <c r="A30" s="163" t="n">
        <v>8</v>
      </c>
      <c r="B30" s="164" t="inlineStr">
        <is>
          <t>（5）</t>
        </is>
      </c>
      <c r="C30" s="165" t="inlineStr">
        <is>
          <t>架台基礎 コンクリート置基礎 4個／基・SUSアンカー</t>
        </is>
      </c>
      <c r="D30" s="165" t="inlineStr">
        <is>
          <t>基礎形状の図示なし。架台1基につき置基礎4個を想定（外構土間に直接アンカー固定の場合は減額）</t>
        </is>
      </c>
      <c r="E30" s="166" t="n"/>
      <c r="F30" s="167" t="inlineStr">
        <is>
          <t>2 基（想定）</t>
        </is>
      </c>
    </row>
    <row r="31" ht="10" customHeight="1"/>
    <row r="32" ht="22" customHeight="1">
      <c r="A32" s="19" t="inlineStr">
        <is>
          <t>【3】図面読み取りに関する確認事項</t>
        </is>
      </c>
    </row>
    <row r="33" ht="35.5" customHeight="1">
      <c r="A33" s="155" t="inlineStr">
        <is>
          <t>1.</t>
        </is>
      </c>
      <c r="B33" s="156" t="inlineStr">
        <is>
          <t>宛名は元請様を株式会社共栄店舗（工程表の作成者）と想定して記載しています。ご指定があれば修正します。</t>
        </is>
      </c>
    </row>
    <row r="34" ht="35.5" customHeight="1">
      <c r="A34" s="155" t="inlineStr">
        <is>
          <t>2.</t>
        </is>
      </c>
      <c r="B34" s="156" t="inlineStr">
        <is>
          <t>工事名は工程表の「吉野家呉海岸通店新設工事」によりました（図面標題は「吉野家 呉海岸店 新設工事」）。施工場所は位置図（呉海岸）によります。地番をご教示ください。</t>
        </is>
      </c>
    </row>
    <row r="35" ht="49.2" customHeight="1">
      <c r="A35" s="155" t="inlineStr">
        <is>
          <t>3.</t>
        </is>
      </c>
      <c r="B35" s="156" t="inlineStr">
        <is>
          <t>冷媒管・ドレン管は空調設備図 F-02-1 の配管線（R・D 記号）をベクトルデータから計測しています。立上り・立下りは室外機設置概要図（2段架台）と天井高（客席 CH2,600、厨房・店長室 CH2,500）から想定しています。</t>
        </is>
      </c>
    </row>
    <row r="36" ht="35.5" customHeight="1">
      <c r="A36" s="155" t="inlineStr">
        <is>
          <t>4.</t>
        </is>
      </c>
      <c r="B36" s="156" t="inlineStr">
        <is>
          <t>室外機は室外機設置概要図により、架台①＝AC-1（下段）＋AC-1（上段）、架台②＝AC-2（下段）＋RAC（上段）の組合せとしています。</t>
        </is>
      </c>
    </row>
    <row r="37" ht="35.5" customHeight="1">
      <c r="A37" s="155" t="inlineStr">
        <is>
          <t>5.</t>
        </is>
      </c>
      <c r="B37" s="156" t="inlineStr">
        <is>
          <t>特記の「天井内冷媒配管は厚20耐熱ポリスチレンフォーム断熱材巻き」は、冷媒管用の耐熱ポリエチレンフォーム保温材（厚20mm）と解釈しています。</t>
        </is>
      </c>
    </row>
    <row r="38" ht="35.5" customHeight="1">
      <c r="A38" s="155" t="inlineStr">
        <is>
          <t>6.</t>
        </is>
      </c>
      <c r="B38" s="156" t="inlineStr">
        <is>
          <t>施工地域が「北日本吉野家・関東営業本部」以外のため、支給機はダイキン SSRC140C・SSRB140C（モリタニ・ダイキン手配）を前提としています。</t>
        </is>
      </c>
    </row>
    <row r="39" ht="21.8" customHeight="1">
      <c r="A39" s="155" t="inlineStr">
        <is>
          <t>7.</t>
        </is>
      </c>
      <c r="B39" s="156" t="inlineStr">
        <is>
          <t>ドレン接続立上り（H=150）の立上り管および以降の排水管は給排水工事と解釈しています。</t>
        </is>
      </c>
    </row>
  </sheetData>
  <mergeCells count="31">
    <mergeCell ref="B7:F7"/>
    <mergeCell ref="B16:F16"/>
    <mergeCell ref="D22:E22"/>
    <mergeCell ref="A21:F21"/>
    <mergeCell ref="B18:F18"/>
    <mergeCell ref="B12:F12"/>
    <mergeCell ref="B39:F39"/>
    <mergeCell ref="B11:F11"/>
    <mergeCell ref="D27:E27"/>
    <mergeCell ref="B14:F14"/>
    <mergeCell ref="B8:F8"/>
    <mergeCell ref="B17:F17"/>
    <mergeCell ref="B13:F13"/>
    <mergeCell ref="B38:F38"/>
    <mergeCell ref="B34:F34"/>
    <mergeCell ref="B10:F10"/>
    <mergeCell ref="B37:F37"/>
    <mergeCell ref="D28:E28"/>
    <mergeCell ref="B9:F9"/>
    <mergeCell ref="D25:E25"/>
    <mergeCell ref="B6:F6"/>
    <mergeCell ref="D24:E24"/>
    <mergeCell ref="D30:E30"/>
    <mergeCell ref="B15:F15"/>
    <mergeCell ref="B33:F33"/>
    <mergeCell ref="D29:E29"/>
    <mergeCell ref="B5:F5"/>
    <mergeCell ref="D23:E23"/>
    <mergeCell ref="B36:F36"/>
    <mergeCell ref="D26:E26"/>
    <mergeCell ref="B35:F35"/>
  </mergeCells>
  <printOptions horizontalCentered="1" gridLines="0"/>
  <pageMargins left="0.4724409448818897" right="0.4724409448818897" top="0.5905511811023622" bottom="0.5905511811023622" header="0.3149606299212598" footer="0.2362204724409449"/>
  <pageSetup orientation="portrait" paperSize="9" fitToHeight="0" fitToWidth="1"/>
  <rowBreaks count="1" manualBreakCount="1">
    <brk id="19" min="0" max="16383" man="1"/>
  </rowBreaks>
</worksheet>
</file>

<file path=xl/worksheets/sheet5.xml><?xml version="1.0" encoding="utf-8"?>
<worksheet xmlns="http://schemas.openxmlformats.org/spreadsheetml/2006/main">
  <sheetPr>
    <outlinePr summaryBelow="1" summaryRight="1"/>
    <pageSetUpPr fitToPage="1"/>
  </sheetPr>
  <dimension ref="A1:F36"/>
  <sheetViews>
    <sheetView showGridLines="0" tabSelected="0" workbookViewId="0">
      <selection activeCell="A1" sqref="A1"/>
    </sheetView>
  </sheetViews>
  <sheetFormatPr baseColWidth="8" defaultRowHeight="15"/>
  <cols>
    <col width="34" customWidth="1" min="1" max="1"/>
    <col width="14" customWidth="1" min="2" max="2"/>
    <col width="12" customWidth="1" min="3" max="3"/>
    <col width="12" customWidth="1" min="4" max="4"/>
    <col width="12" customWidth="1" min="5" max="5"/>
    <col width="70" customWidth="1" min="6" max="6"/>
  </cols>
  <sheetData>
    <row r="1">
      <c r="A1" s="168" t="inlineStr">
        <is>
          <t>数量拾い根拠（内部用）　※計測方法: 空調設備図 F-02-1（A3 1/50）のベクトル線分（黒・線幅0.72pt）を連結し系統別に延長を集計（data/takeoff_f02.py）。「実測」=図面線分の平面延長、「想定」=立上り・立下り等の図面に無い部分</t>
        </is>
      </c>
    </row>
    <row r="2">
      <c r="A2" s="169" t="inlineStr">
        <is>
          <t>縮尺確認: 通り芯 Y6-Y5 910mm＝51.6pt、Y5-Y4 1,820mm＝103.3pt → 1pt＝17.64mm。拾い根拠画像: takeoff_F02_冷媒ドレン.png</t>
        </is>
      </c>
    </row>
    <row r="4">
      <c r="A4" s="170" t="inlineStr">
        <is>
          <t>1. 冷媒配管 系統別（空調設備図 F-02-1 1/50 実測＋想定）</t>
        </is>
      </c>
    </row>
    <row r="5">
      <c r="A5" s="171" t="inlineStr">
        <is>
          <t>系統</t>
        </is>
      </c>
      <c r="B5" s="171" t="inlineStr">
        <is>
          <t>管径</t>
        </is>
      </c>
      <c r="C5" s="171" t="inlineStr">
        <is>
          <t>平面実測(m)</t>
        </is>
      </c>
      <c r="D5" s="171" t="inlineStr">
        <is>
          <t>想定加算(m)</t>
        </is>
      </c>
      <c r="E5" s="171" t="inlineStr">
        <is>
          <t>合計(m)</t>
        </is>
      </c>
      <c r="F5" s="171" t="inlineStr">
        <is>
          <t>想定内容</t>
        </is>
      </c>
    </row>
    <row r="6">
      <c r="A6" s="172" t="inlineStr">
        <is>
          <t>AC-1（客席西 天井カセット）</t>
        </is>
      </c>
      <c r="B6" s="172" t="inlineStr">
        <is>
          <t>φ9.52/15.88</t>
        </is>
      </c>
      <c r="C6" s="173" t="n">
        <v>11.15</v>
      </c>
      <c r="D6" s="173" t="n">
        <v>3</v>
      </c>
      <c r="E6" s="173" t="n">
        <v>14.15</v>
      </c>
      <c r="F6" s="172" t="inlineStr">
        <is>
          <t>架台下段 立上り 2.2m・機器接続 0.3m・余長 0.5m</t>
        </is>
      </c>
    </row>
    <row r="7">
      <c r="A7" s="172" t="inlineStr">
        <is>
          <t>AC-1（客席東 天井カセット）</t>
        </is>
      </c>
      <c r="B7" s="172" t="inlineStr">
        <is>
          <t>φ9.52/15.88</t>
        </is>
      </c>
      <c r="C7" s="173" t="n">
        <v>7.54</v>
      </c>
      <c r="D7" s="173" t="n">
        <v>1.7</v>
      </c>
      <c r="E7" s="173" t="n">
        <v>9.24</v>
      </c>
      <c r="F7" s="172" t="inlineStr">
        <is>
          <t>架台上段 立上り 0.9m・機器接続 0.3m・余長 0.5m</t>
        </is>
      </c>
    </row>
    <row r="8">
      <c r="A8" s="172" t="inlineStr">
        <is>
          <t>AC-2（厨房 天井ビルトイン）</t>
        </is>
      </c>
      <c r="B8" s="172" t="inlineStr">
        <is>
          <t>φ9.52/15.88</t>
        </is>
      </c>
      <c r="C8" s="173" t="n">
        <v>8.08</v>
      </c>
      <c r="D8" s="173" t="n">
        <v>3</v>
      </c>
      <c r="E8" s="173" t="n">
        <v>11.08</v>
      </c>
      <c r="F8" s="172" t="inlineStr">
        <is>
          <t>架台下段 立上り 2.2m・機器接続 0.3m・余長 0.5m</t>
        </is>
      </c>
    </row>
    <row r="9">
      <c r="A9" s="172" t="inlineStr">
        <is>
          <t>RAC（店長室 壁掛）</t>
        </is>
      </c>
      <c r="B9" s="172" t="inlineStr">
        <is>
          <t>φ6.35/9.52</t>
        </is>
      </c>
      <c r="C9" s="173" t="n">
        <v>7.65</v>
      </c>
      <c r="D9" s="173" t="n">
        <v>1.8</v>
      </c>
      <c r="E9" s="173" t="n">
        <v>9.449999999999999</v>
      </c>
      <c r="F9" s="172" t="inlineStr">
        <is>
          <t>架台上段 立上り 0.9m・壁掛機への立下り 0.6m・余長 0.3m</t>
        </is>
      </c>
    </row>
    <row r="10">
      <c r="A10" s="174" t="inlineStr">
        <is>
          <t>合計 → 内訳書</t>
        </is>
      </c>
      <c r="B10" s="174" t="inlineStr"/>
      <c r="C10" s="175" t="n">
        <v>34.42</v>
      </c>
      <c r="D10" s="175" t="n">
        <v>9.5</v>
      </c>
      <c r="E10" s="175" t="n">
        <v>43.92</v>
      </c>
      <c r="F10" s="174" t="inlineStr">
        <is>
          <t>φ9.52/15.88 35m・φ6.35/9.52 10m（切上げ）</t>
        </is>
      </c>
    </row>
    <row r="12">
      <c r="A12" s="170" t="inlineStr">
        <is>
          <t>2. 外部冷媒配管 化粧カバー</t>
        </is>
      </c>
    </row>
    <row r="13">
      <c r="A13" s="171" t="inlineStr">
        <is>
          <t>系統</t>
        </is>
      </c>
      <c r="B13" s="171" t="inlineStr">
        <is>
          <t>屋外平面(m)</t>
        </is>
      </c>
      <c r="C13" s="171" t="inlineStr">
        <is>
          <t>立上り(m)</t>
        </is>
      </c>
      <c r="D13" s="171" t="inlineStr">
        <is>
          <t>合計(m)</t>
        </is>
      </c>
      <c r="E13" s="171" t="inlineStr"/>
      <c r="F13" s="171" t="inlineStr">
        <is>
          <t>備考</t>
        </is>
      </c>
    </row>
    <row r="14">
      <c r="A14" s="172" t="inlineStr">
        <is>
          <t>AC-1（下段）</t>
        </is>
      </c>
      <c r="B14" s="173" t="n">
        <v>0.65</v>
      </c>
      <c r="C14" s="173" t="n">
        <v>2.2</v>
      </c>
      <c r="D14" s="173" t="n">
        <v>2.85</v>
      </c>
      <c r="E14" s="172" t="inlineStr"/>
      <c r="F14" s="172" t="inlineStr">
        <is>
          <t>外壁 Y6 より北の線分を実測</t>
        </is>
      </c>
    </row>
    <row r="15">
      <c r="A15" s="172" t="inlineStr">
        <is>
          <t>AC-1（上段）</t>
        </is>
      </c>
      <c r="B15" s="173" t="n">
        <v>1.27</v>
      </c>
      <c r="C15" s="173" t="n">
        <v>0.9</v>
      </c>
      <c r="D15" s="173" t="n">
        <v>2.17</v>
      </c>
      <c r="E15" s="172" t="inlineStr"/>
      <c r="F15" s="172" t="inlineStr"/>
    </row>
    <row r="16">
      <c r="A16" s="172" t="inlineStr">
        <is>
          <t>AC-2（下段）</t>
        </is>
      </c>
      <c r="B16" s="173" t="n">
        <v>0.68</v>
      </c>
      <c r="C16" s="173" t="n">
        <v>2.2</v>
      </c>
      <c r="D16" s="173" t="n">
        <v>2.88</v>
      </c>
      <c r="E16" s="172" t="inlineStr"/>
      <c r="F16" s="172" t="inlineStr"/>
    </row>
    <row r="17">
      <c r="A17" s="172" t="inlineStr">
        <is>
          <t>RAC（上段）</t>
        </is>
      </c>
      <c r="B17" s="173" t="n">
        <v>1.21</v>
      </c>
      <c r="C17" s="173" t="n">
        <v>0.9</v>
      </c>
      <c r="D17" s="173" t="n">
        <v>2.11</v>
      </c>
      <c r="E17" s="172" t="inlineStr"/>
      <c r="F17" s="172" t="inlineStr"/>
    </row>
    <row r="18">
      <c r="A18" s="174" t="inlineStr">
        <is>
          <t>合計 → 内訳書</t>
        </is>
      </c>
      <c r="B18" s="175" t="n">
        <v>3.81</v>
      </c>
      <c r="C18" s="175" t="n">
        <v>6.2</v>
      </c>
      <c r="D18" s="175" t="n">
        <v>10.01</v>
      </c>
      <c r="E18" s="174" t="inlineStr"/>
      <c r="F18" s="174" t="inlineStr">
        <is>
          <t>10m</t>
        </is>
      </c>
    </row>
    <row r="20">
      <c r="A20" s="170" t="inlineStr">
        <is>
          <t>3. ドレン配管（空調設備図の口径ラベルで区分）</t>
        </is>
      </c>
    </row>
    <row r="21">
      <c r="A21" s="171" t="inlineStr">
        <is>
          <t>区間</t>
        </is>
      </c>
      <c r="B21" s="171" t="inlineStr">
        <is>
          <t>口径</t>
        </is>
      </c>
      <c r="C21" s="171" t="inlineStr">
        <is>
          <t>平面実測(m)</t>
        </is>
      </c>
      <c r="D21" s="171" t="inlineStr">
        <is>
          <t>想定加算(m)</t>
        </is>
      </c>
      <c r="E21" s="171" t="inlineStr">
        <is>
          <t>合計(m)</t>
        </is>
      </c>
      <c r="F21" s="171" t="inlineStr">
        <is>
          <t>備考</t>
        </is>
      </c>
    </row>
    <row r="22">
      <c r="A22" s="172" t="inlineStr">
        <is>
          <t>主管 接続立上り〜西カセット合流</t>
        </is>
      </c>
      <c r="B22" s="172" t="inlineStr">
        <is>
          <t>40A</t>
        </is>
      </c>
      <c r="C22" s="173" t="n">
        <v>3.29</v>
      </c>
      <c r="D22" s="173" t="n">
        <v>2.45</v>
      </c>
      <c r="E22" s="173" t="n">
        <v>5.74</v>
      </c>
      <c r="F22" s="172" t="inlineStr">
        <is>
          <t>天井内→H=150 立下り 2.45m</t>
        </is>
      </c>
    </row>
    <row r="23">
      <c r="A23" s="172" t="inlineStr">
        <is>
          <t>主管 西カセット合流〜AC-2合流</t>
        </is>
      </c>
      <c r="B23" s="172" t="inlineStr">
        <is>
          <t>30A</t>
        </is>
      </c>
      <c r="C23" s="173" t="n">
        <v>3.41</v>
      </c>
      <c r="D23" s="173" t="n">
        <v>0</v>
      </c>
      <c r="E23" s="173" t="n">
        <v>3.41</v>
      </c>
      <c r="F23" s="172" t="inlineStr"/>
    </row>
    <row r="24">
      <c r="A24" s="172" t="inlineStr">
        <is>
          <t>主管 AC-2合流〜東カセット</t>
        </is>
      </c>
      <c r="B24" s="172" t="inlineStr">
        <is>
          <t>25A</t>
        </is>
      </c>
      <c r="C24" s="173" t="n">
        <v>2.72</v>
      </c>
      <c r="D24" s="173" t="n">
        <v>0.6</v>
      </c>
      <c r="E24" s="173" t="n">
        <v>3.32</v>
      </c>
      <c r="F24" s="172" t="inlineStr">
        <is>
          <t>機器接続・ドレンアップ立上り</t>
        </is>
      </c>
    </row>
    <row r="25">
      <c r="A25" s="172" t="inlineStr">
        <is>
          <t>AC-2 枝</t>
        </is>
      </c>
      <c r="B25" s="172" t="inlineStr">
        <is>
          <t>25A</t>
        </is>
      </c>
      <c r="C25" s="173" t="n">
        <v>1.28</v>
      </c>
      <c r="D25" s="173" t="n">
        <v>0.3</v>
      </c>
      <c r="E25" s="173" t="n">
        <v>1.58</v>
      </c>
      <c r="F25" s="172" t="inlineStr">
        <is>
          <t>ドレンアップ立上り</t>
        </is>
      </c>
    </row>
    <row r="26">
      <c r="A26" s="172" t="inlineStr">
        <is>
          <t>西カセット 枝</t>
        </is>
      </c>
      <c r="B26" s="172" t="inlineStr">
        <is>
          <t>25A</t>
        </is>
      </c>
      <c r="C26" s="173" t="n">
        <v>0.76</v>
      </c>
      <c r="D26" s="173" t="n">
        <v>0.3</v>
      </c>
      <c r="E26" s="173" t="n">
        <v>1.06</v>
      </c>
      <c r="F26" s="172" t="inlineStr">
        <is>
          <t>ドレンアップ立上り</t>
        </is>
      </c>
    </row>
    <row r="27">
      <c r="A27" s="172" t="inlineStr">
        <is>
          <t>RAC</t>
        </is>
      </c>
      <c r="B27" s="172" t="inlineStr">
        <is>
          <t>25A</t>
        </is>
      </c>
      <c r="C27" s="173" t="n">
        <v>0.44</v>
      </c>
      <c r="D27" s="173" t="n">
        <v>1.9</v>
      </c>
      <c r="E27" s="173" t="n">
        <v>2.34</v>
      </c>
      <c r="F27" s="172" t="inlineStr">
        <is>
          <t>壁内 立下り（NDB-20-25 経由で接続）</t>
        </is>
      </c>
    </row>
    <row r="28">
      <c r="A28" s="174" t="inlineStr">
        <is>
          <t>合計 → 内訳書</t>
        </is>
      </c>
      <c r="B28" s="174" t="inlineStr"/>
      <c r="C28" s="175" t="n">
        <v>11.9</v>
      </c>
      <c r="D28" s="175" t="n">
        <v>5.55</v>
      </c>
      <c r="E28" s="175" t="n">
        <v>17.45</v>
      </c>
      <c r="F28" s="174" t="inlineStr">
        <is>
          <t>VP25 9m・VP30 4m・VP40 6m（保温も同長）</t>
        </is>
      </c>
    </row>
    <row r="30">
      <c r="A30" s="170" t="inlineStr">
        <is>
          <t>4. 機器台数（換気空調機器表・室外機設置概要図）</t>
        </is>
      </c>
    </row>
    <row r="31">
      <c r="A31" s="171" t="inlineStr">
        <is>
          <t>記号</t>
        </is>
      </c>
      <c r="B31" s="171" t="inlineStr">
        <is>
          <t>台数</t>
        </is>
      </c>
      <c r="C31" s="171" t="inlineStr">
        <is>
          <t>備考</t>
        </is>
      </c>
    </row>
    <row r="32">
      <c r="A32" s="172" t="inlineStr">
        <is>
          <t>AC-1 天井カセット形 5馬力 SSRC140C</t>
        </is>
      </c>
      <c r="B32" s="172" t="inlineStr">
        <is>
          <t>室内2・室外2</t>
        </is>
      </c>
      <c r="C32" s="172" t="inlineStr">
        <is>
          <t>客席。室外機は架台①の下段・上段</t>
        </is>
      </c>
    </row>
    <row r="33">
      <c r="A33" s="172" t="inlineStr">
        <is>
          <t>AC-2 天井ビルトイン形 5馬力 SSRB140C</t>
        </is>
      </c>
      <c r="B33" s="172" t="inlineStr">
        <is>
          <t>室内1・室外1</t>
        </is>
      </c>
      <c r="C33" s="172" t="inlineStr">
        <is>
          <t>厨房。室外機は架台②の下段。吹出しパンカー×4（支給）・ダクトは範囲外</t>
        </is>
      </c>
    </row>
    <row r="34">
      <c r="A34" s="172" t="inlineStr">
        <is>
          <t>RAC ルームエアコン 2.2kW</t>
        </is>
      </c>
      <c r="B34" s="172" t="inlineStr">
        <is>
          <t>室内1・室外1</t>
        </is>
      </c>
      <c r="C34" s="172" t="inlineStr">
        <is>
          <t>店長室。室外機は架台②の上段</t>
        </is>
      </c>
    </row>
    <row r="35">
      <c r="A35" s="172" t="inlineStr">
        <is>
          <t>鉄骨架台 2段積み</t>
        </is>
      </c>
      <c r="B35" s="172" t="inlineStr">
        <is>
          <t>2基</t>
        </is>
      </c>
      <c r="C35" s="172" t="inlineStr">
        <is>
          <t>特記「空調本工事」。溶融亜鉛メッキ</t>
        </is>
      </c>
    </row>
    <row r="36">
      <c r="A36" s="174" t="inlineStr">
        <is>
          <t>外壁貫通</t>
        </is>
      </c>
      <c r="B36" s="174" t="inlineStr">
        <is>
          <t>4箇所</t>
        </is>
      </c>
      <c r="C36" s="174" t="inlineStr">
        <is>
          <t>冷媒管 4系統の外壁貫通位置（F-02-1）</t>
        </is>
      </c>
    </row>
  </sheetData>
  <printOptions horizontalCentered="1" gridLines="0"/>
  <pageMargins left="0.4724409448818897" right="0.4724409448818897" top="0.5905511811023622" bottom="0.5905511811023622" header="0.3149606299212598" footer="0.2362204724409449"/>
  <pageSetup orientation="landscape" paperSize="9" fitToHeight="0" fitToWidth="1"/>
</worksheet>
</file>

<file path=xl/worksheets/sheet6.xml><?xml version="1.0" encoding="utf-8"?>
<worksheet xmlns="http://schemas.openxmlformats.org/spreadsheetml/2006/main">
  <sheetPr>
    <outlinePr summaryBelow="1" summaryRight="1"/>
    <pageSetUpPr fitToPage="1"/>
  </sheetPr>
  <dimension ref="A1:I37"/>
  <sheetViews>
    <sheetView showGridLines="0" tabSelected="0" workbookViewId="0">
      <selection activeCell="A1" sqref="A1"/>
    </sheetView>
  </sheetViews>
  <sheetFormatPr baseColWidth="8" defaultRowHeight="15"/>
  <cols>
    <col width="14" customWidth="1" min="1" max="1"/>
    <col width="12" customWidth="1" min="2" max="2"/>
    <col width="9" customWidth="1" min="3" max="3"/>
    <col width="12" customWidth="1" min="4" max="4"/>
    <col width="12" customWidth="1" min="5" max="5"/>
    <col width="14" customWidth="1" min="6" max="6"/>
    <col width="14" customWidth="1" min="7" max="7"/>
    <col width="10" customWidth="1" min="8" max="8"/>
    <col width="80" customWidth="1" min="9" max="9"/>
  </cols>
  <sheetData>
    <row r="1">
      <c r="A1" s="168" t="inlineStr">
        <is>
          <t>単価マスタ（内部）　原価＝材料原価＋人工×労務原価日額、提出（定価ベース）＝原価×提出係数。参考列は宮地機工 参考見積8件（2025.11〜2026.10）から整理（三矢寮見積と共通）</t>
        </is>
      </c>
    </row>
    <row r="2">
      <c r="A2" s="169" t="inlineStr">
        <is>
          <t>労務原価日額 19,000 円/人工　参考見積の人工単価 23,225 円/人工（6330476-3 配管工費 40人工 929,000）　提出係数 1.22　材料係数 ×1.85（継手30%＋消耗15%＋支持金物40%）</t>
        </is>
      </c>
    </row>
    <row r="4">
      <c r="A4" s="171" t="inlineStr">
        <is>
          <t>キー</t>
        </is>
      </c>
      <c r="B4" s="171" t="inlineStr">
        <is>
          <t>材料原価</t>
        </is>
      </c>
      <c r="C4" s="171" t="inlineStr">
        <is>
          <t>人工</t>
        </is>
      </c>
      <c r="D4" s="171" t="inlineStr">
        <is>
          <t>労務原価</t>
        </is>
      </c>
      <c r="E4" s="171" t="inlineStr">
        <is>
          <t>原価</t>
        </is>
      </c>
      <c r="F4" s="171" t="inlineStr">
        <is>
          <t>提出(定価ベース)</t>
        </is>
      </c>
      <c r="G4" s="171" t="inlineStr">
        <is>
          <t>参考定価ベース</t>
        </is>
      </c>
      <c r="H4" s="171" t="inlineStr">
        <is>
          <t>当社/参考</t>
        </is>
      </c>
      <c r="I4" s="171" t="inlineStr">
        <is>
          <t>出典・根拠</t>
        </is>
      </c>
    </row>
    <row r="5">
      <c r="A5" s="176" t="inlineStr">
        <is>
          <t>IN_CASSETTE</t>
        </is>
      </c>
      <c r="B5" s="87" t="n">
        <v>2000</v>
      </c>
      <c r="C5" s="177" t="n">
        <v>0.9</v>
      </c>
      <c r="D5" s="87">
        <f>ROUND(C5*LABOR_DAY,0)</f>
        <v>17100</v>
      </c>
      <c r="E5" s="87">
        <f>IF(B5="","",B5+D5)</f>
        <v>19100</v>
      </c>
      <c r="F5" s="87">
        <f>IF(E5="","",ROUND(E5*COEF,-1))</f>
        <v>23300</v>
      </c>
      <c r="G5" s="87" t="n">
        <v>21700</v>
      </c>
      <c r="H5" s="94">
        <f>IF(OR(G5="",F5=""),"",F5/G5)</f>
        <v>1.0737327188940091</v>
      </c>
      <c r="I5" s="95" t="inlineStr">
        <is>
          <t>6330476-3 搬入据付 238,750/11台≒21,700/台。木造天井のため吊ボルト受け金物・吊ボルト4本分を材料に加算</t>
        </is>
      </c>
    </row>
    <row r="6">
      <c r="A6" s="176" t="inlineStr">
        <is>
          <t>IN_BUILTIN</t>
        </is>
      </c>
      <c r="B6" s="87" t="n">
        <v>2500</v>
      </c>
      <c r="C6" s="177" t="n">
        <v>1.2</v>
      </c>
      <c r="D6" s="87">
        <f>ROUND(C6*LABOR_DAY,0)</f>
        <v>22800</v>
      </c>
      <c r="E6" s="87">
        <f>IF(B6="","",B6+D6)</f>
        <v>25300</v>
      </c>
      <c r="F6" s="87">
        <f>IF(E6="","",ROUND(E6*COEF,-1))</f>
        <v>30870</v>
      </c>
      <c r="G6" s="87" t="n">
        <v>27860</v>
      </c>
      <c r="H6" s="94">
        <f>IF(OR(G6="",F6=""),"",F6/G6)</f>
        <v>1.1080402010050252</v>
      </c>
      <c r="I6" s="95" t="inlineStr">
        <is>
          <t>6330558 VRV 大形室内機 搬入据付 27,860/台 相当（ビルトイン 5HP 約50kg、吊ボルト・受け金物共）</t>
        </is>
      </c>
    </row>
    <row r="7">
      <c r="A7" s="176" t="inlineStr">
        <is>
          <t>IN_RAC</t>
        </is>
      </c>
      <c r="B7" s="87" t="n">
        <v>500</v>
      </c>
      <c r="C7" s="177" t="n">
        <v>0.4</v>
      </c>
      <c r="D7" s="87">
        <f>ROUND(C7*LABOR_DAY,0)</f>
        <v>7600</v>
      </c>
      <c r="E7" s="87">
        <f>IF(B7="","",B7+D7)</f>
        <v>8100</v>
      </c>
      <c r="F7" s="87">
        <f>IF(E7="","",ROUND(E7*COEF,-1))</f>
        <v>9880</v>
      </c>
      <c r="G7" s="87" t="n"/>
      <c r="H7" s="94" t="n"/>
      <c r="I7" s="95" t="inlineStr">
        <is>
          <t>6330539 RA 搬入据付 12,500/組（室内外1組）の室内機分（据付板・アンカー共）</t>
        </is>
      </c>
    </row>
    <row r="8">
      <c r="A8" s="176" t="inlineStr">
        <is>
          <t>REF_3_20</t>
        </is>
      </c>
      <c r="B8" s="87" t="n">
        <v>6700</v>
      </c>
      <c r="C8" s="177" t="n">
        <v>0.24</v>
      </c>
      <c r="D8" s="87">
        <f>ROUND(C8*LABOR_DAY,0)</f>
        <v>4560</v>
      </c>
      <c r="E8" s="87">
        <f>IF(B8="","",B8+D8)</f>
        <v>11260</v>
      </c>
      <c r="F8" s="87">
        <f>IF(E8="","",ROUND(E8*COEF,-1))</f>
        <v>13740</v>
      </c>
      <c r="G8" s="87" t="n">
        <v>12556</v>
      </c>
      <c r="H8" s="94">
        <f>IF(OR(G8="",F8=""),"",F8/G8)</f>
        <v>1.0942975469894871</v>
      </c>
      <c r="I8" s="95" t="inlineStr">
        <is>
          <t>6330476-3 / 6330344-1 9.52+15.88 4,025/m・4.6 m/人工（10t×2）に、ガス管保温20t（耐熱PEF）の材料差 600/m・人工 0.02/m を加算</t>
        </is>
      </c>
    </row>
    <row r="9">
      <c r="A9" s="176" t="inlineStr">
        <is>
          <t>REF_1_20</t>
        </is>
      </c>
      <c r="B9" s="87" t="n">
        <v>2600</v>
      </c>
      <c r="C9" s="177" t="n">
        <v>0.22</v>
      </c>
      <c r="D9" s="87">
        <f>ROUND(C9*LABOR_DAY,0)</f>
        <v>4180</v>
      </c>
      <c r="E9" s="87">
        <f>IF(B9="","",B9+D9)</f>
        <v>6780</v>
      </c>
      <c r="F9" s="87">
        <f>IF(E9="","",ROUND(E9*COEF,-1))</f>
        <v>8270</v>
      </c>
      <c r="G9" s="87" t="n">
        <v>7328</v>
      </c>
      <c r="H9" s="94">
        <f>IF(OR(G9="",F9=""),"",F9/G9)</f>
        <v>1.1285480349344978</v>
      </c>
      <c r="I9" s="95" t="inlineStr">
        <is>
          <t>6330539 2分3分 1,450/m想定・5 m/人工 に、ガス管保温20t の材料差 400/m・人工 0.02/m を加算</t>
        </is>
      </c>
    </row>
    <row r="10">
      <c r="A10" s="176" t="inlineStr">
        <is>
          <t>CASE_OUT</t>
        </is>
      </c>
      <c r="B10" s="87" t="n">
        <v>2200</v>
      </c>
      <c r="C10" s="177" t="n">
        <v>0.12</v>
      </c>
      <c r="D10" s="87">
        <f>ROUND(C10*LABOR_DAY,0)</f>
        <v>2280</v>
      </c>
      <c r="E10" s="87">
        <f>IF(B10="","",B10+D10)</f>
        <v>4480</v>
      </c>
      <c r="F10" s="87">
        <f>IF(E10="","",ROUND(E10*COEF,-1))</f>
        <v>5470</v>
      </c>
      <c r="G10" s="87" t="n">
        <v>3516</v>
      </c>
      <c r="H10" s="94">
        <f>IF(OR(G10="",F10=""),"",F10/G10)</f>
        <v>1.5557451649601821</v>
      </c>
      <c r="I10" s="95" t="inlineStr">
        <is>
          <t>屋外用スリムダクト（耐候樹脂）本体＋ウォールコーナー・エルボ・端末カバー等の継手を m 当りに按分。参考は配管保温工事費 1,194/m（6330476-3）</t>
        </is>
      </c>
    </row>
    <row r="11">
      <c r="A11" s="176" t="inlineStr">
        <is>
          <t>WALL_PEN</t>
        </is>
      </c>
      <c r="B11" s="87" t="n">
        <v>1500</v>
      </c>
      <c r="C11" s="177" t="n">
        <v>0.25</v>
      </c>
      <c r="D11" s="87">
        <f>ROUND(C11*LABOR_DAY,0)</f>
        <v>4750</v>
      </c>
      <c r="E11" s="87">
        <f>IF(B11="","",B11+D11)</f>
        <v>6250</v>
      </c>
      <c r="F11" s="87">
        <f>IF(E11="","",ROUND(E11*COEF,-1))</f>
        <v>7630</v>
      </c>
      <c r="G11" s="87" t="n"/>
      <c r="H11" s="94" t="n"/>
      <c r="I11" s="95" t="inlineStr">
        <is>
          <t>外壁穴明け φ65〜75（木造・サイディング）・パテ埋め・シーリング（参考実績なし）</t>
        </is>
      </c>
    </row>
    <row r="12">
      <c r="A12" s="176" t="inlineStr">
        <is>
          <t>LEAK_TEST</t>
        </is>
      </c>
      <c r="B12" s="87" t="n">
        <v>3000</v>
      </c>
      <c r="C12" s="177" t="n">
        <v>0.6</v>
      </c>
      <c r="D12" s="87">
        <f>ROUND(C12*LABOR_DAY,0)</f>
        <v>11400</v>
      </c>
      <c r="E12" s="87">
        <f>IF(B12="","",B12+D12)</f>
        <v>14400</v>
      </c>
      <c r="F12" s="87">
        <f>IF(E12="","",ROUND(E12*COEF,-1))</f>
        <v>17570</v>
      </c>
      <c r="G12" s="87" t="n">
        <v>20000</v>
      </c>
      <c r="H12" s="94">
        <f>IF(OR(G12="",F12=""),"",F12/G12)</f>
        <v>0.8785</v>
      </c>
      <c r="I12" s="95" t="inlineStr">
        <is>
          <t>気密テスト 15,000〜25,000/系統・真空引き 3,750〜5,640/系統（6330558/344-1/549）</t>
        </is>
      </c>
    </row>
    <row r="13">
      <c r="A13" s="176" t="inlineStr">
        <is>
          <t>LEAK_TEST_RAC</t>
        </is>
      </c>
      <c r="B13" s="87" t="n">
        <v>1500</v>
      </c>
      <c r="C13" s="177" t="n">
        <v>0.3</v>
      </c>
      <c r="D13" s="87">
        <f>ROUND(C13*LABOR_DAY,0)</f>
        <v>5700</v>
      </c>
      <c r="E13" s="87">
        <f>IF(B13="","",B13+D13)</f>
        <v>7200</v>
      </c>
      <c r="F13" s="87">
        <f>IF(E13="","",ROUND(E13*COEF,-1))</f>
        <v>8780</v>
      </c>
      <c r="G13" s="87" t="n">
        <v>7500</v>
      </c>
      <c r="H13" s="94">
        <f>IF(OR(G13="",F13=""),"",F13/G13)</f>
        <v>1.1706666666666667</v>
      </c>
      <c r="I13" s="95" t="inlineStr">
        <is>
          <t>RA 気密・真空引き（6330539 試運転 7,500/3台 等から想定）</t>
        </is>
      </c>
    </row>
    <row r="14">
      <c r="A14" s="176" t="inlineStr">
        <is>
          <t>VP25</t>
        </is>
      </c>
      <c r="B14" s="87" t="n">
        <v>475</v>
      </c>
      <c r="C14" s="177" t="n">
        <v>0.11</v>
      </c>
      <c r="D14" s="87">
        <f>ROUND(C14*LABOR_DAY,0)</f>
        <v>2090</v>
      </c>
      <c r="E14" s="87">
        <f>IF(B14="","",B14+D14)</f>
        <v>2565</v>
      </c>
      <c r="F14" s="87">
        <f>IF(E14="","",ROUND(E14*COEF,-1))</f>
        <v>3130</v>
      </c>
      <c r="G14" s="87" t="n">
        <v>3134</v>
      </c>
      <c r="H14" s="94">
        <f>IF(OR(G14="",F14=""),"",F14/G14)</f>
        <v>0.9987236758136566</v>
      </c>
      <c r="I14" s="95" t="inlineStr">
        <is>
          <t>6330344-1/476-3/248-2 VP25 313/m、工費 2,497/m</t>
        </is>
      </c>
    </row>
    <row r="15">
      <c r="A15" s="176" t="inlineStr">
        <is>
          <t>VP30</t>
        </is>
      </c>
      <c r="B15" s="87" t="n">
        <v>620</v>
      </c>
      <c r="C15" s="177" t="n">
        <v>0.12</v>
      </c>
      <c r="D15" s="87">
        <f>ROUND(C15*LABOR_DAY,0)</f>
        <v>2280</v>
      </c>
      <c r="E15" s="87">
        <f>IF(B15="","",B15+D15)</f>
        <v>2900</v>
      </c>
      <c r="F15" s="87">
        <f>IF(E15="","",ROUND(E15*COEF,-1))</f>
        <v>3540</v>
      </c>
      <c r="G15" s="87" t="n"/>
      <c r="H15" s="94" t="n"/>
      <c r="I15" s="95" t="inlineStr">
        <is>
          <t>VP25・VP40 の補間</t>
        </is>
      </c>
    </row>
    <row r="16">
      <c r="A16" s="176" t="inlineStr">
        <is>
          <t>VP40</t>
        </is>
      </c>
      <c r="B16" s="87" t="n">
        <v>760</v>
      </c>
      <c r="C16" s="177" t="n">
        <v>0.13</v>
      </c>
      <c r="D16" s="87">
        <f>ROUND(C16*LABOR_DAY,0)</f>
        <v>2470</v>
      </c>
      <c r="E16" s="87">
        <f>IF(B16="","",B16+D16)</f>
        <v>3230</v>
      </c>
      <c r="F16" s="87">
        <f>IF(E16="","",ROUND(E16*COEF,-1))</f>
        <v>3940</v>
      </c>
      <c r="G16" s="87" t="n"/>
      <c r="H16" s="94" t="n"/>
      <c r="I16" s="95" t="inlineStr">
        <is>
          <t>VP25 比例</t>
        </is>
      </c>
    </row>
    <row r="17">
      <c r="A17" s="176" t="inlineStr">
        <is>
          <t>CHECK_VALVE</t>
        </is>
      </c>
      <c r="B17" s="87" t="n">
        <v>2800</v>
      </c>
      <c r="C17" s="177" t="n">
        <v>0.1</v>
      </c>
      <c r="D17" s="87">
        <f>ROUND(C17*LABOR_DAY,0)</f>
        <v>1900</v>
      </c>
      <c r="E17" s="87">
        <f>IF(B17="","",B17+D17)</f>
        <v>4700</v>
      </c>
      <c r="F17" s="87">
        <f>IF(E17="","",ROUND(E17*COEF,-1))</f>
        <v>5730</v>
      </c>
      <c r="G17" s="87" t="n"/>
      <c r="H17" s="94" t="n"/>
      <c r="I17" s="95" t="inlineStr">
        <is>
          <t>ドレンホース用逆止弁 NDB-20-25（図示品番）材＋取付（市況）</t>
        </is>
      </c>
    </row>
    <row r="18">
      <c r="A18" s="176" t="inlineStr">
        <is>
          <t>WATER_TEST</t>
        </is>
      </c>
      <c r="B18" s="87" t="n">
        <v>0</v>
      </c>
      <c r="C18" s="177" t="n">
        <v>0.25</v>
      </c>
      <c r="D18" s="87">
        <f>ROUND(C18*LABOR_DAY,0)</f>
        <v>4750</v>
      </c>
      <c r="E18" s="87">
        <f>IF(B18="","",B18+D18)</f>
        <v>4750</v>
      </c>
      <c r="F18" s="87">
        <f>IF(E18="","",ROUND(E18*COEF,-1))</f>
        <v>5800</v>
      </c>
      <c r="G18" s="87" t="n"/>
      <c r="H18" s="94" t="n"/>
      <c r="I18" s="95" t="inlineStr">
        <is>
          <t>ドレン通水試験（0.25人工）</t>
        </is>
      </c>
    </row>
    <row r="19">
      <c r="A19" s="176" t="inlineStr">
        <is>
          <t>DI_25</t>
        </is>
      </c>
      <c r="B19" s="87" t="n">
        <v>900</v>
      </c>
      <c r="C19" s="177" t="n">
        <v>0.06</v>
      </c>
      <c r="D19" s="87">
        <f>ROUND(C19*LABOR_DAY,0)</f>
        <v>1140</v>
      </c>
      <c r="E19" s="87">
        <f>IF(B19="","",B19+D19)</f>
        <v>2040</v>
      </c>
      <c r="F19" s="87">
        <f>IF(E19="","",ROUND(E19*COEF,-1))</f>
        <v>2490</v>
      </c>
      <c r="G19" s="87" t="n"/>
      <c r="H19" s="94" t="n"/>
      <c r="I19" s="95" t="inlineStr">
        <is>
          <t>GW保温筒20 ALGC 25A（参考実績なし・市況）</t>
        </is>
      </c>
    </row>
    <row r="20">
      <c r="A20" s="176" t="inlineStr">
        <is>
          <t>DI_30</t>
        </is>
      </c>
      <c r="B20" s="87" t="n">
        <v>1000</v>
      </c>
      <c r="C20" s="177" t="n">
        <v>0.065</v>
      </c>
      <c r="D20" s="87">
        <f>ROUND(C20*LABOR_DAY,0)</f>
        <v>1235</v>
      </c>
      <c r="E20" s="87">
        <f>IF(B20="","",B20+D20)</f>
        <v>2235</v>
      </c>
      <c r="F20" s="87">
        <f>IF(E20="","",ROUND(E20*COEF,-1))</f>
        <v>2730</v>
      </c>
      <c r="G20" s="87" t="n"/>
      <c r="H20" s="94" t="n"/>
      <c r="I20" s="95" t="inlineStr">
        <is>
          <t>GW保温筒20 ALGC 30A（同上）</t>
        </is>
      </c>
    </row>
    <row r="21">
      <c r="A21" s="176" t="inlineStr">
        <is>
          <t>DI_40</t>
        </is>
      </c>
      <c r="B21" s="87" t="n">
        <v>1100</v>
      </c>
      <c r="C21" s="177" t="n">
        <v>0.07000000000000001</v>
      </c>
      <c r="D21" s="87">
        <f>ROUND(C21*LABOR_DAY,0)</f>
        <v>1330</v>
      </c>
      <c r="E21" s="87">
        <f>IF(B21="","",B21+D21)</f>
        <v>2430</v>
      </c>
      <c r="F21" s="87">
        <f>IF(E21="","",ROUND(E21*COEF,-1))</f>
        <v>2960</v>
      </c>
      <c r="G21" s="87" t="n"/>
      <c r="H21" s="94" t="n"/>
      <c r="I21" s="95" t="inlineStr">
        <is>
          <t>GW保温筒20 ALGC 40A（同上）</t>
        </is>
      </c>
    </row>
    <row r="22">
      <c r="A22" s="176" t="inlineStr">
        <is>
          <t>OUT_LOW</t>
        </is>
      </c>
      <c r="B22" s="87" t="n">
        <v>1500</v>
      </c>
      <c r="C22" s="177" t="n">
        <v>0.8</v>
      </c>
      <c r="D22" s="87">
        <f>ROUND(C22*LABOR_DAY,0)</f>
        <v>15200</v>
      </c>
      <c r="E22" s="87">
        <f>IF(B22="","",B22+D22)</f>
        <v>16700</v>
      </c>
      <c r="F22" s="87">
        <f>IF(E22="","",ROUND(E22*COEF,-1))</f>
        <v>20370</v>
      </c>
      <c r="G22" s="87" t="n">
        <v>21700</v>
      </c>
      <c r="H22" s="94">
        <f>IF(OR(G22="",F22=""),"",F22/G22)</f>
        <v>0.9387096774193548</v>
      </c>
      <c r="I22" s="95" t="inlineStr">
        <is>
          <t>6330476-3 搬入据付 21,700/台（基礎・架台は別行）。防振ゴム取付・系統名表示共</t>
        </is>
      </c>
    </row>
    <row r="23">
      <c r="A23" s="176" t="inlineStr">
        <is>
          <t>OUT_UP</t>
        </is>
      </c>
      <c r="B23" s="87" t="n">
        <v>1500</v>
      </c>
      <c r="C23" s="177" t="n">
        <v>1.3</v>
      </c>
      <c r="D23" s="87">
        <f>ROUND(C23*LABOR_DAY,0)</f>
        <v>24700</v>
      </c>
      <c r="E23" s="87">
        <f>IF(B23="","",B23+D23)</f>
        <v>26200</v>
      </c>
      <c r="F23" s="87">
        <f>IF(E23="","",ROUND(E23*COEF,-1))</f>
        <v>31960</v>
      </c>
      <c r="G23" s="87" t="n">
        <v>21700</v>
      </c>
      <c r="H23" s="94">
        <f>IF(OR(G23="",F23=""),"",F23/G23)</f>
        <v>1.4728110599078341</v>
      </c>
      <c r="I23" s="95" t="inlineStr">
        <is>
          <t>架台上段（H≒1.6m）への揚重（人力3名＋リフター）を人工に加算</t>
        </is>
      </c>
    </row>
    <row r="24">
      <c r="A24" s="176" t="inlineStr">
        <is>
          <t>OUT_RAC</t>
        </is>
      </c>
      <c r="B24" s="87" t="n">
        <v>500</v>
      </c>
      <c r="C24" s="177" t="n">
        <v>0.5</v>
      </c>
      <c r="D24" s="87">
        <f>ROUND(C24*LABOR_DAY,0)</f>
        <v>9500</v>
      </c>
      <c r="E24" s="87">
        <f>IF(B24="","",B24+D24)</f>
        <v>10000</v>
      </c>
      <c r="F24" s="87">
        <f>IF(E24="","",ROUND(E24*COEF,-1))</f>
        <v>12200</v>
      </c>
      <c r="G24" s="87" t="n"/>
      <c r="H24" s="94" t="n"/>
      <c r="I24" s="95" t="inlineStr">
        <is>
          <t>6330539 RA 搬入据付 12,500/組（室内外1組）の室外機分＋架台上段への揚重</t>
        </is>
      </c>
    </row>
    <row r="25">
      <c r="A25" s="176" t="inlineStr">
        <is>
          <t>FRAME_PP</t>
        </is>
      </c>
      <c r="B25" s="87" t="n">
        <v>130000</v>
      </c>
      <c r="C25" s="177" t="n">
        <v>1</v>
      </c>
      <c r="D25" s="87">
        <f>ROUND(C25*LABOR_DAY,0)</f>
        <v>19000</v>
      </c>
      <c r="E25" s="87">
        <f>IF(B25="","",B25+D25)</f>
        <v>149000</v>
      </c>
      <c r="F25" s="87">
        <f>IF(E25="","",ROUND(E25*COEF,-1))</f>
        <v>181780</v>
      </c>
      <c r="G25" s="87" t="n"/>
      <c r="H25" s="94" t="n"/>
      <c r="I25" s="95" t="inlineStr">
        <is>
          <t>鉄骨2段架台 溶融亜鉛メッキ 5HP×2用（ダイキン H1,430 対応の段間寸法）材＋組立・据付。既製品相当の想定（要メーカー見積）</t>
        </is>
      </c>
    </row>
    <row r="26">
      <c r="A26" s="176" t="inlineStr">
        <is>
          <t>FRAME_PR</t>
        </is>
      </c>
      <c r="B26" s="87" t="n">
        <v>110000</v>
      </c>
      <c r="C26" s="177" t="n">
        <v>1</v>
      </c>
      <c r="D26" s="87">
        <f>ROUND(C26*LABOR_DAY,0)</f>
        <v>19000</v>
      </c>
      <c r="E26" s="87">
        <f>IF(B26="","",B26+D26)</f>
        <v>129000</v>
      </c>
      <c r="F26" s="87">
        <f>IF(E26="","",ROUND(E26*COEF,-1))</f>
        <v>157380</v>
      </c>
      <c r="G26" s="87" t="n"/>
      <c r="H26" s="94" t="n"/>
      <c r="I26" s="95" t="inlineStr">
        <is>
          <t>鉄骨2段架台 溶融亜鉛メッキ 5HP＋RA用 材＋組立・据付。既製品相当の想定（要メーカー見積）</t>
        </is>
      </c>
    </row>
    <row r="27">
      <c r="A27" s="176" t="inlineStr">
        <is>
          <t>FRAME_BASE</t>
        </is>
      </c>
      <c r="B27" s="87" t="n">
        <v>15000</v>
      </c>
      <c r="C27" s="177" t="n">
        <v>0.5</v>
      </c>
      <c r="D27" s="87">
        <f>ROUND(C27*LABOR_DAY,0)</f>
        <v>9500</v>
      </c>
      <c r="E27" s="87">
        <f>IF(B27="","",B27+D27)</f>
        <v>24500</v>
      </c>
      <c r="F27" s="87">
        <f>IF(E27="","",ROUND(E27*COEF,-1))</f>
        <v>29890</v>
      </c>
      <c r="G27" s="87" t="n">
        <v>23200</v>
      </c>
      <c r="H27" s="94">
        <f>IF(OR(G27="",F27=""),"",F27/G27)</f>
        <v>1.2883620689655173</v>
      </c>
      <c r="I27" s="95" t="inlineStr">
        <is>
          <t>コンクリート置基礎 4個/基＋ステンレスアンカー。参考 基礎工事 5,800〜10,000/台（6330539/549/476-3）</t>
        </is>
      </c>
    </row>
    <row r="28">
      <c r="A28" s="178" t="inlineStr">
        <is>
          <t>VIB</t>
        </is>
      </c>
      <c r="B28" s="100" t="n">
        <v>2500</v>
      </c>
      <c r="C28" s="179" t="n">
        <v>0.1</v>
      </c>
      <c r="D28" s="100">
        <f>ROUND(C28*LABOR_DAY,0)</f>
        <v>1900</v>
      </c>
      <c r="E28" s="100">
        <f>IF(B28="","",B28+D28)</f>
        <v>4400</v>
      </c>
      <c r="F28" s="100">
        <f>IF(E28="","",ROUND(E28*COEF,-1))</f>
        <v>5370</v>
      </c>
      <c r="G28" s="100" t="n"/>
      <c r="H28" s="107" t="n"/>
      <c r="I28" s="108" t="inlineStr">
        <is>
          <t>室外機用防振ゴム 4個/台（市況）</t>
        </is>
      </c>
    </row>
    <row r="30">
      <c r="A30" s="180" t="inlineStr">
        <is>
          <t>参考見積の経費構造</t>
        </is>
      </c>
    </row>
    <row r="31" ht="28" customHeight="1">
      <c r="A31" s="168" t="inlineStr">
        <is>
          <t>部門内経費</t>
        </is>
      </c>
      <c r="B31" s="181" t="inlineStr">
        <is>
          <t>消耗品及び雑材料 2.6%＋資材運搬交通費 3.5%＋現場経費 7.4% ＝ 15.7%（据付・撤去）／ 3.0%＋4.1%＋8.6% ＝ 19.0%（配管・ダクト・電気）</t>
        </is>
      </c>
    </row>
    <row r="32" ht="28" customHeight="1">
      <c r="A32" s="168" t="inlineStr">
        <is>
          <t>工事諸経費</t>
        </is>
      </c>
      <c r="B32" s="181" t="inlineStr">
        <is>
          <t>直接工事費の 5.0%</t>
        </is>
      </c>
    </row>
    <row r="33" ht="28" customHeight="1">
      <c r="A33" s="168" t="inlineStr">
        <is>
          <t>出精値引</t>
        </is>
      </c>
      <c r="B33" s="181" t="inlineStr">
        <is>
          <t>参考見積 8件で 9.9〜35.1%（提出額の丸め）</t>
        </is>
      </c>
    </row>
    <row r="34" ht="28" customHeight="1">
      <c r="A34" s="168" t="inlineStr">
        <is>
          <t>法定福利費</t>
        </is>
      </c>
      <c r="B34" s="181" t="inlineStr">
        <is>
          <t>労務費×16.04%（参考見積は金額内含で注記）。当社は別項目で 16.375%（令和8年度）</t>
        </is>
      </c>
    </row>
    <row r="35" ht="28" customHeight="1">
      <c r="A35" s="168" t="inlineStr">
        <is>
          <t>据付単価</t>
        </is>
      </c>
      <c r="B35" s="181" t="inlineStr">
        <is>
          <t>搬入据付 21,700/台（6330476-3）・27,860/台（6330558 VRV）・12,500/組（6330539 RA）</t>
        </is>
      </c>
    </row>
    <row r="36" ht="28" customHeight="1">
      <c r="A36" s="168" t="inlineStr">
        <is>
          <t>配管</t>
        </is>
      </c>
      <c r="B36" s="181" t="inlineStr">
        <is>
          <t>冷媒 9.52+15.88 4,025/m（10t×2）、ペアコイル 6.35+9.52 988、VP25 313/m、配管工費 4.6〜5 m/人工（冷媒）・9〜12 m/人工（塩ビ）</t>
        </is>
      </c>
    </row>
    <row r="37" ht="28" customHeight="1">
      <c r="A37" s="168" t="inlineStr">
        <is>
          <t>その他</t>
        </is>
      </c>
      <c r="B37" s="181" t="inlineStr">
        <is>
          <t>気密 15,000〜25,000、真空引き 3,750〜5,640、基礎工事 5,800〜10,000/台</t>
        </is>
      </c>
    </row>
  </sheetData>
  <mergeCells count="7">
    <mergeCell ref="B33:I33"/>
    <mergeCell ref="B34:I34"/>
    <mergeCell ref="B36:I36"/>
    <mergeCell ref="B37:I37"/>
    <mergeCell ref="B31:I31"/>
    <mergeCell ref="B32:I32"/>
    <mergeCell ref="B35:I35"/>
  </mergeCells>
  <printOptions horizontalCentered="1" gridLines="0"/>
  <pageMargins left="0.4724409448818897" right="0.4724409448818897" top="0.5905511811023622" bottom="0.5905511811023622" header="0.3149606299212598" footer="0.2362204724409449"/>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宮地機工株式会社</dc:creator>
  <dc:title xmlns:dc="http://purl.org/dc/elements/1.1/">御見積書 吉野家　呉海岸通店　新設工事　空調設備工事</dc:title>
  <dcterms:created xmlns:dcterms="http://purl.org/dc/terms/" xmlns:xsi="http://www.w3.org/2001/XMLSchema-instance" xsi:type="dcterms:W3CDTF">2026-10-07T18:53:03Z</dcterms:created>
  <dcterms:modified xmlns:dcterms="http://purl.org/dc/terms/" xmlns:xsi="http://www.w3.org/2001/XMLSchema-instance" xsi:type="dcterms:W3CDTF">2026-10-07T18:53:04Z</dcterms:modified>
</cp:coreProperties>
</file>