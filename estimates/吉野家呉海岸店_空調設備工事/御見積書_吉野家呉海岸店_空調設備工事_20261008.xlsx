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工事)" sheetId="1" state="visible" r:id="rId1"/>
    <sheet xmlns:r="http://schemas.openxmlformats.org/officeDocument/2006/relationships" name="内訳書(空調設備工事)" sheetId="2" state="visible" r:id="rId2"/>
    <sheet xmlns:r="http://schemas.openxmlformats.org/officeDocument/2006/relationships" name="法定福利費内訳明細書" sheetId="3" state="visible" r:id="rId3"/>
    <sheet xmlns:r="http://schemas.openxmlformats.org/officeDocument/2006/relationships" name="御見積条件" sheetId="4" state="visible" r:id="rId4"/>
    <sheet xmlns:r="http://schemas.openxmlformats.org/officeDocument/2006/relationships" name="エスト比較(内部)" sheetId="5" state="visible" r:id="rId5"/>
    <sheet xmlns:r="http://schemas.openxmlformats.org/officeDocument/2006/relationships" name="エストマスタ(参考)" sheetId="6" state="visible" r:id="rId6"/>
    <sheet xmlns:r="http://schemas.openxmlformats.org/officeDocument/2006/relationships" name="数量拾い根拠(内部)" sheetId="7" state="visible" r:id="rId7"/>
    <sheet xmlns:r="http://schemas.openxmlformats.org/officeDocument/2006/relationships" name="原価根拠(内部)" sheetId="8" state="visible" r:id="rId8"/>
  </sheets>
  <definedNames>
    <definedName name="TARGET_MARGIN">'表紙(工事)'!$N$4</definedName>
    <definedName name="ROUND_UNIT">'表紙(工事)'!$N$5</definedName>
    <definedName name="LABOR_COST">'表紙(工事)'!$N$6</definedName>
    <definedName name="MAT_RATIO">'表紙(工事)'!$N$7</definedName>
    <definedName name="EST_LABOR_PIPE">'表紙(工事)'!$N$8</definedName>
    <definedName name="EST_LABOR_ELEC">'表紙(工事)'!$N$9</definedName>
    <definedName name="WELFARE_RATE">'法定福利費内訳明細書'!$E$27</definedName>
    <definedName name="INCLUDE_TBD">'表紙(工事)'!$N$11</definedName>
    <definedName name="TARGET">'表紙(工事)'!$N$12</definedName>
    <definedName name="SUBMIT">'表紙(工事)'!$N$13</definedName>
    <definedName name="COST_TOTAL">'表紙(工事)'!$O$27</definedName>
    <definedName name="_xlnm.Print_Area" localSheetId="0">'表紙(工事)'!$A$1:$L$38</definedName>
    <definedName name="_xlnm.Print_Titles" localSheetId="1">'内訳書(空調設備工事)'!$1:$3</definedName>
    <definedName name="_xlnm.Print_Area" localSheetId="1">'内訳書(空調設備工事)'!$A$1:$I$64</definedName>
    <definedName name="_xlnm.Print_Area" localSheetId="2">'法定福利費内訳明細書'!$B$1:$G$30</definedName>
    <definedName name="_xlnm.Print_Area" localSheetId="3">'御見積条件'!$A$1:$F$36</definedName>
    <definedName name="_xlnm.Print_Area" localSheetId="4">'エスト比較(内部)'!$A$1:$K$64</definedName>
    <definedName name="_xlnm.Print_Area" localSheetId="5">'エストマスタ(参考)'!$A$1:$C$19</definedName>
    <definedName name="_xlnm.Print_Area" localSheetId="6">'数量拾い根拠(内部)'!$A$1:$F$39</definedName>
    <definedName name="_xlnm.Print_Area" localSheetId="7">'原価根拠(内部)'!$A$1:$C$41</definedName>
  </definedNames>
  <calcPr calcId="124519" fullCalcOnLoad="1"/>
</workbook>
</file>

<file path=xl/styles.xml><?xml version="1.0" encoding="utf-8"?>
<styleSheet xmlns="http://schemas.openxmlformats.org/spreadsheetml/2006/main">
  <numFmts count="12">
    <numFmt numFmtId="164" formatCode="#,##0.##"/>
    <numFmt numFmtId="165" formatCode="#,##0_ "/>
    <numFmt numFmtId="166" formatCode="#,##0_ ;[Red]-#,##0_ "/>
    <numFmt numFmtId="167" formatCode="0.000"/>
    <numFmt numFmtId="168" formatCode="0.0%"/>
    <numFmt numFmtId="169" formatCode="#,##0_ ;[Red]-#,##0_ ;&quot;別途見積&quot;_ "/>
    <numFmt numFmtId="170" formatCode="yyyy&quot;年&quot;m&quot;月&quot;d&quot;日&quot;"/>
    <numFmt numFmtId="171" formatCode="0.000%_ "/>
    <numFmt numFmtId="172" formatCode="yyyy-mm-dd"/>
    <numFmt numFmtId="173" formatCode="#,##0_ ;[Red]-#,##0_ ;&quot;支給品&quot;_ "/>
    <numFmt numFmtId="174" formatCode="0.000%"/>
    <numFmt numFmtId="175" formatCode="&quot;粗利率 &quot;0%"/>
  </numFmts>
  <fonts count="20">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color rgb="00C00000"/>
      <sz val="9"/>
    </font>
    <font>
      <name val="ＭＳ Ｐゴシック"/>
      <charset val="128"/>
      <family val="3"/>
      <color rgb="00C00000"/>
      <sz val="10"/>
    </font>
    <font>
      <name val="ＭＳ Ｐゴシック"/>
      <charset val="128"/>
      <family val="3"/>
      <b val="1"/>
      <sz val="9"/>
    </font>
    <font>
      <name val="ＭＳ Ｐゴシック"/>
      <charset val="128"/>
      <family val="3"/>
      <b val="1"/>
      <color rgb="00C00000"/>
      <sz val="9"/>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
      <name val="ＭＳ Ｐゴシック"/>
      <charset val="128"/>
      <family val="3"/>
      <b val="1"/>
      <color rgb="00C00000"/>
      <sz val="11"/>
    </font>
  </fonts>
  <fills count="8">
    <fill>
      <patternFill/>
    </fill>
    <fill>
      <patternFill patternType="gray125"/>
    </fill>
    <fill>
      <patternFill patternType="solid">
        <fgColor rgb="00D9D9D9"/>
      </patternFill>
    </fill>
    <fill>
      <patternFill patternType="solid">
        <fgColor rgb="00FFF2CC"/>
      </patternFill>
    </fill>
    <fill>
      <patternFill patternType="solid">
        <fgColor rgb="00FFE699"/>
      </patternFill>
    </fill>
    <fill>
      <patternFill patternType="solid">
        <fgColor rgb="00F8CBAD"/>
      </patternFill>
    </fill>
    <fill>
      <patternFill patternType="solid">
        <fgColor rgb="00FDE9E9"/>
      </patternFill>
    </fill>
    <fill>
      <patternFill patternType="solid">
        <fgColor rgb="00F2F2F2"/>
      </patternFill>
    </fill>
  </fills>
  <borders count="42">
    <border>
      <left/>
      <right/>
      <top/>
      <bottom/>
      <diagonal/>
    </border>
    <border>
      <left/>
      <right/>
      <top style="thin">
        <color rgb="00000000"/>
      </top>
      <bottom/>
    </border>
    <border>
      <left/>
      <right/>
      <top/>
      <bottom style="thin">
        <color rgb="00000000"/>
      </bottom>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hair">
        <color rgb="00000000"/>
      </top>
      <bottom style="thin">
        <color rgb="00000000"/>
      </bottom>
    </border>
    <border>
      <left style="thin">
        <color rgb="00000000"/>
      </left>
      <right style="medium">
        <color rgb="00000000"/>
      </right>
      <top style="hair">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double">
        <color rgb="00000000"/>
      </bottom>
    </border>
    <border>
      <left/>
      <right/>
      <top style="double">
        <color rgb="00000000"/>
      </top>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style="thin">
        <color rgb="00000000"/>
      </right>
      <top/>
      <bottom style="thin">
        <color rgb="00000000"/>
      </bottom>
    </border>
  </borders>
  <cellStyleXfs count="1">
    <xf numFmtId="0" fontId="0" fillId="0" borderId="0"/>
  </cellStyleXfs>
  <cellXfs count="222">
    <xf numFmtId="0" fontId="0" fillId="0" borderId="0" pivotButton="0" quotePrefix="0" xfId="0"/>
    <xf numFmtId="0" fontId="13"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2" applyAlignment="1" pivotButton="0" quotePrefix="0" xfId="0">
      <alignment horizontal="center" vertical="center"/>
    </xf>
    <xf numFmtId="0" fontId="0" fillId="0" borderId="2" pivotButton="0" quotePrefix="0" xfId="0"/>
    <xf numFmtId="0" fontId="2" fillId="2" borderId="19" applyAlignment="1" pivotButton="0" quotePrefix="0" xfId="0">
      <alignment vertical="center"/>
    </xf>
    <xf numFmtId="0" fontId="0" fillId="2" borderId="19" applyAlignment="1" pivotButton="0" quotePrefix="0" xfId="0">
      <alignment vertical="center"/>
    </xf>
    <xf numFmtId="170" fontId="0" fillId="0" borderId="0" applyAlignment="1" pivotButton="0" quotePrefix="0" xfId="0">
      <alignment horizontal="right" vertical="center"/>
    </xf>
    <xf numFmtId="0" fontId="18" fillId="2" borderId="19" applyAlignment="1" pivotButton="0" quotePrefix="0" xfId="0">
      <alignment vertical="center" shrinkToFit="1"/>
    </xf>
    <xf numFmtId="9" fontId="0" fillId="3" borderId="19" applyAlignment="1" pivotButton="0" quotePrefix="0" xfId="0">
      <alignment horizontal="right" vertical="center"/>
    </xf>
    <xf numFmtId="0" fontId="14" fillId="0" borderId="2" applyAlignment="1" pivotButton="0" quotePrefix="0" xfId="0">
      <alignment horizontal="center" vertical="center"/>
    </xf>
    <xf numFmtId="0" fontId="15" fillId="0" borderId="0" applyAlignment="1" pivotButton="0" quotePrefix="0" xfId="0">
      <alignment horizontal="left" vertical="center"/>
    </xf>
    <xf numFmtId="3" fontId="0" fillId="3" borderId="19" applyAlignment="1" pivotButton="0" quotePrefix="0" xfId="0">
      <alignment horizontal="right" vertical="center"/>
    </xf>
    <xf numFmtId="0" fontId="0" fillId="0" borderId="1" pivotButton="0" quotePrefix="0" xfId="0"/>
    <xf numFmtId="0" fontId="15" fillId="0" borderId="0" applyAlignment="1" pivotButton="0" quotePrefix="0" xfId="0">
      <alignment horizontal="center" vertical="center"/>
    </xf>
    <xf numFmtId="0" fontId="12" fillId="0" borderId="36" applyAlignment="1" pivotButton="0" quotePrefix="0" xfId="0">
      <alignment horizontal="center" vertical="center"/>
    </xf>
    <xf numFmtId="0" fontId="0" fillId="0" borderId="36" pivotButton="0" quotePrefix="0" xfId="0"/>
    <xf numFmtId="0" fontId="0" fillId="0" borderId="0" applyAlignment="1" pivotButton="0" quotePrefix="0" xfId="0">
      <alignment horizontal="left" vertical="center"/>
    </xf>
    <xf numFmtId="0" fontId="16" fillId="0" borderId="0" applyAlignment="1" pivotButton="0" quotePrefix="0" xfId="0">
      <alignment vertical="center"/>
    </xf>
    <xf numFmtId="2" fontId="0" fillId="3" borderId="19" applyAlignment="1" pivotButton="0" quotePrefix="0" xfId="0">
      <alignment horizontal="right" vertical="center"/>
    </xf>
    <xf numFmtId="0" fontId="0" fillId="0" borderId="37" pivotButton="0" quotePrefix="0" xfId="0"/>
    <xf numFmtId="0" fontId="0" fillId="0" borderId="0" applyAlignment="1" pivotButton="0" quotePrefix="0" xfId="0">
      <alignment vertical="center"/>
    </xf>
    <xf numFmtId="174" fontId="0" fillId="0" borderId="19" applyAlignment="1" pivotButton="0" quotePrefix="0" xfId="0">
      <alignment horizontal="right" vertical="center"/>
    </xf>
    <xf numFmtId="1" fontId="0" fillId="3" borderId="19" applyAlignment="1" pivotButton="0" quotePrefix="0" xfId="0">
      <alignment horizontal="righ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3" fontId="4" fillId="0" borderId="19" applyAlignment="1" pivotButton="0" quotePrefix="0" xfId="0">
      <alignment horizontal="right" vertical="center"/>
    </xf>
    <xf numFmtId="0" fontId="6" fillId="0" borderId="0" applyAlignment="1" pivotButton="0" quotePrefix="0" xfId="0">
      <alignment vertical="center" shrinkToFit="1"/>
    </xf>
    <xf numFmtId="0" fontId="3" fillId="0" borderId="0" applyAlignment="1" pivotButton="0" quotePrefix="0" xfId="0">
      <alignment vertical="center"/>
    </xf>
    <xf numFmtId="0" fontId="0" fillId="0" borderId="0" applyAlignment="1" pivotButton="0" quotePrefix="0" xfId="0">
      <alignment horizontal="distributed" vertical="center" shrinkToFit="1" indent="1"/>
    </xf>
    <xf numFmtId="0" fontId="6" fillId="2" borderId="14" applyAlignment="1" pivotButton="0" quotePrefix="0" xfId="0">
      <alignment horizontal="center" vertical="center" shrinkToFit="1"/>
    </xf>
    <xf numFmtId="0" fontId="0" fillId="2" borderId="16" applyAlignment="1" pivotButton="0" quotePrefix="0" xfId="0">
      <alignment horizontal="center" vertical="center" shrinkToFit="1"/>
    </xf>
    <xf numFmtId="0" fontId="0" fillId="2" borderId="16" pivotButton="0" quotePrefix="0" xfId="0"/>
    <xf numFmtId="0" fontId="6" fillId="2" borderId="16" applyAlignment="1" pivotButton="0" quotePrefix="0" xfId="0">
      <alignment horizontal="center" vertical="center" shrinkToFit="1"/>
    </xf>
    <xf numFmtId="0" fontId="0" fillId="2" borderId="17" applyAlignment="1" pivotButton="0" quotePrefix="0" xfId="0">
      <alignment horizontal="center" vertical="center" shrinkToFit="1"/>
    </xf>
    <xf numFmtId="0" fontId="18" fillId="2" borderId="12" applyAlignment="1" pivotButton="0" quotePrefix="0" xfId="0">
      <alignment horizontal="center" vertical="center" shrinkToFit="1"/>
    </xf>
    <xf numFmtId="0" fontId="0" fillId="0" borderId="25" pivotButton="0" quotePrefix="0" xfId="0"/>
    <xf numFmtId="0" fontId="0" fillId="0" borderId="19" applyAlignment="1" pivotButton="0" quotePrefix="0" xfId="0">
      <alignment horizontal="left" vertical="center" shrinkToFit="1" indent="1"/>
    </xf>
    <xf numFmtId="0" fontId="0" fillId="0" borderId="19" pivotButton="0" quotePrefix="0" xfId="0"/>
    <xf numFmtId="0" fontId="0" fillId="0" borderId="26" pivotButton="0" quotePrefix="0" xfId="0"/>
    <xf numFmtId="0" fontId="0" fillId="0" borderId="7" pivotButton="0" quotePrefix="0" xfId="0"/>
    <xf numFmtId="0" fontId="6" fillId="0" borderId="19" applyAlignment="1" pivotButton="0" quotePrefix="0" xfId="0">
      <alignment horizontal="left" vertical="center" shrinkToFit="1" indent="1"/>
    </xf>
    <xf numFmtId="0" fontId="0" fillId="0" borderId="25" applyAlignment="1" pivotButton="0" quotePrefix="0" xfId="0">
      <alignment horizontal="center" vertical="center"/>
    </xf>
    <xf numFmtId="165" fontId="0" fillId="0" borderId="19" applyAlignment="1" pivotButton="0" quotePrefix="0" xfId="0">
      <alignment horizontal="right" vertical="center"/>
    </xf>
    <xf numFmtId="0" fontId="0" fillId="0" borderId="19" applyAlignment="1" pivotButton="0" quotePrefix="0" xfId="0">
      <alignment horizontal="center" vertical="center"/>
    </xf>
    <xf numFmtId="173" fontId="0" fillId="0" borderId="19" applyAlignment="1" pivotButton="0" quotePrefix="0" xfId="0">
      <alignment horizontal="right" vertical="center"/>
    </xf>
    <xf numFmtId="0" fontId="6" fillId="0" borderId="26" applyAlignment="1" pivotButton="0" quotePrefix="0" xfId="0">
      <alignment horizontal="center" vertical="center" shrinkToFit="1"/>
    </xf>
    <xf numFmtId="166" fontId="0" fillId="0" borderId="19" applyAlignment="1" pivotButton="0" quotePrefix="0" xfId="0">
      <alignment horizontal="right" vertical="center"/>
    </xf>
    <xf numFmtId="0" fontId="6" fillId="0" borderId="7" applyAlignment="1" pivotButton="0" quotePrefix="0" xfId="0">
      <alignment vertical="center" shrinkToFit="1"/>
    </xf>
    <xf numFmtId="166" fontId="0" fillId="0" borderId="7" applyAlignment="1" pivotButton="0" quotePrefix="0" xfId="0">
      <alignment horizontal="right" vertical="center"/>
    </xf>
    <xf numFmtId="168" fontId="0" fillId="0" borderId="7" applyAlignment="1" pivotButton="0" quotePrefix="0" xfId="0">
      <alignment horizontal="right" vertical="center"/>
    </xf>
    <xf numFmtId="0" fontId="0" fillId="0" borderId="27" applyAlignment="1" pivotButton="0" quotePrefix="0" xfId="0">
      <alignment horizontal="center" vertical="center"/>
    </xf>
    <xf numFmtId="0" fontId="0" fillId="0" borderId="28" applyAlignment="1" pivotButton="0" quotePrefix="0" xfId="0">
      <alignment horizontal="left" vertical="center" shrinkToFit="1" indent="1"/>
    </xf>
    <xf numFmtId="0" fontId="0" fillId="0" borderId="28" pivotButton="0" quotePrefix="0" xfId="0"/>
    <xf numFmtId="165" fontId="0" fillId="0" borderId="28" applyAlignment="1" pivotButton="0" quotePrefix="0" xfId="0">
      <alignment horizontal="right" vertical="center"/>
    </xf>
    <xf numFmtId="0" fontId="0" fillId="0" borderId="28" applyAlignment="1" pivotButton="0" quotePrefix="0" xfId="0">
      <alignment horizontal="center" vertical="center"/>
    </xf>
    <xf numFmtId="166" fontId="0" fillId="0" borderId="28" applyAlignment="1" pivotButton="0" quotePrefix="0" xfId="0">
      <alignment horizontal="right" vertical="center"/>
    </xf>
    <xf numFmtId="0" fontId="6" fillId="0" borderId="29" applyAlignment="1" pivotButton="0" quotePrefix="0" xfId="0">
      <alignment horizontal="center" vertical="center" shrinkToFit="1"/>
    </xf>
    <xf numFmtId="0" fontId="0" fillId="0" borderId="14" pivotButton="0" quotePrefix="0" xfId="0"/>
    <xf numFmtId="0" fontId="0" fillId="0" borderId="16" applyAlignment="1" pivotButton="0" quotePrefix="0" xfId="0">
      <alignment horizontal="left" vertical="center" indent="1"/>
    </xf>
    <xf numFmtId="0" fontId="0" fillId="0" borderId="16" pivotButton="0" quotePrefix="0" xfId="0"/>
    <xf numFmtId="166" fontId="0" fillId="0" borderId="16" applyAlignment="1" pivotButton="0" quotePrefix="0" xfId="0">
      <alignment horizontal="right" vertical="center"/>
    </xf>
    <xf numFmtId="0" fontId="0" fillId="0" borderId="17" pivotButton="0" quotePrefix="0" xfId="0"/>
    <xf numFmtId="0" fontId="0" fillId="0" borderId="31" applyAlignment="1" pivotButton="0" quotePrefix="0" xfId="0">
      <alignment horizontal="center" vertical="center"/>
    </xf>
    <xf numFmtId="0" fontId="0" fillId="0" borderId="33" applyAlignment="1" pivotButton="0" quotePrefix="0" xfId="0">
      <alignment horizontal="left" vertical="center" indent="1"/>
    </xf>
    <xf numFmtId="0" fontId="0" fillId="0" borderId="33" pivotButton="0" quotePrefix="0" xfId="0"/>
    <xf numFmtId="166" fontId="0" fillId="0" borderId="33" applyAlignment="1" pivotButton="0" quotePrefix="0" xfId="0">
      <alignment horizontal="right" vertical="center"/>
    </xf>
    <xf numFmtId="0" fontId="0" fillId="0" borderId="35" pivotButton="0" quotePrefix="0" xfId="0"/>
    <xf numFmtId="0" fontId="5" fillId="0" borderId="7" applyAlignment="1" pivotButton="0" quotePrefix="0" xfId="0">
      <alignment vertical="center" shrinkToFit="1"/>
    </xf>
    <xf numFmtId="166" fontId="4" fillId="0" borderId="7" applyAlignment="1" pivotButton="0" quotePrefix="0" xfId="0">
      <alignment horizontal="right" vertical="center"/>
    </xf>
    <xf numFmtId="0" fontId="0" fillId="0" borderId="30" pivotButton="0" quotePrefix="0" xfId="0"/>
    <xf numFmtId="0" fontId="4" fillId="0" borderId="32" applyAlignment="1" pivotButton="0" quotePrefix="0" xfId="0">
      <alignment horizontal="left" vertical="center" indent="1"/>
    </xf>
    <xf numFmtId="0" fontId="0" fillId="0" borderId="32" pivotButton="0" quotePrefix="0" xfId="0"/>
    <xf numFmtId="165" fontId="4" fillId="0" borderId="32" applyAlignment="1" pivotButton="0" quotePrefix="0" xfId="0">
      <alignment horizontal="right" vertical="center"/>
    </xf>
    <xf numFmtId="0" fontId="6" fillId="0" borderId="34" applyAlignment="1" pivotButton="0" quotePrefix="0" xfId="0">
      <alignment horizontal="center" vertical="center"/>
    </xf>
    <xf numFmtId="0" fontId="5" fillId="0" borderId="13" applyAlignment="1" pivotButton="0" quotePrefix="0" xfId="0">
      <alignment vertical="center" shrinkToFit="1"/>
    </xf>
    <xf numFmtId="165" fontId="4" fillId="0" borderId="13" applyAlignment="1" pivotButton="0" quotePrefix="0" xfId="0">
      <alignment horizontal="right" vertical="center"/>
    </xf>
    <xf numFmtId="165" fontId="0" fillId="0" borderId="13" applyAlignment="1" pivotButton="0" quotePrefix="0" xfId="0">
      <alignment horizontal="right" vertical="center"/>
    </xf>
    <xf numFmtId="166" fontId="4" fillId="0" borderId="13" applyAlignment="1" pivotButton="0" quotePrefix="0" xfId="0">
      <alignment horizontal="right" vertical="center"/>
    </xf>
    <xf numFmtId="168" fontId="4" fillId="0" borderId="13" applyAlignment="1" pivotButton="0" quotePrefix="0" xfId="0">
      <alignment horizontal="right" vertical="center"/>
    </xf>
    <xf numFmtId="0" fontId="6" fillId="0" borderId="38" applyAlignment="1" pivotButton="0" quotePrefix="0" xfId="0">
      <alignment horizontal="left" vertical="center" indent="1"/>
    </xf>
    <xf numFmtId="0" fontId="0" fillId="0" borderId="39" pivotButton="0" quotePrefix="0" xfId="0"/>
    <xf numFmtId="0" fontId="6" fillId="0" borderId="40" applyAlignment="1" pivotButton="0" quotePrefix="0" xfId="0">
      <alignment horizontal="left" vertical="center" shrinkToFit="1" indent="1"/>
    </xf>
    <xf numFmtId="0" fontId="0" fillId="0" borderId="41" pivotButton="0" quotePrefix="0" xfId="0"/>
    <xf numFmtId="0" fontId="19" fillId="5" borderId="12" applyAlignment="1" pivotButton="0" quotePrefix="0" xfId="0">
      <alignment vertical="center"/>
    </xf>
    <xf numFmtId="0" fontId="0" fillId="5" borderId="12" applyAlignment="1" pivotButton="0" quotePrefix="0" xfId="0">
      <alignment vertical="center"/>
    </xf>
    <xf numFmtId="0" fontId="9" fillId="0" borderId="7" applyAlignment="1" pivotButton="0" quotePrefix="0" xfId="0">
      <alignment vertical="center" shrinkToFit="1"/>
    </xf>
    <xf numFmtId="165" fontId="0" fillId="0" borderId="7" applyAlignment="1" pivotButton="0" quotePrefix="0" xfId="0">
      <alignment horizontal="right" vertical="center"/>
    </xf>
    <xf numFmtId="0" fontId="17" fillId="0" borderId="0" applyAlignment="1" pivotButton="0" quotePrefix="0" xfId="0">
      <alignment horizontal="center" vertical="top"/>
    </xf>
    <xf numFmtId="0" fontId="17" fillId="0" borderId="0" applyAlignment="1" pivotButton="0" quotePrefix="0" xfId="0">
      <alignment vertical="top" wrapText="1"/>
    </xf>
    <xf numFmtId="0" fontId="9" fillId="0" borderId="13" applyAlignment="1" pivotButton="0" quotePrefix="0" xfId="0">
      <alignment vertical="center" shrinkToFit="1"/>
    </xf>
    <xf numFmtId="0" fontId="6" fillId="0" borderId="13" applyAlignment="1" pivotButton="0" quotePrefix="0" xfId="0">
      <alignment vertical="center" shrinkToFit="1"/>
    </xf>
    <xf numFmtId="0" fontId="0" fillId="0" borderId="13" pivotButton="0" quotePrefix="0" xfId="0"/>
    <xf numFmtId="0" fontId="2" fillId="2" borderId="12" applyAlignment="1" pivotButton="0" quotePrefix="0" xfId="0">
      <alignment vertical="center"/>
    </xf>
    <xf numFmtId="0" fontId="18" fillId="2" borderId="12" applyAlignment="1" pivotButton="0" quotePrefix="0" xfId="0">
      <alignment horizontal="center" vertical="center"/>
    </xf>
    <xf numFmtId="0" fontId="0" fillId="2" borderId="12" applyAlignment="1" pivotButton="0" quotePrefix="0" xfId="0">
      <alignment vertical="center"/>
    </xf>
    <xf numFmtId="2" fontId="0" fillId="0" borderId="13" applyAlignment="1" pivotButton="0" quotePrefix="0" xfId="0">
      <alignment horizontal="right" vertical="center"/>
    </xf>
    <xf numFmtId="168" fontId="0" fillId="0" borderId="13" applyAlignment="1" pivotButton="0" quotePrefix="0" xfId="0">
      <alignment horizontal="right" vertical="center"/>
    </xf>
    <xf numFmtId="0" fontId="18" fillId="0" borderId="0" applyAlignment="1" pivotButton="0" quotePrefix="0" xfId="0">
      <alignment vertical="center"/>
    </xf>
    <xf numFmtId="165" fontId="0" fillId="3" borderId="0" applyAlignment="1" pivotButton="0" quotePrefix="0" xfId="0">
      <alignment horizontal="right" vertical="center"/>
    </xf>
    <xf numFmtId="0" fontId="18" fillId="2" borderId="19" applyAlignment="1" pivotButton="0" quotePrefix="0" xfId="0">
      <alignment horizontal="center" vertical="center"/>
    </xf>
    <xf numFmtId="175" fontId="0" fillId="0" borderId="19" applyAlignment="1" pivotButton="0" quotePrefix="0" xfId="0">
      <alignment horizontal="center" vertical="center"/>
    </xf>
    <xf numFmtId="168" fontId="0" fillId="0" borderId="19"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4" applyAlignment="1" pivotButton="0" quotePrefix="0" xfId="0">
      <alignment horizontal="center" vertical="center"/>
    </xf>
    <xf numFmtId="0" fontId="0" fillId="2" borderId="16" applyAlignment="1" pivotButton="0" quotePrefix="0" xfId="0">
      <alignment horizontal="center" vertical="center"/>
    </xf>
    <xf numFmtId="0" fontId="0" fillId="2" borderId="17" applyAlignment="1" pivotButton="0" quotePrefix="0" xfId="0">
      <alignment horizontal="center" vertical="center"/>
    </xf>
    <xf numFmtId="0" fontId="3" fillId="2" borderId="19" applyAlignment="1" pivotButton="0" quotePrefix="0" xfId="0">
      <alignment horizontal="center" vertical="center" shrinkToFit="1"/>
    </xf>
    <xf numFmtId="0" fontId="4" fillId="0" borderId="15" applyAlignment="1" pivotButton="0" quotePrefix="0" xfId="0">
      <alignment vertical="center"/>
    </xf>
    <xf numFmtId="0" fontId="0" fillId="0" borderId="12" pivotButton="0" quotePrefix="0" xfId="0"/>
    <xf numFmtId="0" fontId="0" fillId="0" borderId="18" pivotButton="0" quotePrefix="0" xfId="0"/>
    <xf numFmtId="0" fontId="4" fillId="0" borderId="6" applyAlignment="1" pivotButton="0" quotePrefix="0" xfId="0">
      <alignment vertical="center"/>
    </xf>
    <xf numFmtId="0" fontId="0" fillId="0" borderId="8" pivotButton="0" quotePrefix="0" xfId="0"/>
    <xf numFmtId="0" fontId="5" fillId="0" borderId="6" applyAlignment="1" pivotButton="0" quotePrefix="0" xfId="0">
      <alignment vertical="center"/>
    </xf>
    <xf numFmtId="0" fontId="6" fillId="0" borderId="6" applyAlignment="1" pivotButton="0" quotePrefix="0" xfId="0">
      <alignment vertical="center" shrinkToFit="1"/>
    </xf>
    <xf numFmtId="0" fontId="7" fillId="0" borderId="7" applyAlignment="1" pivotButton="0" quotePrefix="0" xfId="0">
      <alignment horizontal="left" vertical="center" wrapText="1" indent="1"/>
    </xf>
    <xf numFmtId="165" fontId="6" fillId="0" borderId="7" applyAlignment="1" pivotButton="0" quotePrefix="0" xfId="0">
      <alignment horizontal="right" vertical="center"/>
    </xf>
    <xf numFmtId="0" fontId="6" fillId="0" borderId="7" applyAlignment="1" pivotButton="0" quotePrefix="0" xfId="0">
      <alignment horizontal="center" vertical="center"/>
    </xf>
    <xf numFmtId="166" fontId="6" fillId="0" borderId="7" applyAlignment="1" pivotButton="0" quotePrefix="0" xfId="0">
      <alignment horizontal="right" vertical="center"/>
    </xf>
    <xf numFmtId="0" fontId="6" fillId="0" borderId="8" applyAlignment="1" pivotButton="0" quotePrefix="0" xfId="0">
      <alignment horizontal="center" vertical="center" shrinkToFit="1"/>
    </xf>
    <xf numFmtId="0" fontId="7" fillId="0" borderId="7" applyAlignment="1" pivotButton="0" quotePrefix="0" xfId="0">
      <alignment horizontal="center" vertical="center" shrinkToFit="1"/>
    </xf>
    <xf numFmtId="165" fontId="6" fillId="3" borderId="7" applyAlignment="1" pivotButton="0" quotePrefix="0" xfId="0">
      <alignment horizontal="right" vertical="center"/>
    </xf>
    <xf numFmtId="167" fontId="6" fillId="3" borderId="7" applyAlignment="1" pivotButton="0" quotePrefix="0" xfId="0">
      <alignment horizontal="right" vertical="center"/>
    </xf>
    <xf numFmtId="168" fontId="6" fillId="0" borderId="7" applyAlignment="1" pivotButton="0" quotePrefix="0" xfId="0">
      <alignment horizontal="right" vertical="center"/>
    </xf>
    <xf numFmtId="164" fontId="6" fillId="0" borderId="7" applyAlignment="1" pivotButton="0" quotePrefix="0" xfId="0">
      <alignment horizontal="right" vertical="center"/>
    </xf>
    <xf numFmtId="0" fontId="7" fillId="0" borderId="7" applyAlignment="1" pivotButton="0" quotePrefix="0" xfId="0">
      <alignment vertical="center"/>
    </xf>
    <xf numFmtId="0" fontId="6" fillId="0" borderId="7" applyAlignment="1" pivotButton="0" quotePrefix="0" xfId="0">
      <alignment horizontal="left" vertical="center" shrinkToFit="1" indent="1"/>
    </xf>
    <xf numFmtId="0" fontId="7" fillId="4" borderId="7" applyAlignment="1" pivotButton="0" quotePrefix="0" xfId="0">
      <alignment horizontal="center" vertical="center" shrinkToFit="1"/>
    </xf>
    <xf numFmtId="0" fontId="9" fillId="0" borderId="6" applyAlignment="1" pivotButton="0" quotePrefix="0" xfId="0">
      <alignment vertical="center" shrinkToFit="1"/>
    </xf>
    <xf numFmtId="0" fontId="8" fillId="0" borderId="7" applyAlignment="1" pivotButton="0" quotePrefix="0" xfId="0">
      <alignment horizontal="left" vertical="center" wrapText="1" indent="1"/>
    </xf>
    <xf numFmtId="169" fontId="9" fillId="0" borderId="7" applyAlignment="1" pivotButton="0" quotePrefix="0" xfId="0">
      <alignment horizontal="right" vertical="center"/>
    </xf>
    <xf numFmtId="0" fontId="9" fillId="0" borderId="8" applyAlignment="1" pivotButton="0" quotePrefix="0" xfId="0">
      <alignment horizontal="center" vertical="center" shrinkToFit="1"/>
    </xf>
    <xf numFmtId="0" fontId="10" fillId="5" borderId="7" applyAlignment="1" pivotButton="0" quotePrefix="0" xfId="0">
      <alignment horizontal="center" vertical="center"/>
    </xf>
    <xf numFmtId="0" fontId="11" fillId="5" borderId="7" applyAlignment="1" pivotButton="0" quotePrefix="0" xfId="0">
      <alignment horizontal="center" vertical="center"/>
    </xf>
    <xf numFmtId="167" fontId="6" fillId="0" borderId="7" applyAlignment="1" pivotButton="0" quotePrefix="0" xfId="0">
      <alignment horizontal="right" vertical="center"/>
    </xf>
    <xf numFmtId="0" fontId="7" fillId="0" borderId="7" applyAlignment="1" pivotButton="0" quotePrefix="0" xfId="0">
      <alignment horizontal="center" vertical="center"/>
    </xf>
    <xf numFmtId="9" fontId="6" fillId="3" borderId="7" applyAlignment="1" pivotButton="0" quotePrefix="0" xfId="0">
      <alignment horizontal="right" vertical="center"/>
    </xf>
    <xf numFmtId="0" fontId="6" fillId="0" borderId="20" applyAlignment="1" pivotButton="0" quotePrefix="0" xfId="0">
      <alignment vertical="center" shrinkToFit="1"/>
    </xf>
    <xf numFmtId="165" fontId="6" fillId="0" borderId="13" applyAlignment="1" pivotButton="0" quotePrefix="0" xfId="0">
      <alignment horizontal="right" vertical="center"/>
    </xf>
    <xf numFmtId="0" fontId="6" fillId="0" borderId="13" applyAlignment="1" pivotButton="0" quotePrefix="0" xfId="0">
      <alignment horizontal="center" vertical="center"/>
    </xf>
    <xf numFmtId="166" fontId="6" fillId="0" borderId="13" applyAlignment="1" pivotButton="0" quotePrefix="0" xfId="0">
      <alignment horizontal="right" vertical="center"/>
    </xf>
    <xf numFmtId="0" fontId="0" fillId="0" borderId="21" pivotButton="0" quotePrefix="0" xfId="0"/>
    <xf numFmtId="0" fontId="7" fillId="0" borderId="13" applyAlignment="1" pivotButton="0" quotePrefix="0" xfId="0">
      <alignment horizontal="center" vertical="center"/>
    </xf>
    <xf numFmtId="9" fontId="6" fillId="3" borderId="13" applyAlignment="1" pivotButton="0" quotePrefix="0" xfId="0">
      <alignment horizontal="right" vertical="center"/>
    </xf>
    <xf numFmtId="164" fontId="6" fillId="0" borderId="13" applyAlignment="1" pivotButton="0" quotePrefix="0" xfId="0">
      <alignment horizontal="right" vertical="center"/>
    </xf>
    <xf numFmtId="0" fontId="7" fillId="0" borderId="13" applyAlignment="1" pivotButton="0" quotePrefix="0" xfId="0">
      <alignment vertical="center"/>
    </xf>
    <xf numFmtId="0" fontId="7" fillId="0" borderId="13" applyAlignment="1" pivotButton="0" quotePrefix="0" xfId="0">
      <alignment horizontal="center" vertical="center" shrinkToFit="1"/>
    </xf>
    <xf numFmtId="0" fontId="4" fillId="0" borderId="15" applyAlignment="1" pivotButton="0" quotePrefix="0" xfId="0">
      <alignment horizontal="center" vertical="center"/>
    </xf>
    <xf numFmtId="166" fontId="4" fillId="0" borderId="12" applyAlignment="1" pivotButton="0" quotePrefix="0" xfId="0">
      <alignment horizontal="right" vertical="center"/>
    </xf>
    <xf numFmtId="2" fontId="4" fillId="0" borderId="12" applyAlignment="1" pivotButton="0" quotePrefix="0" xfId="0">
      <alignment horizontal="right" vertical="center"/>
    </xf>
    <xf numFmtId="168" fontId="4" fillId="0" borderId="12" applyAlignment="1" pivotButton="0" quotePrefix="0" xfId="0">
      <alignment horizontal="right" vertical="center"/>
    </xf>
    <xf numFmtId="0" fontId="0" fillId="0" borderId="6" pivotButton="0" quotePrefix="0" xfId="0"/>
    <xf numFmtId="0" fontId="7" fillId="6" borderId="7" applyAlignment="1" pivotButton="0" quotePrefix="0" xfId="0">
      <alignment horizontal="center" vertical="center" shrinkToFit="1"/>
    </xf>
    <xf numFmtId="0" fontId="0" fillId="0" borderId="9" pivotButton="0" quotePrefix="0" xfId="0"/>
    <xf numFmtId="0" fontId="0" fillId="0" borderId="10" pivotButton="0" quotePrefix="0" xfId="0"/>
    <xf numFmtId="0" fontId="0" fillId="0" borderId="11" pivotButton="0" quotePrefix="0" xfId="0"/>
    <xf numFmtId="0" fontId="4" fillId="0" borderId="22" applyAlignment="1" pivotButton="0" quotePrefix="0" xfId="0">
      <alignment horizontal="center" vertical="center"/>
    </xf>
    <xf numFmtId="0" fontId="0" fillId="0" borderId="23" pivotButton="0" quotePrefix="0" xfId="0"/>
    <xf numFmtId="166" fontId="4" fillId="0" borderId="23" applyAlignment="1" pivotButton="0" quotePrefix="0" xfId="0">
      <alignment horizontal="right" vertical="center"/>
    </xf>
    <xf numFmtId="0" fontId="7" fillId="0" borderId="24" applyAlignment="1" pivotButton="0" quotePrefix="0" xfId="0">
      <alignment horizontal="center" vertical="center" shrinkToFit="1"/>
    </xf>
    <xf numFmtId="2" fontId="4" fillId="0" borderId="16" applyAlignment="1" pivotButton="0" quotePrefix="0" xfId="0">
      <alignment horizontal="right" vertical="center"/>
    </xf>
    <xf numFmtId="166" fontId="4" fillId="0" borderId="16" applyAlignment="1" pivotButton="0" quotePrefix="0" xfId="0">
      <alignment horizontal="right" vertical="center"/>
    </xf>
    <xf numFmtId="168" fontId="4" fillId="0" borderId="16" applyAlignment="1" pivotButton="0" quotePrefix="0" xfId="0">
      <alignment horizontal="right"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0" fillId="7" borderId="19" applyAlignment="1" pivotButton="0" quotePrefix="0" xfId="0">
      <alignment horizontal="left" vertical="center" indent="1"/>
    </xf>
    <xf numFmtId="170" fontId="0" fillId="0" borderId="19" applyAlignment="1" pivotButton="0" quotePrefix="0" xfId="0">
      <alignment horizontal="left" vertical="center" indent="1"/>
    </xf>
    <xf numFmtId="0" fontId="0" fillId="0" borderId="19"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6" fillId="2" borderId="16" applyAlignment="1" pivotButton="0" quotePrefix="0" xfId="0">
      <alignment horizontal="center" vertical="center"/>
    </xf>
    <xf numFmtId="0" fontId="0" fillId="2" borderId="17" pivotButton="0" quotePrefix="0" xfId="0"/>
    <xf numFmtId="0" fontId="0" fillId="0" borderId="25" applyAlignment="1" pivotButton="0" quotePrefix="0" xfId="0">
      <alignment horizontal="left" vertical="center" indent="1"/>
    </xf>
    <xf numFmtId="0" fontId="6" fillId="0" borderId="19" applyAlignment="1" pivotButton="0" quotePrefix="0" xfId="0">
      <alignment horizontal="left" vertical="center" indent="1"/>
    </xf>
    <xf numFmtId="0" fontId="0" fillId="0" borderId="31" applyAlignment="1" pivotButton="0" quotePrefix="0" xfId="0">
      <alignment horizontal="left" vertical="center" indent="1"/>
    </xf>
    <xf numFmtId="165" fontId="0" fillId="0" borderId="33" applyAlignment="1" pivotButton="0" quotePrefix="0" xfId="0">
      <alignment horizontal="right" vertical="center"/>
    </xf>
    <xf numFmtId="0" fontId="6" fillId="0" borderId="33" applyAlignment="1" pivotButton="0" quotePrefix="0" xfId="0">
      <alignment horizontal="left" vertical="center" indent="1"/>
    </xf>
    <xf numFmtId="0" fontId="4" fillId="0" borderId="30" applyAlignment="1" pivotButton="0" quotePrefix="0" xfId="0">
      <alignment horizontal="left" vertical="center" indent="1"/>
    </xf>
    <xf numFmtId="0" fontId="6" fillId="0" borderId="32" applyAlignment="1" pivotButton="0" quotePrefix="0" xfId="0">
      <alignment horizontal="left" vertical="center" indent="1"/>
    </xf>
    <xf numFmtId="0" fontId="0" fillId="0" borderId="34" pivotButton="0" quotePrefix="0" xfId="0"/>
    <xf numFmtId="0" fontId="6" fillId="0" borderId="0" applyAlignment="1" pivotButton="0" quotePrefix="0" xfId="0">
      <alignment vertical="center"/>
    </xf>
    <xf numFmtId="0" fontId="6" fillId="2" borderId="14" applyAlignment="1" pivotButton="0" quotePrefix="0" xfId="0">
      <alignment horizontal="center" vertical="center"/>
    </xf>
    <xf numFmtId="0" fontId="6" fillId="2" borderId="17" applyAlignment="1" pivotButton="0" quotePrefix="0" xfId="0">
      <alignment horizontal="center" vertical="center"/>
    </xf>
    <xf numFmtId="171" fontId="0" fillId="0" borderId="19" applyAlignment="1" pivotButton="0" quotePrefix="0" xfId="0">
      <alignment horizontal="right" vertical="center"/>
    </xf>
    <xf numFmtId="0" fontId="7" fillId="0" borderId="26" applyAlignment="1" pivotButton="0" quotePrefix="0" xfId="0">
      <alignment vertical="center" wrapText="1"/>
    </xf>
    <xf numFmtId="171" fontId="0" fillId="0" borderId="33" applyAlignment="1" pivotButton="0" quotePrefix="0" xfId="0">
      <alignment horizontal="right" vertical="center"/>
    </xf>
    <xf numFmtId="0" fontId="7" fillId="0" borderId="35" applyAlignment="1" pivotButton="0" quotePrefix="0" xfId="0">
      <alignment vertical="center" wrapText="1"/>
    </xf>
    <xf numFmtId="0" fontId="4" fillId="0" borderId="30" applyAlignment="1" pivotButton="0" quotePrefix="0" xfId="0">
      <alignment horizontal="center" vertical="center"/>
    </xf>
    <xf numFmtId="171" fontId="4" fillId="0" borderId="32" applyAlignment="1" pivotButton="0" quotePrefix="0" xfId="0">
      <alignment horizontal="right" vertical="center"/>
    </xf>
    <xf numFmtId="0" fontId="12"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0" borderId="25" applyAlignment="1" pivotButton="0" quotePrefix="0" xfId="0">
      <alignment horizontal="center" vertical="center"/>
    </xf>
    <xf numFmtId="0" fontId="6" fillId="0" borderId="19" applyAlignment="1" pivotButton="0" quotePrefix="0" xfId="0">
      <alignment horizontal="center" vertical="center"/>
    </xf>
    <xf numFmtId="0" fontId="6" fillId="0" borderId="19" applyAlignment="1" pivotButton="0" quotePrefix="0" xfId="0">
      <alignment horizontal="left" vertical="center" wrapText="1" indent="1"/>
    </xf>
    <xf numFmtId="0" fontId="6" fillId="0" borderId="26" applyAlignment="1" pivotButton="0" quotePrefix="0" xfId="0">
      <alignment horizontal="center" vertical="center" wrapText="1"/>
    </xf>
    <xf numFmtId="0" fontId="6" fillId="0" borderId="27" applyAlignment="1" pivotButton="0" quotePrefix="0" xfId="0">
      <alignment horizontal="center" vertical="center"/>
    </xf>
    <xf numFmtId="0" fontId="6" fillId="0" borderId="28" applyAlignment="1" pivotButton="0" quotePrefix="0" xfId="0">
      <alignment horizontal="center" vertical="center"/>
    </xf>
    <xf numFmtId="0" fontId="6" fillId="0" borderId="28" applyAlignment="1" pivotButton="0" quotePrefix="0" xfId="0">
      <alignment horizontal="left" vertical="center" wrapText="1" indent="1"/>
    </xf>
    <xf numFmtId="0" fontId="6" fillId="0" borderId="29" applyAlignment="1" pivotButton="0" quotePrefix="0" xfId="0">
      <alignment horizontal="center" vertical="center" wrapText="1"/>
    </xf>
    <xf numFmtId="0" fontId="5" fillId="2" borderId="12" applyAlignment="1" pivotButton="0" quotePrefix="0" xfId="0">
      <alignment horizontal="center" vertical="center"/>
    </xf>
    <xf numFmtId="0" fontId="6" fillId="0" borderId="7" applyAlignment="1" pivotButton="0" quotePrefix="0" xfId="0">
      <alignment vertical="center"/>
    </xf>
    <xf numFmtId="0" fontId="7" fillId="0" borderId="7" applyAlignment="1" pivotButton="0" quotePrefix="0" xfId="0">
      <alignment vertical="center" shrinkToFit="1"/>
    </xf>
    <xf numFmtId="0" fontId="7" fillId="4" borderId="7" applyAlignment="1" pivotButton="0" quotePrefix="0" xfId="0">
      <alignment vertical="center"/>
    </xf>
    <xf numFmtId="0" fontId="6" fillId="0" borderId="7" applyAlignment="1" pivotButton="0" quotePrefix="0" xfId="0">
      <alignment horizontal="right" vertical="center"/>
    </xf>
    <xf numFmtId="0" fontId="6" fillId="0" borderId="13" applyAlignment="1" pivotButton="0" quotePrefix="0" xfId="0">
      <alignment vertical="center"/>
    </xf>
    <xf numFmtId="0" fontId="6" fillId="0" borderId="13" applyAlignment="1" pivotButton="0" quotePrefix="0" xfId="0">
      <alignment horizontal="right" vertical="center"/>
    </xf>
    <xf numFmtId="0" fontId="7" fillId="4" borderId="13" applyAlignment="1" pivotButton="0" quotePrefix="0" xfId="0">
      <alignment vertical="center"/>
    </xf>
    <xf numFmtId="0" fontId="4" fillId="7" borderId="0" applyAlignment="1" pivotButton="0" quotePrefix="0" xfId="0">
      <alignment vertical="center"/>
    </xf>
    <xf numFmtId="0" fontId="5" fillId="0" borderId="7" applyAlignment="1" pivotButton="0" quotePrefix="0" xfId="0">
      <alignment vertical="center"/>
    </xf>
    <xf numFmtId="168" fontId="6" fillId="0" borderId="13" applyAlignment="1" pivotButton="0" quotePrefix="0" xfId="0">
      <alignment horizontal="right" vertical="center"/>
    </xf>
    <xf numFmtId="0" fontId="7" fillId="0" borderId="0" applyAlignment="1" pivotButton="0" quotePrefix="0" xfId="0">
      <alignment vertical="center"/>
    </xf>
    <xf numFmtId="0" fontId="5" fillId="0" borderId="0" applyAlignment="1" pivotButton="0" quotePrefix="0" xfId="0">
      <alignment vertical="center"/>
    </xf>
    <xf numFmtId="0" fontId="6" fillId="0" borderId="7" applyAlignment="1" pivotButton="0" quotePrefix="0" xfId="0">
      <alignment horizontal="left" vertical="center"/>
    </xf>
    <xf numFmtId="4" fontId="6" fillId="0" borderId="7" applyAlignment="1" pivotButton="0" quotePrefix="0" xfId="0">
      <alignment horizontal="right" vertical="center"/>
    </xf>
    <xf numFmtId="0" fontId="6" fillId="0" borderId="13" applyAlignment="1" pivotButton="0" quotePrefix="0" xfId="0">
      <alignment horizontal="left" vertical="center"/>
    </xf>
    <xf numFmtId="4" fontId="6" fillId="0" borderId="13" applyAlignment="1" pivotButton="0" quotePrefix="0" xfId="0">
      <alignment horizontal="right" vertical="center"/>
    </xf>
    <xf numFmtId="0" fontId="7" fillId="0" borderId="0" applyAlignment="1" pivotButton="0" quotePrefix="0" xfId="0">
      <alignment vertical="center" wrapText="1"/>
    </xf>
    <xf numFmtId="165" fontId="6" fillId="0" borderId="0" applyAlignment="1" pivotButton="0" quotePrefix="0" xfId="0">
      <alignment horizontal="right" vertical="center"/>
    </xf>
    <xf numFmtId="167" fontId="6"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51"/>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44" customWidth="1" min="13" max="13"/>
    <col width="13" customWidth="1" min="14" max="14"/>
    <col width="13" customWidth="1" min="15" max="15"/>
    <col width="13" customWidth="1" min="16" max="16"/>
    <col width="10" customWidth="1" min="17" max="17"/>
  </cols>
  <sheetData>
    <row r="1" ht="22" customHeight="1">
      <c r="A1" s="1" t="inlineStr">
        <is>
          <t>御　見　積　書</t>
        </is>
      </c>
    </row>
    <row r="2" ht="22" customHeight="1"/>
    <row r="3">
      <c r="J3" s="2" t="inlineStr">
        <is>
          <t>No.</t>
        </is>
      </c>
      <c r="K3" s="3" t="n"/>
      <c r="L3" s="4" t="n"/>
      <c r="M3" s="5" t="inlineStr">
        <is>
          <t>【設定・内部用】（印刷範囲外）黄セル＝入力</t>
        </is>
      </c>
      <c r="N3" s="6" t="n"/>
    </row>
    <row r="4">
      <c r="J4" s="7" t="n">
        <v>46303</v>
      </c>
      <c r="M4" s="8" t="inlineStr">
        <is>
          <t>目標粗利率</t>
        </is>
      </c>
      <c r="N4" s="9" t="n">
        <v>0.2</v>
      </c>
    </row>
    <row r="5" ht="26" customHeight="1">
      <c r="A5" s="10" t="inlineStr">
        <is>
          <t>今治空調設備</t>
        </is>
      </c>
      <c r="B5" s="4" t="n"/>
      <c r="C5" s="4" t="n"/>
      <c r="D5" s="4" t="n"/>
      <c r="E5" s="4" t="n"/>
      <c r="F5" s="4" t="n"/>
      <c r="G5" s="11" t="inlineStr">
        <is>
          <t>御中</t>
        </is>
      </c>
      <c r="M5" s="8" t="inlineStr">
        <is>
          <t>提出額の丸め単位（切上げ）</t>
        </is>
      </c>
      <c r="N5" s="12" t="n">
        <v>10000</v>
      </c>
    </row>
    <row r="6" ht="12" customHeight="1">
      <c r="A6" s="13" t="n"/>
      <c r="B6" s="13" t="n"/>
      <c r="C6" s="13" t="n"/>
      <c r="D6" s="13" t="n"/>
      <c r="E6" s="13" t="n"/>
      <c r="F6" s="13" t="n"/>
      <c r="M6" s="8" t="inlineStr">
        <is>
          <t>労務原価日額（円/人工、当社）</t>
        </is>
      </c>
      <c r="N6" s="12" t="n">
        <v>19000</v>
      </c>
    </row>
    <row r="7" ht="28" customHeight="1">
      <c r="A7" s="14" t="inlineStr">
        <is>
          <t>金額</t>
        </is>
      </c>
      <c r="B7" s="15" t="str">
        <f>"¥"&amp;TEXT(K28,"#,##0")&amp;"-"</f>
        <v>¥1,290,000-</v>
      </c>
      <c r="C7" s="16" t="n"/>
      <c r="D7" s="16" t="n"/>
      <c r="E7" s="16" t="n"/>
      <c r="F7" s="17" t="inlineStr">
        <is>
          <t>（税別）</t>
        </is>
      </c>
      <c r="H7" s="18" t="inlineStr">
        <is>
          <t>宮地機工株式会社</t>
        </is>
      </c>
      <c r="M7" s="8" t="inlineStr">
        <is>
          <t>材料原価率（エスト材料単価＝建設物価相当に対する比率）</t>
        </is>
      </c>
      <c r="N7" s="19" t="n">
        <v>1</v>
      </c>
    </row>
    <row r="8" ht="10" customHeight="1">
      <c r="B8" s="20" t="n"/>
      <c r="C8" s="20" t="n"/>
      <c r="D8" s="20" t="n"/>
      <c r="E8" s="20" t="n"/>
      <c r="M8" s="8" t="inlineStr">
        <is>
          <t>エスト労務単価 配管工費（円/人）</t>
        </is>
      </c>
      <c r="N8" s="12" t="n">
        <v>33750</v>
      </c>
    </row>
    <row r="9" ht="19" customHeight="1">
      <c r="A9" s="17" t="inlineStr">
        <is>
          <t>つぎのとおりお見積いたしました。</t>
        </is>
      </c>
      <c r="H9" s="21" t="inlineStr">
        <is>
          <t>代表取締役　濱本　義樹</t>
        </is>
      </c>
      <c r="M9" s="8" t="inlineStr">
        <is>
          <t>エスト労務単価 電線材料施工費（円/人）</t>
        </is>
      </c>
      <c r="N9" s="12" t="n">
        <v>33600</v>
      </c>
    </row>
    <row r="10" ht="19" customHeight="1">
      <c r="A10" s="21" t="inlineStr">
        <is>
          <t>なにとぞご用命くださいますようお願い申しあげます。</t>
        </is>
      </c>
      <c r="M10" s="8" t="inlineStr">
        <is>
          <t>法定福利費率（事業主負担）</t>
        </is>
      </c>
      <c r="N10" s="22">
        <f>WELFARE_RATE</f>
        <v>0.16375</v>
      </c>
    </row>
    <row r="11" ht="19" customHeight="1">
      <c r="H11" s="21" t="inlineStr">
        <is>
          <t>〒722-0051</t>
        </is>
      </c>
      <c r="M11" s="8" t="inlineStr">
        <is>
          <t>要見積（概算）を提出額に含める（1=含める／0=別途見積）</t>
        </is>
      </c>
      <c r="N11" s="23" t="n">
        <v>0</v>
      </c>
    </row>
    <row r="12" ht="19" customHeight="1">
      <c r="A12" s="24" t="inlineStr">
        <is>
          <t>件名</t>
        </is>
      </c>
      <c r="D12" s="25" t="inlineStr">
        <is>
          <t>吉野家　呉海岸店</t>
        </is>
      </c>
      <c r="H12" s="21" t="inlineStr">
        <is>
          <t>広島県尾道市東尾道9-9</t>
        </is>
      </c>
      <c r="M12" s="8" t="inlineStr">
        <is>
          <t>目標提出額（税別・空欄なら粗利率から自動）</t>
        </is>
      </c>
      <c r="N12" s="12" t="n"/>
    </row>
    <row r="13" ht="19" customHeight="1">
      <c r="D13" s="25" t="inlineStr">
        <is>
          <t>空調設備工事</t>
        </is>
      </c>
      <c r="H13" s="21" t="inlineStr">
        <is>
          <t>TEL.0848-20-2121</t>
        </is>
      </c>
      <c r="K13" s="21" t="inlineStr">
        <is>
          <t>FAX.0848-20-2126</t>
        </is>
      </c>
      <c r="M13" s="8" t="inlineStr">
        <is>
          <t>提出額（自動計算）</t>
        </is>
      </c>
      <c r="N13" s="26">
        <f>IF(TARGET="",ROUNDUP(COST_TOTAL/(1-TARGET_MARGIN)/ROUND_UNIT,0)*ROUND_UNIT,TARGET)</f>
        <v>1290000</v>
      </c>
    </row>
    <row r="14" ht="19" customHeight="1">
      <c r="A14" s="24" t="inlineStr">
        <is>
          <t>施工場所</t>
        </is>
      </c>
      <c r="D14" s="27" t="inlineStr">
        <is>
          <t>広島県呉市海岸（国道31号沿い）</t>
        </is>
      </c>
      <c r="H14" s="21" t="inlineStr">
        <is>
          <t>担当者</t>
        </is>
      </c>
      <c r="J14" s="21" t="inlineStr">
        <is>
          <t>濱本　義武</t>
        </is>
      </c>
      <c r="M14" s="28" t="inlineStr">
        <is>
          <t>※ 提出額＝原価合計÷（1－目標粗利率）を丸め単位で切上げ。小計（エスト単価の定価ベース）との差を出精値引に計上</t>
        </is>
      </c>
    </row>
    <row r="15" ht="19" customHeight="1">
      <c r="A15" s="29" t="inlineStr">
        <is>
          <t>工事期限</t>
        </is>
      </c>
      <c r="D15" s="25" t="inlineStr">
        <is>
          <t>工程表による（全体工期 2026年9月1日～2026年11月16日）</t>
        </is>
      </c>
      <c r="M15" s="28" t="inlineStr">
        <is>
          <t>※ 原価＝材料（エスト材料単価×材料原価率＝建設物価相当）＋人工×労務原価日額＋法定福利費（事業主負担）</t>
        </is>
      </c>
    </row>
    <row r="16" ht="19" customHeight="1">
      <c r="A16" s="29" t="inlineStr">
        <is>
          <t>支払条件</t>
        </is>
      </c>
      <c r="D16" s="25" t="inlineStr">
        <is>
          <t>御協議による</t>
        </is>
      </c>
    </row>
    <row r="17" ht="19" customHeight="1">
      <c r="A17" s="29" t="inlineStr">
        <is>
          <t>本書有効期間</t>
        </is>
      </c>
      <c r="D17" s="25" t="inlineStr">
        <is>
          <t>10日</t>
        </is>
      </c>
    </row>
    <row r="18" ht="12" customHeight="1"/>
    <row r="19" ht="24" customHeight="1">
      <c r="A19" s="30" t="inlineStr">
        <is>
          <t>項</t>
        </is>
      </c>
      <c r="B19" s="31" t="inlineStr">
        <is>
          <t>品　　　名</t>
        </is>
      </c>
      <c r="C19" s="32" t="n"/>
      <c r="D19" s="32" t="n"/>
      <c r="E19" s="32" t="n"/>
      <c r="F19" s="32" t="n"/>
      <c r="G19" s="31" t="inlineStr">
        <is>
          <t>数 量</t>
        </is>
      </c>
      <c r="H19" s="33" t="inlineStr">
        <is>
          <t>単位</t>
        </is>
      </c>
      <c r="I19" s="31" t="inlineStr">
        <is>
          <t>単  価</t>
        </is>
      </c>
      <c r="J19" s="32" t="n"/>
      <c r="K19" s="31" t="inlineStr">
        <is>
          <t>金　　額</t>
        </is>
      </c>
      <c r="L19" s="34" t="inlineStr">
        <is>
          <t>備　考</t>
        </is>
      </c>
      <c r="M19" s="35" t="inlineStr">
        <is>
          <t>内部集計</t>
        </is>
      </c>
      <c r="N19" s="35" t="inlineStr">
        <is>
          <t>定価ベース</t>
        </is>
      </c>
      <c r="O19" s="35" t="inlineStr">
        <is>
          <t>原価</t>
        </is>
      </c>
      <c r="P19" s="35" t="inlineStr">
        <is>
          <t>粗利</t>
        </is>
      </c>
      <c r="Q19" s="35" t="inlineStr">
        <is>
          <t>粗利率</t>
        </is>
      </c>
    </row>
    <row r="20" ht="22" customHeight="1">
      <c r="A20" s="36" t="n"/>
      <c r="B20" s="37" t="inlineStr">
        <is>
          <t>【吉野家　呉海岸店　空調設備工事】　空気調和工事</t>
        </is>
      </c>
      <c r="C20" s="38" t="n"/>
      <c r="D20" s="38" t="n"/>
      <c r="E20" s="38" t="n"/>
      <c r="F20" s="38" t="n"/>
      <c r="G20" s="38" t="n"/>
      <c r="H20" s="38" t="n"/>
      <c r="I20" s="38" t="n"/>
      <c r="J20" s="38" t="n"/>
      <c r="K20" s="38" t="n"/>
      <c r="L20" s="39" t="n"/>
      <c r="M20" s="40" t="n"/>
      <c r="N20" s="40" t="n"/>
      <c r="O20" s="40" t="n"/>
      <c r="P20" s="40" t="n"/>
      <c r="Q20" s="40" t="n"/>
    </row>
    <row r="21" ht="20" customHeight="1">
      <c r="A21" s="36" t="n"/>
      <c r="B21" s="41" t="str">
        <f>IF(INCLUDE_TBD=1,"［空調機・リモコン・吹出しパンカーは支給品。鉄骨架台は概算計上（詳細見積後に精算）］","［空調機・リモコン・吹出しパンカーは支給品。鉄骨架台は別途御見積］")</f>
        <v>［空調機・リモコン・吹出しパンカーは支給品。鉄骨架台は別途御見積］</v>
      </c>
      <c r="C21" s="38" t="n"/>
      <c r="D21" s="38" t="n"/>
      <c r="E21" s="38" t="n"/>
      <c r="F21" s="38" t="n"/>
      <c r="G21" s="38" t="n"/>
      <c r="H21" s="38" t="n"/>
      <c r="I21" s="38" t="n"/>
      <c r="J21" s="38" t="n"/>
      <c r="K21" s="38" t="n"/>
      <c r="L21" s="39" t="n"/>
      <c r="M21" s="40" t="n"/>
      <c r="N21" s="40" t="n"/>
      <c r="O21" s="40" t="n"/>
      <c r="P21" s="40" t="n"/>
      <c r="Q21" s="40" t="n"/>
    </row>
    <row r="22" ht="24" customHeight="1">
      <c r="A22" s="42" t="inlineStr">
        <is>
          <t>①</t>
        </is>
      </c>
      <c r="B22" s="37" t="inlineStr">
        <is>
          <t>空調設備機器</t>
        </is>
      </c>
      <c r="C22" s="38" t="n"/>
      <c r="D22" s="38" t="n"/>
      <c r="E22" s="38" t="n"/>
      <c r="F22" s="38" t="n"/>
      <c r="G22" s="43" t="n">
        <v>1</v>
      </c>
      <c r="H22" s="44" t="inlineStr">
        <is>
          <t>式</t>
        </is>
      </c>
      <c r="I22" s="45">
        <f>K22</f>
        <v>0</v>
      </c>
      <c r="J22" s="38" t="n"/>
      <c r="K22" s="45" t="n">
        <v>0</v>
      </c>
      <c r="L22" s="46" t="inlineStr">
        <is>
          <t>支給品</t>
        </is>
      </c>
      <c r="M22" s="40" t="n"/>
      <c r="N22" s="40" t="n"/>
      <c r="O22" s="40" t="n"/>
      <c r="P22" s="40" t="n"/>
      <c r="Q22" s="40" t="n"/>
    </row>
    <row r="23" ht="24" customHeight="1">
      <c r="A23" s="42" t="inlineStr">
        <is>
          <t>②</t>
        </is>
      </c>
      <c r="B23" s="37" t="inlineStr">
        <is>
          <t>空調設備工事</t>
        </is>
      </c>
      <c r="C23" s="38" t="n"/>
      <c r="D23" s="38" t="n"/>
      <c r="E23" s="38" t="n"/>
      <c r="F23" s="38" t="n"/>
      <c r="G23" s="43" t="n">
        <v>1</v>
      </c>
      <c r="H23" s="44" t="inlineStr">
        <is>
          <t>式</t>
        </is>
      </c>
      <c r="I23" s="47">
        <f>K23</f>
        <v>190000</v>
      </c>
      <c r="J23" s="38" t="n"/>
      <c r="K23" s="47">
        <f>'内訳書(空調設備工事)'!H22</f>
        <v>190000</v>
      </c>
      <c r="L23" s="46" t="inlineStr">
        <is>
          <t>内訳書 ２</t>
        </is>
      </c>
      <c r="M23" s="48" t="inlineStr">
        <is>
          <t>②空調設備工事</t>
        </is>
      </c>
      <c r="N23" s="49">
        <f>K23</f>
        <v>190000</v>
      </c>
      <c r="O23" s="49">
        <f>'内訳書(空調設備工事)'!P22</f>
        <v>181819</v>
      </c>
      <c r="P23" s="49">
        <f>N23-O23</f>
        <v>8181</v>
      </c>
      <c r="Q23" s="50">
        <f>IF(N23=0,"",P23/N23)</f>
        <v>0.04305789473684211</v>
      </c>
    </row>
    <row r="24" ht="24" customHeight="1">
      <c r="A24" s="42" t="inlineStr">
        <is>
          <t>③</t>
        </is>
      </c>
      <c r="B24" s="37" t="inlineStr">
        <is>
          <t>配管設備工事</t>
        </is>
      </c>
      <c r="C24" s="38" t="n"/>
      <c r="D24" s="38" t="n"/>
      <c r="E24" s="38" t="n"/>
      <c r="F24" s="38" t="n"/>
      <c r="G24" s="43" t="n">
        <v>1</v>
      </c>
      <c r="H24" s="44" t="inlineStr">
        <is>
          <t>式</t>
        </is>
      </c>
      <c r="I24" s="47">
        <f>K24</f>
        <v>1114000</v>
      </c>
      <c r="J24" s="38" t="n"/>
      <c r="K24" s="47">
        <f>'内訳書(空調設備工事)'!H60</f>
        <v>1114000</v>
      </c>
      <c r="L24" s="46" t="inlineStr">
        <is>
          <t>内訳書 ３</t>
        </is>
      </c>
      <c r="M24" s="48" t="inlineStr">
        <is>
          <t>③配管設備工事</t>
        </is>
      </c>
      <c r="N24" s="49">
        <f>K24</f>
        <v>1114000</v>
      </c>
      <c r="O24" s="49">
        <f>'内訳書(空調設備工事)'!P60</f>
        <v>771033</v>
      </c>
      <c r="P24" s="49">
        <f>N24-O24</f>
        <v>342967</v>
      </c>
      <c r="Q24" s="50">
        <f>IF(N24=0,"",P24/N24)</f>
        <v>0.30786983842010773</v>
      </c>
    </row>
    <row r="25" ht="24" customHeight="1">
      <c r="A25" s="51" t="inlineStr">
        <is>
          <t>④</t>
        </is>
      </c>
      <c r="B25" s="52" t="inlineStr">
        <is>
          <t>工事諸経費</t>
        </is>
      </c>
      <c r="C25" s="53" t="n"/>
      <c r="D25" s="53" t="n"/>
      <c r="E25" s="53" t="n"/>
      <c r="F25" s="53" t="n"/>
      <c r="G25" s="54" t="n">
        <v>1</v>
      </c>
      <c r="H25" s="55" t="inlineStr">
        <is>
          <t>式</t>
        </is>
      </c>
      <c r="I25" s="56">
        <f>K25</f>
        <v>65200</v>
      </c>
      <c r="J25" s="53" t="n"/>
      <c r="K25" s="56">
        <f>'内訳書(空調設備工事)'!H62</f>
        <v>65200</v>
      </c>
      <c r="L25" s="57" t="inlineStr">
        <is>
          <t>内訳書 ８</t>
        </is>
      </c>
      <c r="M25" s="48" t="inlineStr">
        <is>
          <t>④工事諸経費（原価なし）</t>
        </is>
      </c>
      <c r="N25" s="49">
        <f>K25</f>
        <v>65200</v>
      </c>
      <c r="O25" s="49" t="n">
        <v>0</v>
      </c>
      <c r="P25" s="49">
        <f>N25-O25</f>
        <v>65200</v>
      </c>
      <c r="Q25" s="50">
        <f>IF(N25=0,"",P25/N25)</f>
        <v>1</v>
      </c>
    </row>
    <row r="26" ht="24" customHeight="1">
      <c r="A26" s="58" t="n"/>
      <c r="B26" s="59" t="inlineStr">
        <is>
          <t xml:space="preserve">　小　　計</t>
        </is>
      </c>
      <c r="C26" s="60" t="n"/>
      <c r="D26" s="60" t="n"/>
      <c r="E26" s="60" t="n"/>
      <c r="F26" s="60" t="n"/>
      <c r="G26" s="60" t="n"/>
      <c r="H26" s="60" t="n"/>
      <c r="I26" s="60" t="n"/>
      <c r="J26" s="60" t="n"/>
      <c r="K26" s="61">
        <f>SUM(K22:K25)</f>
        <v>1369200</v>
      </c>
      <c r="L26" s="62" t="n"/>
      <c r="M26" s="48" t="inlineStr">
        <is>
          <t>法定福利費（事業主負担・原価）</t>
        </is>
      </c>
      <c r="N26" s="49" t="n"/>
      <c r="O26" s="49">
        <f>ROUND('内訳書(空調設備工事)'!Q64*WELFARE_RATE,0)</f>
        <v>71251</v>
      </c>
      <c r="P26" s="40" t="n"/>
      <c r="Q26" s="40" t="n"/>
    </row>
    <row r="27" ht="24" customHeight="1">
      <c r="A27" s="63" t="inlineStr">
        <is>
          <t>⑤</t>
        </is>
      </c>
      <c r="B27" s="64" t="inlineStr">
        <is>
          <t>出精値引</t>
        </is>
      </c>
      <c r="C27" s="65" t="n"/>
      <c r="D27" s="65" t="n"/>
      <c r="E27" s="65" t="n"/>
      <c r="F27" s="65" t="n"/>
      <c r="G27" s="65" t="n"/>
      <c r="H27" s="65" t="n"/>
      <c r="I27" s="65" t="n"/>
      <c r="J27" s="65" t="n"/>
      <c r="K27" s="66">
        <f>IF(SUBMIT&lt;K26,SUBMIT-K26,0)</f>
        <v>-79200</v>
      </c>
      <c r="L27" s="67" t="n"/>
      <c r="M27" s="68" t="inlineStr">
        <is>
          <t>原価合計</t>
        </is>
      </c>
      <c r="N27" s="49">
        <f>K26</f>
        <v>1369200</v>
      </c>
      <c r="O27" s="69">
        <f>SUM(O23:O26)</f>
        <v>1024103</v>
      </c>
      <c r="P27" s="40" t="n"/>
      <c r="Q27" s="40" t="n"/>
    </row>
    <row r="28" ht="24" customHeight="1">
      <c r="A28" s="70" t="n"/>
      <c r="B28" s="71" t="inlineStr">
        <is>
          <t xml:space="preserve">　合　　計</t>
        </is>
      </c>
      <c r="C28" s="72" t="n"/>
      <c r="D28" s="72" t="n"/>
      <c r="E28" s="72" t="n"/>
      <c r="F28" s="72" t="n"/>
      <c r="G28" s="72" t="n"/>
      <c r="H28" s="72" t="n"/>
      <c r="I28" s="72" t="n"/>
      <c r="J28" s="72" t="n"/>
      <c r="K28" s="73">
        <f>K26+K27</f>
        <v>1290000</v>
      </c>
      <c r="L28" s="74" t="inlineStr">
        <is>
          <t>（税別）</t>
        </is>
      </c>
      <c r="M28" s="75" t="inlineStr">
        <is>
          <t>提出額（合計）／粗利／粗利率</t>
        </is>
      </c>
      <c r="N28" s="76">
        <f>K28</f>
        <v>1290000</v>
      </c>
      <c r="O28" s="77">
        <f>O27</f>
        <v>1024103</v>
      </c>
      <c r="P28" s="78">
        <f>N28-O28</f>
        <v>265897</v>
      </c>
      <c r="Q28" s="79">
        <f>IF(N28=0,"",P28/N28)</f>
        <v>0.20612170542635658</v>
      </c>
    </row>
    <row r="29" ht="8" customHeight="1"/>
    <row r="30">
      <c r="A30" s="80" t="inlineStr">
        <is>
          <t>上記の工事費には、以下の法定福利費相当額を含んでいます。</t>
        </is>
      </c>
      <c r="B30" s="13" t="n"/>
      <c r="C30" s="13" t="n"/>
      <c r="D30" s="13" t="n"/>
      <c r="E30" s="13" t="n"/>
      <c r="F30" s="13" t="n"/>
      <c r="G30" s="13" t="n"/>
      <c r="H30" s="13" t="n"/>
      <c r="I30" s="13" t="n"/>
      <c r="J30" s="13" t="n"/>
      <c r="K30" s="13" t="n"/>
      <c r="L30" s="81" t="n"/>
    </row>
    <row r="31">
      <c r="A31" s="82" t="str">
        <f>"【法定福利費相当額（Ａ）】"&amp;TEXT('法定福利費内訳明細書'!$F$27,"#,##0")&amp;"円　　Ａ＝Ｙ×Ｚ　Ｙ：労務費相当額 "&amp;TEXT('法定福利費内訳明細書'!$C$16,"#,##0")&amp;"円　Ｚ：法定福利費事業者負担率（合計値："&amp;TEXT('法定福利費内訳明細書'!$E$27*100,"0.000")&amp;"／100）"</f>
        <v>【法定福利費相当額（Ａ）】96,545円　　Ａ＝Ｙ×Ｚ　Ｙ：労務費相当額 589,610円　Ｚ：法定福利費事業者負担率（合計値：16.375／100）</v>
      </c>
      <c r="B31" s="4" t="n"/>
      <c r="C31" s="4" t="n"/>
      <c r="D31" s="4" t="n"/>
      <c r="E31" s="4" t="n"/>
      <c r="F31" s="4" t="n"/>
      <c r="G31" s="4" t="n"/>
      <c r="H31" s="4" t="n"/>
      <c r="I31" s="4" t="n"/>
      <c r="J31" s="4" t="n"/>
      <c r="K31" s="4" t="n"/>
      <c r="L31" s="83" t="n"/>
      <c r="M31" s="84" t="inlineStr">
        <is>
          <t>⚠ アラート（提出前に確認）</t>
        </is>
      </c>
      <c r="N31" s="85" t="n"/>
      <c r="O31" s="85" t="n"/>
      <c r="P31" s="85" t="n"/>
      <c r="Q31" s="85" t="n"/>
    </row>
    <row r="32">
      <c r="M32" s="86" t="inlineStr">
        <is>
          <t>要見積 2件：架台制作及び取付費（概算原価の合計）</t>
        </is>
      </c>
      <c r="N32" s="87">
        <f>'内訳書(空調設備工事)'!E14*'内訳書(空調設備工事)'!V14+'内訳書(空調設備工事)'!E15*'内訳書(空調設備工事)'!V15</f>
        <v>550000</v>
      </c>
      <c r="O32" s="48" t="str">
        <f>IF(INCLUDE_TBD=1,"概算を提出額に含めています","別途見積（提出額に含めていません）")</f>
        <v>別途見積（提出額に含めていません）</v>
      </c>
      <c r="P32" s="40" t="n"/>
      <c r="Q32" s="40" t="n"/>
    </row>
    <row r="33" ht="26.8" customHeight="1">
      <c r="A33" s="88" t="inlineStr">
        <is>
          <t>※</t>
        </is>
      </c>
      <c r="B33" s="89" t="inlineStr">
        <is>
          <t>本見積は2026年11月からの価格で作成しております。数量は換気空調機器表（F-01）・空調設備図（F-02-1）・平面図（A-08）より当社にて拾い出しており、実施数量との差異は別途精算とさせていただきます。</t>
        </is>
      </c>
      <c r="M33" s="86" t="inlineStr">
        <is>
          <t>要見積を概算で含めた場合の提出額（目安）</t>
        </is>
      </c>
      <c r="N33" s="87">
        <f>IF(INCLUDE_TBD=1,SUBMIT,ROUNDUP((COST_TOTAL+N32)/(1-TARGET_MARGIN)/ROUND_UNIT,0)*ROUND_UNIT)</f>
        <v>1970000</v>
      </c>
      <c r="O33" s="48" t="inlineStr">
        <is>
          <t>N11 を 1 にすると反映</t>
        </is>
      </c>
      <c r="P33" s="40" t="n"/>
      <c r="Q33" s="40" t="n"/>
    </row>
    <row r="34" ht="26.8" customHeight="1">
      <c r="A34" s="88" t="inlineStr">
        <is>
          <t>※</t>
        </is>
      </c>
      <c r="B34" s="89" t="inlineStr">
        <is>
          <t>空調機（AC-1・AC-2・RAC の室内機・室外機・リモコン）および吹出しパンカーは支給品のため含みません（搬入・吊込み・据付費を計上）。</t>
        </is>
      </c>
      <c r="M34" s="86" t="inlineStr">
        <is>
          <t>単価要確認 1件：ドレンホース用逆止弁</t>
        </is>
      </c>
      <c r="N34" s="87" t="n"/>
      <c r="O34" s="48" t="inlineStr">
        <is>
          <t>エスト単価なし。当社単価で仮計上</t>
        </is>
      </c>
      <c r="P34" s="40" t="n"/>
      <c r="Q34" s="40" t="n"/>
    </row>
    <row r="35" ht="14.9" customHeight="1">
      <c r="A35" s="88" t="inlineStr">
        <is>
          <t>※</t>
        </is>
      </c>
      <c r="B35" s="89" t="inlineStr">
        <is>
          <t>鉄骨架台（2段積み・溶融亜鉛メッキ）は製作品のため別途御見積とさせていただきます。</t>
        </is>
      </c>
      <c r="M35" s="86" t="inlineStr">
        <is>
          <t>エストと数量が異なる行 6件（内訳書 K列・エスト比較シート）</t>
        </is>
      </c>
      <c r="N35" s="87" t="n"/>
      <c r="O35" s="48" t="inlineStr">
        <is>
          <t>SA室外機3台（エスト2台）ほか</t>
        </is>
      </c>
      <c r="P35" s="40" t="n"/>
      <c r="Q35" s="40" t="n"/>
    </row>
    <row r="36" ht="26.8" customHeight="1">
      <c r="A36" s="88" t="inlineStr">
        <is>
          <t>※</t>
        </is>
      </c>
      <c r="B36" s="89" t="inlineStr">
        <is>
          <t>リモコン配線、AC-2 吹出しダクト・吹出しパンカー取付、換気設備、電源・接地等の電気工事、建築工事、揚重機、足場・仮設、撤去・産業廃棄物処分は含みません。</t>
        </is>
      </c>
      <c r="M36" s="90" t="inlineStr">
        <is>
          <t>定価ベース（エスト単価）で目標粗利に届くか</t>
        </is>
      </c>
      <c r="N36" s="77" t="n"/>
      <c r="O36" s="91" t="str">
        <f>IF(SUBMIT&gt;K26,"⚠ 値引きなしでも粗利率 "&amp;TEXT((K26-COST_TOTAL)/K26,"0.0%")&amp;"（目標未達）","OK（出精値引で調整）")</f>
        <v>OK（出精値引で調整）</v>
      </c>
      <c r="P36" s="92" t="n"/>
      <c r="Q36" s="92" t="n"/>
    </row>
    <row r="37" ht="26.8" customHeight="1">
      <c r="A37" s="88" t="inlineStr">
        <is>
          <t>※</t>
        </is>
      </c>
      <c r="B37" s="89" t="inlineStr">
        <is>
          <t>本見積書に記載なき事項については別途とさせて頂きます。工事に係る電気・水道は無償支給願います。本見積金額には消費税は含まれておりません。</t>
        </is>
      </c>
    </row>
    <row r="38" ht="14.9" customHeight="1">
      <c r="A38" s="88" t="inlineStr">
        <is>
          <t>※</t>
        </is>
      </c>
      <c r="B38" s="89" t="inlineStr">
        <is>
          <t>詳細条件は別紙「御見積条件」をご参照ください。</t>
        </is>
      </c>
      <c r="M38" s="93" t="inlineStr">
        <is>
          <t>参考（感度・エストとの比較）</t>
        </is>
      </c>
      <c r="N38" s="94" t="inlineStr">
        <is>
          <t>金額</t>
        </is>
      </c>
      <c r="O38" s="94" t="inlineStr">
        <is>
          <t>原価</t>
        </is>
      </c>
      <c r="P38" s="95" t="n"/>
      <c r="Q38" s="94" t="inlineStr">
        <is>
          <t>粗利率</t>
        </is>
      </c>
    </row>
    <row r="39">
      <c r="M39" s="48" t="inlineStr">
        <is>
          <t>エスト見積 6330560-1 の提出額（当社数量・当社原価で見た粗利率）</t>
        </is>
      </c>
      <c r="N39" s="87" t="n">
        <v>1100000</v>
      </c>
      <c r="O39" s="87">
        <f>COST_TOTAL</f>
        <v>1024103</v>
      </c>
      <c r="P39" s="40" t="n"/>
      <c r="Q39" s="50">
        <f>(N39-O39)/N39</f>
        <v>0.06899727272727273</v>
      </c>
    </row>
    <row r="40">
      <c r="M40" s="48" t="inlineStr">
        <is>
          <t>労務を公共工事設計労務単価（広島 配管工 24,700）で計算した場合</t>
        </is>
      </c>
      <c r="N40" s="87">
        <f>K28</f>
        <v>1290000</v>
      </c>
      <c r="O40" s="87">
        <f>COST_TOTAL+'内訳書(空調設備工事)'!M64*(N44-LABOR_COST)*(1+WELFARE_RATE)</f>
        <v>1176013.920875</v>
      </c>
      <c r="P40" s="40" t="n"/>
      <c r="Q40" s="50">
        <f>(N40-O40)/N40</f>
        <v>0.08836130164728677</v>
      </c>
    </row>
    <row r="41">
      <c r="M41" s="48" t="inlineStr">
        <is>
          <t>出精値引率（変更増減の算定に使用：増減額×(1－この率)）</t>
        </is>
      </c>
      <c r="N41" s="50">
        <f>IF(K26=0,"",-K27/K26)</f>
        <v>0.057843996494303246</v>
      </c>
      <c r="O41" s="87" t="n"/>
      <c r="P41" s="40" t="n"/>
      <c r="Q41" s="50" t="n"/>
    </row>
    <row r="42">
      <c r="M42" s="91" t="inlineStr">
        <is>
          <t>人工合計（内訳書）</t>
        </is>
      </c>
      <c r="N42" s="96">
        <f>'内訳書(空調設備工事)'!M64</f>
        <v>22.900999999999996</v>
      </c>
      <c r="O42" s="77" t="n"/>
      <c r="P42" s="92" t="n"/>
      <c r="Q42" s="97" t="n"/>
    </row>
    <row r="44">
      <c r="M44" s="98" t="inlineStr">
        <is>
          <t>公共工事設計労務単価 広島 配管工（R8.3）</t>
        </is>
      </c>
      <c r="N44" s="99" t="n">
        <v>24700</v>
      </c>
    </row>
    <row r="46">
      <c r="M46" s="8" t="inlineStr">
        <is>
          <t>粗利率別 参考提出額（税別・万円未満切上げ）</t>
        </is>
      </c>
      <c r="N46" s="100" t="inlineStr">
        <is>
          <t>参考提出額</t>
        </is>
      </c>
      <c r="O46" s="100" t="inlineStr">
        <is>
          <t>出精値引率</t>
        </is>
      </c>
    </row>
    <row r="47">
      <c r="M47" s="101" t="n">
        <v>0.1</v>
      </c>
      <c r="N47" s="43">
        <f>ROUNDUP(COST_TOTAL/(1-M47),-4)</f>
        <v>1140000</v>
      </c>
      <c r="O47" s="102">
        <f>IF(K26=0,"",1-N47/K26)</f>
        <v>0.16739702015775637</v>
      </c>
    </row>
    <row r="48">
      <c r="M48" s="101" t="n">
        <v>0.15</v>
      </c>
      <c r="N48" s="43">
        <f>ROUNDUP(COST_TOTAL/(1-M48),-4)</f>
        <v>1210000</v>
      </c>
      <c r="O48" s="102">
        <f>IF(K26=0,"",1-N48/K26)</f>
        <v>0.11627227578147825</v>
      </c>
    </row>
    <row r="49">
      <c r="M49" s="101" t="n">
        <v>0.2</v>
      </c>
      <c r="N49" s="43">
        <f>ROUNDUP(COST_TOTAL/(1-M49),-4)</f>
        <v>1290000</v>
      </c>
      <c r="O49" s="102">
        <f>IF(K26=0,"",1-N49/K26)</f>
        <v>0.057843996494303274</v>
      </c>
    </row>
    <row r="50">
      <c r="M50" s="101" t="n">
        <v>0.25</v>
      </c>
      <c r="N50" s="43">
        <f>ROUNDUP(COST_TOTAL/(1-M50),-4)</f>
        <v>1370000</v>
      </c>
      <c r="O50" s="102">
        <f>IF(K26=0,"",1-N50/K26)</f>
        <v>-0.0005842827928717043</v>
      </c>
    </row>
    <row r="51">
      <c r="M51" s="101" t="n">
        <v>0.3</v>
      </c>
      <c r="N51" s="43">
        <f>ROUNDUP(COST_TOTAL/(1-M51),-4)</f>
        <v>1470000</v>
      </c>
      <c r="O51" s="102">
        <f>IF(K26=0,"",1-N51/K26)</f>
        <v>-0.07361963190184051</v>
      </c>
    </row>
  </sheetData>
  <mergeCells count="48">
    <mergeCell ref="B35:L35"/>
    <mergeCell ref="A15:B15"/>
    <mergeCell ref="D12:G12"/>
    <mergeCell ref="O32:Q32"/>
    <mergeCell ref="B25:F25"/>
    <mergeCell ref="O35:Q35"/>
    <mergeCell ref="I27:J27"/>
    <mergeCell ref="D17:L17"/>
    <mergeCell ref="J4:L4"/>
    <mergeCell ref="B22:F22"/>
    <mergeCell ref="I26:J26"/>
    <mergeCell ref="B27:F27"/>
    <mergeCell ref="D16:L16"/>
    <mergeCell ref="D14:G14"/>
    <mergeCell ref="A16:B16"/>
    <mergeCell ref="B21:L21"/>
    <mergeCell ref="A5:F5"/>
    <mergeCell ref="I25:J25"/>
    <mergeCell ref="A1:L2"/>
    <mergeCell ref="B7:E7"/>
    <mergeCell ref="B23:F23"/>
    <mergeCell ref="I22:J22"/>
    <mergeCell ref="I28:J28"/>
    <mergeCell ref="A12:B12"/>
    <mergeCell ref="D15:L15"/>
    <mergeCell ref="B38:L38"/>
    <mergeCell ref="I24:J24"/>
    <mergeCell ref="B28:F28"/>
    <mergeCell ref="A9:F9"/>
    <mergeCell ref="B19:F19"/>
    <mergeCell ref="A31:L31"/>
    <mergeCell ref="B34:L34"/>
    <mergeCell ref="A14:B14"/>
    <mergeCell ref="I23:J23"/>
    <mergeCell ref="B37:L37"/>
    <mergeCell ref="D13:G13"/>
    <mergeCell ref="A17:B17"/>
    <mergeCell ref="O34:Q34"/>
    <mergeCell ref="A30:L30"/>
    <mergeCell ref="O33:Q33"/>
    <mergeCell ref="B24:F24"/>
    <mergeCell ref="B33:L33"/>
    <mergeCell ref="I19:J19"/>
    <mergeCell ref="O36:Q36"/>
    <mergeCell ref="B20:L20"/>
    <mergeCell ref="B36:L36"/>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AC64"/>
  <sheetViews>
    <sheetView showGridLines="0" tabSelected="0" workbookViewId="0">
      <pane ySplit="3" topLeftCell="A4" activePane="bottomLeft" state="frozen"/>
      <selection pane="bottomLeft"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2" customWidth="1" min="10" max="10"/>
    <col width="11" customWidth="1" min="11" max="11"/>
    <col width="10" customWidth="1" min="12" max="12"/>
    <col width="7" customWidth="1" min="13" max="13"/>
    <col width="10" customWidth="1" min="14" max="14"/>
    <col width="10" customWidth="1" min="15" max="15"/>
    <col width="12" customWidth="1" min="16" max="16"/>
    <col width="11" customWidth="1" min="17" max="17"/>
    <col width="12" customWidth="1" min="18" max="18"/>
    <col width="11" customWidth="1" min="19" max="19"/>
    <col width="8" customWidth="1" min="20" max="20"/>
    <col width="8" customWidth="1" min="21" max="21"/>
    <col width="11" customWidth="1" min="22" max="22"/>
    <col width="7" customWidth="1" min="23" max="23"/>
    <col width="9" customWidth="1" min="24" max="24"/>
    <col width="11" customWidth="1" min="25" max="25"/>
    <col width="11" customWidth="1" min="26" max="26"/>
    <col width="40" customWidth="1" min="27" max="27"/>
    <col width="11" customWidth="1" min="28" max="28"/>
    <col width="70" customWidth="1" min="29" max="29"/>
  </cols>
  <sheetData>
    <row r="1" ht="26" customHeight="1">
      <c r="A1" s="103" t="inlineStr">
        <is>
          <t>内　訳　書</t>
        </is>
      </c>
      <c r="J1" s="104" t="inlineStr">
        <is>
          <t>原　価・エスト比較（内部用・印刷範囲外）　黄セル＝入力、赤＝要見積、橙＝単価要確認・エストと数量差</t>
        </is>
      </c>
      <c r="K1" s="105" t="n"/>
      <c r="L1" s="105" t="n"/>
      <c r="M1" s="105" t="n"/>
      <c r="N1" s="105" t="n"/>
      <c r="O1" s="105" t="n"/>
      <c r="P1" s="105" t="n"/>
      <c r="Q1" s="105" t="n"/>
      <c r="R1" s="105" t="n"/>
      <c r="S1" s="105" t="n"/>
      <c r="T1" s="105" t="n"/>
      <c r="U1" s="105" t="n"/>
      <c r="V1" s="105" t="n"/>
      <c r="W1" s="105" t="n"/>
      <c r="X1" s="105" t="n"/>
      <c r="Y1" s="105" t="n"/>
      <c r="Z1" s="105" t="n"/>
      <c r="AA1" s="105" t="n"/>
      <c r="AB1" s="105" t="n"/>
      <c r="AC1" s="105" t="n"/>
    </row>
    <row r="2" ht="18" customHeight="1">
      <c r="A2" s="21" t="inlineStr">
        <is>
          <t>工事名：吉野家　呉海岸店　空調設備工事</t>
        </is>
      </c>
      <c r="I2" s="2" t="inlineStr">
        <is>
          <t>内訳書 No.1</t>
        </is>
      </c>
    </row>
    <row r="3" ht="22" customHeight="1">
      <c r="A3" s="106" t="inlineStr">
        <is>
          <t>品　　名</t>
        </is>
      </c>
      <c r="B3" s="32" t="n"/>
      <c r="C3" s="107" t="inlineStr">
        <is>
          <t>規格・寸法</t>
        </is>
      </c>
      <c r="D3" s="32" t="n"/>
      <c r="E3" s="107" t="inlineStr">
        <is>
          <t>数 量</t>
        </is>
      </c>
      <c r="F3" s="107" t="inlineStr">
        <is>
          <t>単位</t>
        </is>
      </c>
      <c r="G3" s="107" t="inlineStr">
        <is>
          <t>単　価</t>
        </is>
      </c>
      <c r="H3" s="107" t="inlineStr">
        <is>
          <t>金　　額</t>
        </is>
      </c>
      <c r="I3" s="108" t="inlineStr">
        <is>
          <t>備　考</t>
        </is>
      </c>
      <c r="J3" s="109" t="inlineStr">
        <is>
          <t>単価区分</t>
        </is>
      </c>
      <c r="K3" s="109" t="inlineStr">
        <is>
          <t>アラート</t>
        </is>
      </c>
      <c r="L3" s="109" t="inlineStr">
        <is>
          <t>材料原価/単位</t>
        </is>
      </c>
      <c r="M3" s="109" t="inlineStr">
        <is>
          <t>人工/単位</t>
        </is>
      </c>
      <c r="N3" s="109" t="inlineStr">
        <is>
          <t>労務原価/単位</t>
        </is>
      </c>
      <c r="O3" s="109" t="inlineStr">
        <is>
          <t>原価単価</t>
        </is>
      </c>
      <c r="P3" s="109" t="inlineStr">
        <is>
          <t>原価金額</t>
        </is>
      </c>
      <c r="Q3" s="109" t="inlineStr">
        <is>
          <t>労務原価金額</t>
        </is>
      </c>
      <c r="R3" s="109" t="inlineStr">
        <is>
          <t>労務費相当額(提出)</t>
        </is>
      </c>
      <c r="S3" s="109" t="inlineStr">
        <is>
          <t>粗利(定価)</t>
        </is>
      </c>
      <c r="T3" s="109" t="inlineStr">
        <is>
          <t>粗利率</t>
        </is>
      </c>
      <c r="U3" s="109" t="inlineStr">
        <is>
          <t>率・歩掛</t>
        </is>
      </c>
      <c r="V3" s="109" t="inlineStr">
        <is>
          <t>要見積 概算原価/単位</t>
        </is>
      </c>
      <c r="W3" s="109" t="inlineStr">
        <is>
          <t>エスト数量</t>
        </is>
      </c>
      <c r="X3" s="109" t="inlineStr">
        <is>
          <t>エスト単価</t>
        </is>
      </c>
      <c r="Y3" s="109" t="inlineStr">
        <is>
          <t>エスト金額</t>
        </is>
      </c>
      <c r="Z3" s="109" t="inlineStr">
        <is>
          <t>差額(当社-エスト)</t>
        </is>
      </c>
      <c r="AA3" s="109" t="inlineStr">
        <is>
          <t>エストマスタ参考</t>
        </is>
      </c>
      <c r="AB3" s="109" t="inlineStr">
        <is>
          <t>数量根拠</t>
        </is>
      </c>
      <c r="AC3" s="109" t="inlineStr">
        <is>
          <t>出典・メモ（内部）</t>
        </is>
      </c>
    </row>
    <row r="4" ht="18" customHeight="1">
      <c r="A4" s="110" t="inlineStr">
        <is>
          <t>空気調和工事</t>
        </is>
      </c>
      <c r="B4" s="111" t="n"/>
      <c r="C4" s="111" t="n"/>
      <c r="D4" s="111" t="n"/>
      <c r="E4" s="111" t="n"/>
      <c r="F4" s="111" t="n"/>
      <c r="G4" s="111" t="n"/>
      <c r="H4" s="111" t="n"/>
      <c r="I4" s="112" t="n"/>
      <c r="J4" s="111" t="n"/>
      <c r="K4" s="111" t="n"/>
      <c r="L4" s="111" t="n"/>
      <c r="M4" s="111" t="n"/>
      <c r="N4" s="111" t="n"/>
      <c r="O4" s="111" t="n"/>
      <c r="P4" s="111" t="n"/>
      <c r="Q4" s="111" t="n"/>
      <c r="R4" s="111" t="n"/>
      <c r="S4" s="111" t="n"/>
      <c r="T4" s="111" t="n"/>
      <c r="U4" s="111" t="n"/>
      <c r="V4" s="111" t="n"/>
      <c r="W4" s="111" t="n"/>
      <c r="X4" s="111" t="n"/>
      <c r="Y4" s="111" t="n"/>
      <c r="Z4" s="111" t="n"/>
      <c r="AA4" s="111" t="n"/>
      <c r="AB4" s="111" t="n"/>
      <c r="AC4" s="111" t="n"/>
    </row>
    <row r="5" ht="20" customHeight="1">
      <c r="A5" s="113" t="inlineStr">
        <is>
          <t>２　空調設備工事</t>
        </is>
      </c>
      <c r="B5" s="40" t="n"/>
      <c r="C5" s="40" t="n"/>
      <c r="D5" s="40" t="n"/>
      <c r="E5" s="40" t="n"/>
      <c r="F5" s="40" t="n"/>
      <c r="G5" s="40" t="n"/>
      <c r="H5" s="40" t="n"/>
      <c r="I5" s="114" t="n"/>
      <c r="J5" s="40" t="n"/>
      <c r="K5" s="40" t="n"/>
      <c r="L5" s="40" t="n"/>
      <c r="M5" s="40" t="n"/>
      <c r="N5" s="40" t="n"/>
      <c r="O5" s="40" t="n"/>
      <c r="P5" s="40" t="n"/>
      <c r="Q5" s="40" t="n"/>
      <c r="R5" s="40" t="n"/>
      <c r="S5" s="40" t="n"/>
      <c r="T5" s="40" t="n"/>
      <c r="U5" s="40" t="n"/>
      <c r="V5" s="40" t="n"/>
      <c r="W5" s="40" t="n"/>
      <c r="X5" s="40" t="n"/>
      <c r="Y5" s="40" t="n"/>
      <c r="Z5" s="40" t="n"/>
      <c r="AA5" s="40" t="n"/>
      <c r="AB5" s="40" t="n"/>
      <c r="AC5" s="40" t="n"/>
    </row>
    <row r="6" ht="18" customHeight="1">
      <c r="A6" s="115" t="inlineStr">
        <is>
          <t xml:space="preserve">　搬入据付工事</t>
        </is>
      </c>
      <c r="B6" s="40" t="n"/>
      <c r="C6" s="40" t="n"/>
      <c r="D6" s="40" t="n"/>
      <c r="E6" s="40" t="n"/>
      <c r="F6" s="40" t="n"/>
      <c r="G6" s="40" t="n"/>
      <c r="H6" s="40" t="n"/>
      <c r="I6" s="114" t="n"/>
      <c r="J6" s="40" t="n"/>
      <c r="K6" s="40" t="n"/>
      <c r="L6" s="40" t="n"/>
      <c r="M6" s="40" t="n"/>
      <c r="N6" s="40" t="n"/>
      <c r="O6" s="40" t="n"/>
      <c r="P6" s="40" t="n"/>
      <c r="Q6" s="40" t="n"/>
      <c r="R6" s="40" t="n"/>
      <c r="S6" s="40" t="n"/>
      <c r="T6" s="40" t="n"/>
      <c r="U6" s="40" t="n"/>
      <c r="V6" s="40" t="n"/>
      <c r="W6" s="40" t="n"/>
      <c r="X6" s="40" t="n"/>
      <c r="Y6" s="40" t="n"/>
      <c r="Z6" s="40" t="n"/>
      <c r="AA6" s="40" t="n"/>
      <c r="AB6" s="40" t="n"/>
      <c r="AC6" s="40" t="n"/>
    </row>
    <row r="7" ht="26.5" customHeight="1">
      <c r="A7" s="116" t="inlineStr">
        <is>
          <t xml:space="preserve">　　RA 室外機</t>
        </is>
      </c>
      <c r="B7" s="40" t="n"/>
      <c r="C7" s="117" t="inlineStr">
        <is>
          <t>セパレート2.2-5.0（店長室 RAC）架台上段</t>
        </is>
      </c>
      <c r="D7" s="40" t="n"/>
      <c r="E7" s="118" t="n">
        <v>1</v>
      </c>
      <c r="F7" s="119" t="inlineStr">
        <is>
          <t>台</t>
        </is>
      </c>
      <c r="G7" s="118" t="n">
        <v>6250</v>
      </c>
      <c r="H7" s="120">
        <f>ROUND(E7*G7,0)</f>
        <v>6250</v>
      </c>
      <c r="I7" s="121" t="inlineStr">
        <is>
          <t>支給品の据付</t>
        </is>
      </c>
      <c r="J7" s="122" t="inlineStr">
        <is>
          <t>エスト見積</t>
        </is>
      </c>
      <c r="K7" s="122" t="n"/>
      <c r="L7" s="123" t="n">
        <v>500</v>
      </c>
      <c r="M7" s="124" t="n">
        <v>0.5</v>
      </c>
      <c r="N7" s="118">
        <f>ROUND(M7*LABOR_COST,0)</f>
        <v>9500</v>
      </c>
      <c r="O7" s="118">
        <f>L7+N7</f>
        <v>10000</v>
      </c>
      <c r="P7" s="120">
        <f>E7*O7</f>
        <v>10000</v>
      </c>
      <c r="Q7" s="120">
        <f>E7*N7</f>
        <v>9500</v>
      </c>
      <c r="R7" s="120">
        <f>IF(H7=0,0,IF(E7*M7*EST_LABOR_PIPE&gt;H7,H7,E7*M7*EST_LABOR_PIPE))</f>
        <v>6250</v>
      </c>
      <c r="S7" s="120">
        <f>IF(H7="","",H7-P7)</f>
        <v>-3750</v>
      </c>
      <c r="T7" s="125">
        <f>IF(OR(H7="",H7=0),"",S7/H7)</f>
        <v>-0.6</v>
      </c>
      <c r="U7" s="40" t="n"/>
      <c r="V7" s="40" t="n"/>
      <c r="W7" s="126" t="n">
        <v>1</v>
      </c>
      <c r="X7" s="118" t="n">
        <v>6250</v>
      </c>
      <c r="Y7" s="120" t="n">
        <v>6250</v>
      </c>
      <c r="Z7" s="120">
        <f>H7-Y7</f>
        <v>0</v>
      </c>
      <c r="AA7" s="127" t="inlineStr">
        <is>
          <t>RA室外機 地上設置 P22 2,000</t>
        </is>
      </c>
      <c r="AB7" s="122" t="inlineStr">
        <is>
          <t>図面カウント</t>
        </is>
      </c>
      <c r="AC7" s="127" t="inlineStr">
        <is>
          <t>架台上段への揚重を人工に含む</t>
        </is>
      </c>
    </row>
    <row r="8" ht="18" customHeight="1">
      <c r="A8" s="116" t="inlineStr">
        <is>
          <t xml:space="preserve">　　RA 室内機</t>
        </is>
      </c>
      <c r="B8" s="40" t="n"/>
      <c r="C8" s="128" t="inlineStr">
        <is>
          <t>壁掛 2.2kW（店長室）</t>
        </is>
      </c>
      <c r="D8" s="40" t="n"/>
      <c r="E8" s="118" t="n">
        <v>1</v>
      </c>
      <c r="F8" s="119" t="inlineStr">
        <is>
          <t>台</t>
        </is>
      </c>
      <c r="G8" s="118" t="n">
        <v>6250</v>
      </c>
      <c r="H8" s="120">
        <f>ROUND(E8*G8,0)</f>
        <v>6250</v>
      </c>
      <c r="I8" s="121" t="inlineStr">
        <is>
          <t>支給品の据付</t>
        </is>
      </c>
      <c r="J8" s="122" t="inlineStr">
        <is>
          <t>エスト見積</t>
        </is>
      </c>
      <c r="K8" s="122" t="n"/>
      <c r="L8" s="123" t="n">
        <v>500</v>
      </c>
      <c r="M8" s="124" t="n">
        <v>0.4</v>
      </c>
      <c r="N8" s="118">
        <f>ROUND(M8*LABOR_COST,0)</f>
        <v>7600</v>
      </c>
      <c r="O8" s="118">
        <f>L8+N8</f>
        <v>8100</v>
      </c>
      <c r="P8" s="120">
        <f>E8*O8</f>
        <v>8100</v>
      </c>
      <c r="Q8" s="120">
        <f>E8*N8</f>
        <v>7600</v>
      </c>
      <c r="R8" s="120">
        <f>IF(H8=0,0,IF(E8*M8*EST_LABOR_PIPE&gt;H8,H8,E8*M8*EST_LABOR_PIPE))</f>
        <v>6250</v>
      </c>
      <c r="S8" s="120">
        <f>IF(H8="","",H8-P8)</f>
        <v>-1850</v>
      </c>
      <c r="T8" s="125">
        <f>IF(OR(H8="",H8=0),"",S8/H8)</f>
        <v>-0.296</v>
      </c>
      <c r="U8" s="40" t="n"/>
      <c r="V8" s="40" t="n"/>
      <c r="W8" s="126" t="n">
        <v>1</v>
      </c>
      <c r="X8" s="118" t="n">
        <v>6250</v>
      </c>
      <c r="Y8" s="120" t="n">
        <v>6250</v>
      </c>
      <c r="Z8" s="120">
        <f>H8-Y8</f>
        <v>0</v>
      </c>
      <c r="AA8" s="127" t="inlineStr">
        <is>
          <t>RA室内機 壁掛形 P22 5,000</t>
        </is>
      </c>
      <c r="AB8" s="122" t="inlineStr">
        <is>
          <t>図面カウント</t>
        </is>
      </c>
      <c r="AC8" s="127" t="n"/>
    </row>
    <row r="9" ht="18" customHeight="1">
      <c r="A9" s="116" t="inlineStr">
        <is>
          <t xml:space="preserve">　　SA 室外機</t>
        </is>
      </c>
      <c r="B9" s="40" t="n"/>
      <c r="C9" s="128" t="inlineStr">
        <is>
          <t>11.2-16.0（AC-1×2・AC-2、5HP）</t>
        </is>
      </c>
      <c r="D9" s="40" t="n"/>
      <c r="E9" s="118" t="n">
        <v>3</v>
      </c>
      <c r="F9" s="119" t="inlineStr">
        <is>
          <t>台</t>
        </is>
      </c>
      <c r="G9" s="118" t="n">
        <v>8750</v>
      </c>
      <c r="H9" s="120">
        <f>ROUND(E9*G9,0)</f>
        <v>26250</v>
      </c>
      <c r="I9" s="121" t="inlineStr">
        <is>
          <t>支給品の据付</t>
        </is>
      </c>
      <c r="J9" s="122" t="inlineStr">
        <is>
          <t>エスト見積</t>
        </is>
      </c>
      <c r="K9" s="129" t="inlineStr">
        <is>
          <t>エストと数量差</t>
        </is>
      </c>
      <c r="L9" s="123" t="n">
        <v>1500</v>
      </c>
      <c r="M9" s="124" t="n">
        <v>0.967</v>
      </c>
      <c r="N9" s="118">
        <f>ROUND(M9*LABOR_COST,0)</f>
        <v>18373</v>
      </c>
      <c r="O9" s="118">
        <f>L9+N9</f>
        <v>19873</v>
      </c>
      <c r="P9" s="120">
        <f>E9*O9</f>
        <v>59619</v>
      </c>
      <c r="Q9" s="120">
        <f>E9*N9</f>
        <v>55119</v>
      </c>
      <c r="R9" s="120">
        <f>IF(H9=0,0,IF(E9*M9*EST_LABOR_PIPE&gt;H9,H9,E9*M9*EST_LABOR_PIPE))</f>
        <v>26250</v>
      </c>
      <c r="S9" s="120">
        <f>IF(H9="","",H9-P9)</f>
        <v>-33369</v>
      </c>
      <c r="T9" s="125">
        <f>IF(OR(H9="",H9=0),"",S9/H9)</f>
        <v>-1.2712</v>
      </c>
      <c r="U9" s="40" t="n"/>
      <c r="V9" s="40" t="n"/>
      <c r="W9" s="126" t="n">
        <v>2</v>
      </c>
      <c r="X9" s="118" t="n">
        <v>8750</v>
      </c>
      <c r="Y9" s="120" t="n">
        <v>17500</v>
      </c>
      <c r="Z9" s="120">
        <f>H9-Y9</f>
        <v>8750</v>
      </c>
      <c r="AA9" s="127" t="inlineStr">
        <is>
          <t>SA室外機 地上設置 P140 15,000</t>
        </is>
      </c>
      <c r="AB9" s="122" t="inlineStr">
        <is>
          <t>図面カウント</t>
        </is>
      </c>
      <c r="AC9" s="127" t="inlineStr">
        <is>
          <t>架台下段2台 0.8人・上段1台 1.3人（揚重）の平均。エストは2台（AC-1を1系統と入力した可能性）</t>
        </is>
      </c>
    </row>
    <row r="10" ht="26.5" customHeight="1">
      <c r="A10" s="116" t="inlineStr">
        <is>
          <t xml:space="preserve">　　SA 室内機</t>
        </is>
      </c>
      <c r="B10" s="40" t="n"/>
      <c r="C10" s="117" t="inlineStr">
        <is>
          <t>ダクト形11.2-16（AC-2 天井ビルトイン 5HP）</t>
        </is>
      </c>
      <c r="D10" s="40" t="n"/>
      <c r="E10" s="118" t="n">
        <v>1</v>
      </c>
      <c r="F10" s="119" t="inlineStr">
        <is>
          <t>台</t>
        </is>
      </c>
      <c r="G10" s="118" t="n">
        <v>27500</v>
      </c>
      <c r="H10" s="120">
        <f>ROUND(E10*G10,0)</f>
        <v>27500</v>
      </c>
      <c r="I10" s="121" t="inlineStr">
        <is>
          <t>支給品の吊込み</t>
        </is>
      </c>
      <c r="J10" s="122" t="inlineStr">
        <is>
          <t>エスト見積</t>
        </is>
      </c>
      <c r="K10" s="122" t="n"/>
      <c r="L10" s="123" t="n">
        <v>2500</v>
      </c>
      <c r="M10" s="124" t="n">
        <v>1.2</v>
      </c>
      <c r="N10" s="118">
        <f>ROUND(M10*LABOR_COST,0)</f>
        <v>22800</v>
      </c>
      <c r="O10" s="118">
        <f>L10+N10</f>
        <v>25300</v>
      </c>
      <c r="P10" s="120">
        <f>E10*O10</f>
        <v>25300</v>
      </c>
      <c r="Q10" s="120">
        <f>E10*N10</f>
        <v>22800</v>
      </c>
      <c r="R10" s="120">
        <f>IF(H10=0,0,IF(E10*M10*EST_LABOR_PIPE&gt;H10,H10,E10*M10*EST_LABOR_PIPE))</f>
        <v>27500</v>
      </c>
      <c r="S10" s="120">
        <f>IF(H10="","",H10-P10)</f>
        <v>2200</v>
      </c>
      <c r="T10" s="125">
        <f>IF(OR(H10="",H10=0),"",S10/H10)</f>
        <v>0.08</v>
      </c>
      <c r="U10" s="40" t="n"/>
      <c r="V10" s="40" t="n"/>
      <c r="W10" s="126" t="n">
        <v>1</v>
      </c>
      <c r="X10" s="118" t="n">
        <v>27500</v>
      </c>
      <c r="Y10" s="120" t="n">
        <v>27500</v>
      </c>
      <c r="Z10" s="120">
        <f>H10-Y10</f>
        <v>0</v>
      </c>
      <c r="AA10" s="127" t="inlineStr">
        <is>
          <t>SA室内機 ダクト形 P140 23,000</t>
        </is>
      </c>
      <c r="AB10" s="122" t="inlineStr">
        <is>
          <t>図面カウント</t>
        </is>
      </c>
      <c r="AC10" s="127" t="inlineStr">
        <is>
          <t>吊ボルト・受け金物共</t>
        </is>
      </c>
    </row>
    <row r="11" ht="26.5" customHeight="1">
      <c r="A11" s="116" t="inlineStr">
        <is>
          <t xml:space="preserve">　　SA 室内機</t>
        </is>
      </c>
      <c r="B11" s="40" t="n"/>
      <c r="C11" s="117" t="inlineStr">
        <is>
          <t>カセット形2.8-16（AC-1 天井カセット 5HP）</t>
        </is>
      </c>
      <c r="D11" s="40" t="n"/>
      <c r="E11" s="118" t="n">
        <v>2</v>
      </c>
      <c r="F11" s="119" t="inlineStr">
        <is>
          <t>台</t>
        </is>
      </c>
      <c r="G11" s="118" t="n">
        <v>25000</v>
      </c>
      <c r="H11" s="120">
        <f>ROUND(E11*G11,0)</f>
        <v>50000</v>
      </c>
      <c r="I11" s="121" t="inlineStr">
        <is>
          <t>支給品の吊込み</t>
        </is>
      </c>
      <c r="J11" s="122" t="inlineStr">
        <is>
          <t>エスト見積</t>
        </is>
      </c>
      <c r="K11" s="122" t="n"/>
      <c r="L11" s="123" t="n">
        <v>2000</v>
      </c>
      <c r="M11" s="124" t="n">
        <v>0.9</v>
      </c>
      <c r="N11" s="118">
        <f>ROUND(M11*LABOR_COST,0)</f>
        <v>17100</v>
      </c>
      <c r="O11" s="118">
        <f>L11+N11</f>
        <v>19100</v>
      </c>
      <c r="P11" s="120">
        <f>E11*O11</f>
        <v>38200</v>
      </c>
      <c r="Q11" s="120">
        <f>E11*N11</f>
        <v>34200</v>
      </c>
      <c r="R11" s="120">
        <f>IF(H11=0,0,IF(E11*M11*EST_LABOR_PIPE&gt;H11,H11,E11*M11*EST_LABOR_PIPE))</f>
        <v>50000</v>
      </c>
      <c r="S11" s="120">
        <f>IF(H11="","",H11-P11)</f>
        <v>11800</v>
      </c>
      <c r="T11" s="125">
        <f>IF(OR(H11="",H11=0),"",S11/H11)</f>
        <v>0.236</v>
      </c>
      <c r="U11" s="40" t="n"/>
      <c r="V11" s="40" t="n"/>
      <c r="W11" s="126" t="n">
        <v>2</v>
      </c>
      <c r="X11" s="118" t="n">
        <v>25000</v>
      </c>
      <c r="Y11" s="120" t="n">
        <v>50000</v>
      </c>
      <c r="Z11" s="120">
        <f>H11-Y11</f>
        <v>0</v>
      </c>
      <c r="AA11" s="127" t="inlineStr">
        <is>
          <t>SA室内機 天井埋込カセット形 P140 29,000</t>
        </is>
      </c>
      <c r="AB11" s="122" t="inlineStr">
        <is>
          <t>図面カウント</t>
        </is>
      </c>
      <c r="AC11" s="127" t="inlineStr">
        <is>
          <t>吊ボルト・受け金物・化粧パネル取付共</t>
        </is>
      </c>
    </row>
    <row r="12" ht="18" customHeight="1">
      <c r="A12" s="115" t="inlineStr">
        <is>
          <t xml:space="preserve">　基礎工事</t>
        </is>
      </c>
      <c r="B12" s="40" t="n"/>
      <c r="C12" s="40" t="n"/>
      <c r="D12" s="40" t="n"/>
      <c r="E12" s="40" t="n"/>
      <c r="F12" s="40" t="n"/>
      <c r="G12" s="40" t="n"/>
      <c r="H12" s="40" t="n"/>
      <c r="I12" s="114"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row>
    <row r="13" ht="18" customHeight="1">
      <c r="A13" s="116" t="inlineStr">
        <is>
          <t xml:space="preserve">　　縁石</t>
        </is>
      </c>
      <c r="B13" s="40" t="n"/>
      <c r="C13" s="128" t="inlineStr">
        <is>
          <t>22.4-28.0（2段架台用）</t>
        </is>
      </c>
      <c r="D13" s="40" t="n"/>
      <c r="E13" s="118" t="n">
        <v>2</v>
      </c>
      <c r="F13" s="119" t="inlineStr">
        <is>
          <t>台</t>
        </is>
      </c>
      <c r="G13" s="118" t="n">
        <v>7500</v>
      </c>
      <c r="H13" s="120">
        <f>ROUND(E13*G13,0)</f>
        <v>15000</v>
      </c>
      <c r="I13" s="121" t="n"/>
      <c r="J13" s="122" t="inlineStr">
        <is>
          <t>エスト見積</t>
        </is>
      </c>
      <c r="K13" s="122" t="n"/>
      <c r="L13" s="123" t="n">
        <v>3000</v>
      </c>
      <c r="M13" s="124" t="n">
        <v>0.15</v>
      </c>
      <c r="N13" s="118">
        <f>ROUND(M13*LABOR_COST,0)</f>
        <v>2850</v>
      </c>
      <c r="O13" s="118">
        <f>L13+N13</f>
        <v>5850</v>
      </c>
      <c r="P13" s="120">
        <f>E13*O13</f>
        <v>11700</v>
      </c>
      <c r="Q13" s="120">
        <f>E13*N13</f>
        <v>5700</v>
      </c>
      <c r="R13" s="120">
        <f>IF(H13=0,0,IF(E13*M13*EST_LABOR_PIPE&gt;H13,H13,E13*M13*EST_LABOR_PIPE))</f>
        <v>10125</v>
      </c>
      <c r="S13" s="120">
        <f>IF(H13="","",H13-P13)</f>
        <v>3300</v>
      </c>
      <c r="T13" s="125">
        <f>IF(OR(H13="",H13=0),"",S13/H13)</f>
        <v>0.22</v>
      </c>
      <c r="U13" s="40" t="n"/>
      <c r="V13" s="40" t="n"/>
      <c r="W13" s="126" t="n">
        <v>2</v>
      </c>
      <c r="X13" s="118" t="n">
        <v>7500</v>
      </c>
      <c r="Y13" s="120" t="n">
        <v>15000</v>
      </c>
      <c r="Z13" s="120">
        <f>H13-Y13</f>
        <v>0</v>
      </c>
      <c r="AA13" s="127" t="inlineStr">
        <is>
          <t>縁石基礎 P224〜P280 8,000（P140 5,000）</t>
        </is>
      </c>
      <c r="AB13" s="122" t="inlineStr">
        <is>
          <t>図面カウント</t>
        </is>
      </c>
      <c r="AC13" s="127" t="inlineStr">
        <is>
          <t>架台2基分。エストは 22.4-28.0×2 ＋ 11.2-16.0×1（5,000）の3台</t>
        </is>
      </c>
    </row>
    <row r="14" ht="26.5" customHeight="1">
      <c r="A14" s="130" t="inlineStr">
        <is>
          <t xml:space="preserve">　　架台制作及び取付費</t>
        </is>
      </c>
      <c r="B14" s="40" t="n"/>
      <c r="C14" s="131" t="inlineStr">
        <is>
          <t>鉄骨2段積み 溶融亜鉛メッキ（AC-1 上下段用・防振ゴム共）</t>
        </is>
      </c>
      <c r="D14" s="40" t="n"/>
      <c r="E14" s="118" t="n">
        <v>1</v>
      </c>
      <c r="F14" s="119" t="inlineStr">
        <is>
          <t>基</t>
        </is>
      </c>
      <c r="G14" s="118" t="str">
        <f>IF(INCLUDE_TBD=1,ROUNDUP(V14/(1-TARGET_MARGIN),-3),"")</f>
        <v/>
      </c>
      <c r="H14" s="132">
        <f>IF(INCLUDE_TBD=1,ROUND(E14*G14,0),0)</f>
        <v>0</v>
      </c>
      <c r="I14" s="133" t="str">
        <f>IF(INCLUDE_TBD=1,"概算（要見積）","別途見積")</f>
        <v>別途見積</v>
      </c>
      <c r="J14" s="134" t="inlineStr">
        <is>
          <t>要見積</t>
        </is>
      </c>
      <c r="K14" s="135" t="inlineStr">
        <is>
          <t>要見積</t>
        </is>
      </c>
      <c r="L14" s="118">
        <f>V14</f>
        <v>300000</v>
      </c>
      <c r="M14" s="136" t="n">
        <v>0</v>
      </c>
      <c r="N14" s="118" t="n">
        <v>0</v>
      </c>
      <c r="O14" s="118">
        <f>L14+N14</f>
        <v>300000</v>
      </c>
      <c r="P14" s="120">
        <f>IF(INCLUDE_TBD=1,E14*O14,0)</f>
        <v>0</v>
      </c>
      <c r="Q14" s="120" t="n">
        <v>0</v>
      </c>
      <c r="R14" s="120" t="n">
        <v>0</v>
      </c>
      <c r="S14" s="120">
        <f>IF(H14="","",H14-P14)</f>
        <v>0</v>
      </c>
      <c r="T14" s="125" t="str">
        <f>IF(OR(H14="",H14=0),"",S14/H14)</f>
        <v/>
      </c>
      <c r="U14" s="40" t="n"/>
      <c r="V14" s="123" t="n">
        <v>300000</v>
      </c>
      <c r="W14" s="126" t="n">
        <v>1</v>
      </c>
      <c r="X14" s="118" t="n"/>
      <c r="Y14" s="120" t="n">
        <v>0</v>
      </c>
      <c r="Z14" s="120">
        <f>H14-Y14</f>
        <v>0</v>
      </c>
      <c r="AA14" s="127" t="inlineStr">
        <is>
          <t>（エストマスタに単価なし）</t>
        </is>
      </c>
      <c r="AB14" s="122" t="inlineStr">
        <is>
          <t>図面カウント</t>
        </is>
      </c>
      <c r="AC14" s="127" t="inlineStr">
        <is>
          <t>単価情報が少なく要見積。製作品は高額になりやすい。概算原価は鋼材約130kg×製作2,000円/kg＋めっき・運搬・据付を想定</t>
        </is>
      </c>
    </row>
    <row r="15" ht="37.8" customHeight="1">
      <c r="A15" s="130" t="inlineStr">
        <is>
          <t xml:space="preserve">　　架台制作及び取付費</t>
        </is>
      </c>
      <c r="B15" s="40" t="n"/>
      <c r="C15" s="131" t="inlineStr">
        <is>
          <t>鉄骨2段積み 溶融亜鉛メッキ（AC-2 下段・RAC 上段用・防振ゴム共）</t>
        </is>
      </c>
      <c r="D15" s="40" t="n"/>
      <c r="E15" s="118" t="n">
        <v>1</v>
      </c>
      <c r="F15" s="119" t="inlineStr">
        <is>
          <t>基</t>
        </is>
      </c>
      <c r="G15" s="118" t="str">
        <f>IF(INCLUDE_TBD=1,ROUNDUP(V15/(1-TARGET_MARGIN),-3),"")</f>
        <v/>
      </c>
      <c r="H15" s="132">
        <f>IF(INCLUDE_TBD=1,ROUND(E15*G15,0),0)</f>
        <v>0</v>
      </c>
      <c r="I15" s="133" t="str">
        <f>IF(INCLUDE_TBD=1,"概算（要見積）","別途見積")</f>
        <v>別途見積</v>
      </c>
      <c r="J15" s="134" t="inlineStr">
        <is>
          <t>要見積</t>
        </is>
      </c>
      <c r="K15" s="135" t="inlineStr">
        <is>
          <t>要見積</t>
        </is>
      </c>
      <c r="L15" s="118">
        <f>V15</f>
        <v>250000</v>
      </c>
      <c r="M15" s="136" t="n">
        <v>0</v>
      </c>
      <c r="N15" s="118" t="n">
        <v>0</v>
      </c>
      <c r="O15" s="118">
        <f>L15+N15</f>
        <v>250000</v>
      </c>
      <c r="P15" s="120">
        <f>IF(INCLUDE_TBD=1,E15*O15,0)</f>
        <v>0</v>
      </c>
      <c r="Q15" s="120" t="n">
        <v>0</v>
      </c>
      <c r="R15" s="120" t="n">
        <v>0</v>
      </c>
      <c r="S15" s="120">
        <f>IF(H15="","",H15-P15)</f>
        <v>0</v>
      </c>
      <c r="T15" s="125" t="str">
        <f>IF(OR(H15="",H15=0),"",S15/H15)</f>
        <v/>
      </c>
      <c r="U15" s="40" t="n"/>
      <c r="V15" s="123" t="n">
        <v>250000</v>
      </c>
      <c r="W15" s="40" t="n"/>
      <c r="X15" s="40" t="n"/>
      <c r="Y15" s="40" t="n"/>
      <c r="Z15" s="40" t="n"/>
      <c r="AA15" s="127" t="inlineStr">
        <is>
          <t>（エストマスタに単価なし）</t>
        </is>
      </c>
      <c r="AB15" s="122" t="inlineStr">
        <is>
          <t>図面カウント</t>
        </is>
      </c>
      <c r="AC15" s="127" t="inlineStr">
        <is>
          <t>同上（上段がRAのため軽量）。鉄工所またはメーカーの見積で差し替え</t>
        </is>
      </c>
    </row>
    <row r="16" ht="18" customHeight="1">
      <c r="A16" s="115" t="inlineStr">
        <is>
          <t xml:space="preserve">　試運転調整費</t>
        </is>
      </c>
      <c r="B16" s="40" t="n"/>
      <c r="C16" s="40" t="n"/>
      <c r="D16" s="40" t="n"/>
      <c r="E16" s="40" t="n"/>
      <c r="F16" s="40" t="n"/>
      <c r="G16" s="40" t="n"/>
      <c r="H16" s="40" t="n"/>
      <c r="I16" s="114"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row>
    <row r="17" ht="18" customHeight="1">
      <c r="A17" s="116" t="inlineStr">
        <is>
          <t xml:space="preserve">　　試運転調整費</t>
        </is>
      </c>
      <c r="B17" s="40" t="n"/>
      <c r="C17" s="128" t="inlineStr">
        <is>
          <t>SA 室外機（-160）</t>
        </is>
      </c>
      <c r="D17" s="40" t="n"/>
      <c r="E17" s="118" t="n">
        <v>3</v>
      </c>
      <c r="F17" s="119" t="inlineStr">
        <is>
          <t>台</t>
        </is>
      </c>
      <c r="G17" s="118" t="n">
        <v>10000</v>
      </c>
      <c r="H17" s="120">
        <f>ROUND(E17*G17,0)</f>
        <v>30000</v>
      </c>
      <c r="I17" s="121" t="n"/>
      <c r="J17" s="122" t="inlineStr">
        <is>
          <t>エスト見積</t>
        </is>
      </c>
      <c r="K17" s="129" t="inlineStr">
        <is>
          <t>エストと数量差</t>
        </is>
      </c>
      <c r="L17" s="123" t="n">
        <v>450</v>
      </c>
      <c r="M17" s="124" t="n">
        <v>0.45</v>
      </c>
      <c r="N17" s="118">
        <f>ROUND(M17*LABOR_COST,0)</f>
        <v>8550</v>
      </c>
      <c r="O17" s="118">
        <f>L17+N17</f>
        <v>9000</v>
      </c>
      <c r="P17" s="120">
        <f>E17*O17</f>
        <v>27000</v>
      </c>
      <c r="Q17" s="120">
        <f>E17*N17</f>
        <v>25650</v>
      </c>
      <c r="R17" s="120">
        <f>IF(H17=0,0,IF(E17*M17*EST_LABOR_PIPE&gt;H17,H17,E17*M17*EST_LABOR_PIPE))</f>
        <v>30000</v>
      </c>
      <c r="S17" s="120">
        <f>IF(H17="","",H17-P17)</f>
        <v>3000</v>
      </c>
      <c r="T17" s="125">
        <f>IF(OR(H17="",H17=0),"",S17/H17)</f>
        <v>0.1</v>
      </c>
      <c r="U17" s="40" t="n"/>
      <c r="V17" s="40" t="n"/>
      <c r="W17" s="126" t="n">
        <v>2</v>
      </c>
      <c r="X17" s="118" t="n">
        <v>10000</v>
      </c>
      <c r="Y17" s="120" t="n">
        <v>20000</v>
      </c>
      <c r="Z17" s="120">
        <f>H17-Y17</f>
        <v>10000</v>
      </c>
      <c r="AA17" s="127" t="n"/>
      <c r="AB17" s="122" t="inlineStr">
        <is>
          <t>図面カウント</t>
        </is>
      </c>
      <c r="AC17" s="127" t="inlineStr">
        <is>
          <t>エストは2台</t>
        </is>
      </c>
    </row>
    <row r="18" ht="18" customHeight="1">
      <c r="A18" s="116" t="inlineStr">
        <is>
          <t xml:space="preserve">　　試運転調整費</t>
        </is>
      </c>
      <c r="B18" s="40" t="n"/>
      <c r="C18" s="128" t="inlineStr">
        <is>
          <t>RA 室外機（0-56）</t>
        </is>
      </c>
      <c r="D18" s="40" t="n"/>
      <c r="E18" s="118" t="n">
        <v>1</v>
      </c>
      <c r="F18" s="119" t="inlineStr">
        <is>
          <t>台</t>
        </is>
      </c>
      <c r="G18" s="118" t="n">
        <v>2500</v>
      </c>
      <c r="H18" s="120">
        <f>ROUND(E18*G18,0)</f>
        <v>2500</v>
      </c>
      <c r="I18" s="121" t="n"/>
      <c r="J18" s="122" t="inlineStr">
        <is>
          <t>エスト見積</t>
        </is>
      </c>
      <c r="K18" s="122" t="n"/>
      <c r="L18" s="123" t="n">
        <v>0</v>
      </c>
      <c r="M18" s="124" t="n">
        <v>0.1</v>
      </c>
      <c r="N18" s="118">
        <f>ROUND(M18*LABOR_COST,0)</f>
        <v>1900</v>
      </c>
      <c r="O18" s="118">
        <f>L18+N18</f>
        <v>1900</v>
      </c>
      <c r="P18" s="120">
        <f>E18*O18</f>
        <v>1900</v>
      </c>
      <c r="Q18" s="120">
        <f>E18*N18</f>
        <v>1900</v>
      </c>
      <c r="R18" s="120">
        <f>IF(H18=0,0,IF(E18*M18*EST_LABOR_PIPE&gt;H18,H18,E18*M18*EST_LABOR_PIPE))</f>
        <v>2500</v>
      </c>
      <c r="S18" s="120">
        <f>IF(H18="","",H18-P18)</f>
        <v>600</v>
      </c>
      <c r="T18" s="125">
        <f>IF(OR(H18="",H18=0),"",S18/H18)</f>
        <v>0.24</v>
      </c>
      <c r="U18" s="40" t="n"/>
      <c r="V18" s="40" t="n"/>
      <c r="W18" s="126" t="n">
        <v>1</v>
      </c>
      <c r="X18" s="118" t="n">
        <v>2500</v>
      </c>
      <c r="Y18" s="120" t="n">
        <v>2500</v>
      </c>
      <c r="Z18" s="120">
        <f>H18-Y18</f>
        <v>0</v>
      </c>
      <c r="AA18" s="127" t="n"/>
      <c r="AB18" s="122" t="inlineStr">
        <is>
          <t>図面カウント</t>
        </is>
      </c>
      <c r="AC18" s="127" t="n"/>
    </row>
    <row r="19" ht="18" customHeight="1">
      <c r="A19" s="116" t="inlineStr">
        <is>
          <t xml:space="preserve">　　消耗品及び雑材料</t>
        </is>
      </c>
      <c r="B19" s="40" t="n"/>
      <c r="C19" s="40" t="n"/>
      <c r="D19" s="40" t="n"/>
      <c r="E19" s="118" t="n">
        <v>1</v>
      </c>
      <c r="F19" s="119" t="inlineStr">
        <is>
          <t>式</t>
        </is>
      </c>
      <c r="G19" s="40" t="n"/>
      <c r="H19" s="120">
        <f>ROUNDUP(SUM(H6:H18)*U19,-2)</f>
        <v>5000</v>
      </c>
      <c r="I19" s="114" t="n"/>
      <c r="J19" s="137" t="inlineStr">
        <is>
          <t>経費</t>
        </is>
      </c>
      <c r="K19" s="40" t="n"/>
      <c r="L19" s="40" t="n"/>
      <c r="M19" s="40" t="n"/>
      <c r="N19" s="40" t="n"/>
      <c r="O19" s="40" t="n"/>
      <c r="P19" s="120" t="n">
        <v>0</v>
      </c>
      <c r="Q19" s="120" t="n">
        <v>0</v>
      </c>
      <c r="R19" s="120" t="n">
        <v>0</v>
      </c>
      <c r="S19" s="40" t="n"/>
      <c r="T19" s="40" t="n"/>
      <c r="U19" s="138" t="n">
        <v>0.03</v>
      </c>
      <c r="V19" s="40" t="n"/>
      <c r="W19" s="126" t="n">
        <v>1</v>
      </c>
      <c r="X19" s="118" t="n"/>
      <c r="Y19" s="120" t="n">
        <v>4500</v>
      </c>
      <c r="Z19" s="120">
        <f>H19-Y19</f>
        <v>500</v>
      </c>
      <c r="AA19" s="127" t="n"/>
      <c r="AB19" s="122" t="n"/>
      <c r="AC19" s="127" t="inlineStr">
        <is>
          <t>基礎額×率（100円未満切上げ）</t>
        </is>
      </c>
    </row>
    <row r="20" ht="18" customHeight="1">
      <c r="A20" s="116" t="inlineStr">
        <is>
          <t xml:space="preserve">　　資材運搬交通費</t>
        </is>
      </c>
      <c r="B20" s="40" t="n"/>
      <c r="C20" s="40" t="n"/>
      <c r="D20" s="40" t="n"/>
      <c r="E20" s="118" t="n">
        <v>1</v>
      </c>
      <c r="F20" s="119" t="inlineStr">
        <is>
          <t>式</t>
        </is>
      </c>
      <c r="G20" s="40" t="n"/>
      <c r="H20" s="120">
        <f>ROUNDUP((SUM(H6:H18)+H19)*U20,-2)</f>
        <v>6800</v>
      </c>
      <c r="I20" s="114" t="n"/>
      <c r="J20" s="137" t="inlineStr">
        <is>
          <t>経費</t>
        </is>
      </c>
      <c r="K20" s="40" t="n"/>
      <c r="L20" s="40" t="n"/>
      <c r="M20" s="40" t="n"/>
      <c r="N20" s="40" t="n"/>
      <c r="O20" s="40" t="n"/>
      <c r="P20" s="120" t="n">
        <v>0</v>
      </c>
      <c r="Q20" s="120" t="n">
        <v>0</v>
      </c>
      <c r="R20" s="120" t="n">
        <v>0</v>
      </c>
      <c r="S20" s="40" t="n"/>
      <c r="T20" s="40" t="n"/>
      <c r="U20" s="138" t="n">
        <v>0.04</v>
      </c>
      <c r="V20" s="40" t="n"/>
      <c r="W20" s="126" t="n">
        <v>1</v>
      </c>
      <c r="X20" s="118" t="n"/>
      <c r="Y20" s="120" t="n">
        <v>6200</v>
      </c>
      <c r="Z20" s="120">
        <f>H20-Y20</f>
        <v>600</v>
      </c>
      <c r="AA20" s="127" t="n"/>
      <c r="AB20" s="122" t="n"/>
      <c r="AC20" s="127" t="inlineStr">
        <is>
          <t>（基礎額＋消耗品）×率（100円未満切上げ）</t>
        </is>
      </c>
    </row>
    <row r="21" ht="18" customHeight="1">
      <c r="A21" s="139" t="inlineStr">
        <is>
          <t xml:space="preserve">　　現場経費</t>
        </is>
      </c>
      <c r="B21" s="92" t="n"/>
      <c r="C21" s="92" t="n"/>
      <c r="D21" s="92" t="n"/>
      <c r="E21" s="140" t="n">
        <v>1</v>
      </c>
      <c r="F21" s="141" t="inlineStr">
        <is>
          <t>式</t>
        </is>
      </c>
      <c r="G21" s="92" t="n"/>
      <c r="H21" s="142">
        <f>ROUNDUP((SUM(H6:H18)+H19+H20)+ROUNDUP((SUM(H6:H18)+H19+H20)*U21,-2),-3)-(SUM(H6:H18)+H19+H20)</f>
        <v>14450</v>
      </c>
      <c r="I21" s="143" t="n"/>
      <c r="J21" s="144" t="inlineStr">
        <is>
          <t>経費</t>
        </is>
      </c>
      <c r="K21" s="92" t="n"/>
      <c r="L21" s="92" t="n"/>
      <c r="M21" s="92" t="n"/>
      <c r="N21" s="92" t="n"/>
      <c r="O21" s="92" t="n"/>
      <c r="P21" s="142" t="n">
        <v>0</v>
      </c>
      <c r="Q21" s="142" t="n">
        <v>0</v>
      </c>
      <c r="R21" s="142" t="n">
        <v>0</v>
      </c>
      <c r="S21" s="92" t="n"/>
      <c r="T21" s="92" t="n"/>
      <c r="U21" s="145" t="n">
        <v>0.08</v>
      </c>
      <c r="V21" s="92" t="n"/>
      <c r="W21" s="146" t="n">
        <v>1</v>
      </c>
      <c r="X21" s="140" t="n"/>
      <c r="Y21" s="142" t="n">
        <v>13300</v>
      </c>
      <c r="Z21" s="142">
        <f>H21-Y21</f>
        <v>1150</v>
      </c>
      <c r="AA21" s="147" t="n"/>
      <c r="AB21" s="148" t="n"/>
      <c r="AC21" s="147" t="inlineStr">
        <is>
          <t>（基礎額＋消耗品＋運搬費）×率を加え、計を1,000円未満切上げ（端数はここに吸収）</t>
        </is>
      </c>
    </row>
    <row r="22" ht="20" customHeight="1">
      <c r="A22" s="149" t="inlineStr">
        <is>
          <t>－　計　－</t>
        </is>
      </c>
      <c r="B22" s="111" t="n"/>
      <c r="C22" s="111" t="n"/>
      <c r="D22" s="111" t="n"/>
      <c r="E22" s="111" t="n"/>
      <c r="F22" s="111" t="n"/>
      <c r="G22" s="111" t="n"/>
      <c r="H22" s="150">
        <f>SUM(H6:H21)</f>
        <v>190000</v>
      </c>
      <c r="I22" s="112" t="n"/>
      <c r="J22" s="111" t="n"/>
      <c r="K22" s="111" t="n"/>
      <c r="L22" s="111" t="n"/>
      <c r="M22" s="151">
        <f>SUMPRODUCT(E6:E21,M6:M21)</f>
        <v>8.550999999999998</v>
      </c>
      <c r="N22" s="111" t="n"/>
      <c r="O22" s="111" t="n"/>
      <c r="P22" s="150">
        <f>SUM(P6:P21)</f>
        <v>181819</v>
      </c>
      <c r="Q22" s="150">
        <f>SUM(Q6:Q21)</f>
        <v>162469</v>
      </c>
      <c r="R22" s="150">
        <f>SUM(R6:R21)</f>
        <v>158875</v>
      </c>
      <c r="S22" s="150">
        <f>H22-P22</f>
        <v>8181</v>
      </c>
      <c r="T22" s="152">
        <f>IF(H22=0,"",S22/H22)</f>
        <v>0.04305789473684211</v>
      </c>
      <c r="U22" s="111" t="n"/>
      <c r="V22" s="111" t="n"/>
      <c r="W22" s="111" t="n"/>
      <c r="X22" s="111" t="n"/>
      <c r="Y22" s="150" t="n">
        <v>174000</v>
      </c>
      <c r="Z22" s="150">
        <f>H22-Y22</f>
        <v>16000</v>
      </c>
      <c r="AA22" s="111" t="n"/>
      <c r="AB22" s="111" t="n"/>
      <c r="AC22" s="111" t="n"/>
    </row>
    <row r="23" ht="10" customHeight="1">
      <c r="A23" s="153" t="n"/>
      <c r="B23" s="40" t="n"/>
      <c r="C23" s="40" t="n"/>
      <c r="D23" s="40" t="n"/>
      <c r="E23" s="40" t="n"/>
      <c r="F23" s="40" t="n"/>
      <c r="G23" s="40" t="n"/>
      <c r="H23" s="40" t="n"/>
      <c r="I23" s="114" t="n"/>
      <c r="J23" s="40" t="n"/>
      <c r="K23" s="40" t="n"/>
      <c r="L23" s="40" t="n"/>
      <c r="M23" s="40" t="n"/>
      <c r="N23" s="40" t="n"/>
      <c r="O23" s="40" t="n"/>
      <c r="P23" s="40" t="n"/>
      <c r="Q23" s="40" t="n"/>
      <c r="R23" s="40" t="n"/>
      <c r="S23" s="40" t="n"/>
      <c r="T23" s="40" t="n"/>
      <c r="U23" s="40" t="n"/>
      <c r="V23" s="40" t="n"/>
      <c r="W23" s="40" t="n"/>
      <c r="X23" s="40" t="n"/>
      <c r="Y23" s="40" t="n"/>
      <c r="Z23" s="40" t="n"/>
      <c r="AA23" s="40" t="n"/>
      <c r="AB23" s="40" t="n"/>
      <c r="AC23" s="40" t="n"/>
    </row>
    <row r="24" ht="20" customHeight="1">
      <c r="A24" s="113" t="inlineStr">
        <is>
          <t>３　配管設備工事</t>
        </is>
      </c>
      <c r="B24" s="40" t="n"/>
      <c r="C24" s="40" t="n"/>
      <c r="D24" s="40" t="n"/>
      <c r="E24" s="40" t="n"/>
      <c r="F24" s="40" t="n"/>
      <c r="G24" s="40" t="n"/>
      <c r="H24" s="40" t="n"/>
      <c r="I24" s="114"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row>
    <row r="25" ht="18" customHeight="1">
      <c r="A25" s="115" t="inlineStr">
        <is>
          <t xml:space="preserve">　冷媒（冷媒銅管）</t>
        </is>
      </c>
      <c r="B25" s="40" t="n"/>
      <c r="C25" s="40" t="n"/>
      <c r="D25" s="40" t="n"/>
      <c r="E25" s="40" t="n"/>
      <c r="F25" s="40" t="n"/>
      <c r="G25" s="40" t="n"/>
      <c r="H25" s="40" t="n"/>
      <c r="I25" s="114" t="n"/>
      <c r="J25" s="40" t="n"/>
      <c r="K25" s="40" t="n"/>
      <c r="L25" s="40" t="n"/>
      <c r="M25" s="40" t="n"/>
      <c r="N25" s="40" t="n"/>
      <c r="O25" s="40" t="n"/>
      <c r="P25" s="40" t="n"/>
      <c r="Q25" s="40" t="n"/>
      <c r="R25" s="40" t="n"/>
      <c r="S25" s="40" t="n"/>
      <c r="T25" s="40" t="n"/>
      <c r="U25" s="40" t="n"/>
      <c r="V25" s="40" t="n"/>
      <c r="W25" s="40" t="n"/>
      <c r="X25" s="40" t="n"/>
      <c r="Y25" s="40" t="n"/>
      <c r="Z25" s="40" t="n"/>
      <c r="AA25" s="40" t="n"/>
      <c r="AB25" s="40" t="n"/>
      <c r="AC25" s="40" t="n"/>
    </row>
    <row r="26" ht="18" customHeight="1">
      <c r="A26" s="116" t="inlineStr">
        <is>
          <t xml:space="preserve">　　冷媒用被覆銅管（10+20t）</t>
        </is>
      </c>
      <c r="B26" s="40" t="n"/>
      <c r="C26" s="128" t="inlineStr">
        <is>
          <t>6.35+9.52mm（10t+20t）RAC</t>
        </is>
      </c>
      <c r="D26" s="40" t="n"/>
      <c r="E26" s="118" t="n">
        <v>10</v>
      </c>
      <c r="F26" s="119" t="inlineStr">
        <is>
          <t>m</t>
        </is>
      </c>
      <c r="G26" s="118" t="n">
        <v>3388</v>
      </c>
      <c r="H26" s="120">
        <f>ROUND(E26*G26,0)</f>
        <v>33880</v>
      </c>
      <c r="I26" s="121" t="inlineStr">
        <is>
          <t>図面実測＋想定</t>
        </is>
      </c>
      <c r="J26" s="122" t="inlineStr">
        <is>
          <t>エスト見積</t>
        </is>
      </c>
      <c r="K26" s="122" t="n"/>
      <c r="L26" s="118">
        <f>ROUND(G26*MAT_RATIO*1.05,0)</f>
        <v>3557</v>
      </c>
      <c r="M26" s="124" t="n">
        <v>0</v>
      </c>
      <c r="N26" s="118">
        <f>ROUND(M26*LABOR_COST,0)</f>
        <v>0</v>
      </c>
      <c r="O26" s="118">
        <f>L26+N26</f>
        <v>3557</v>
      </c>
      <c r="P26" s="120">
        <f>E26*O26</f>
        <v>35570</v>
      </c>
      <c r="Q26" s="120">
        <f>E26*N26</f>
        <v>0</v>
      </c>
      <c r="R26" s="120">
        <f>IF(H26=0,0,IF(E26*M26*EST_LABOR_PIPE&gt;H26,H26,E26*M26*EST_LABOR_PIPE))</f>
        <v>0</v>
      </c>
      <c r="S26" s="120">
        <f>IF(H26="","",H26-P26)</f>
        <v>-1690</v>
      </c>
      <c r="T26" s="125">
        <f>IF(OR(H26="",H26=0),"",S26/H26)</f>
        <v>-0.04988193624557261</v>
      </c>
      <c r="U26" s="124" t="n">
        <v>0.104</v>
      </c>
      <c r="V26" s="40" t="n"/>
      <c r="W26" s="126" t="n">
        <v>10</v>
      </c>
      <c r="X26" s="118" t="n">
        <v>3388</v>
      </c>
      <c r="Y26" s="120" t="n">
        <v>33880</v>
      </c>
      <c r="Z26" s="120">
        <f>H26-Y26</f>
        <v>0</v>
      </c>
      <c r="AA26" s="127" t="inlineStr">
        <is>
          <t>冷媒配管（テープ巻き）新築 φ6.4/9.5 5m以下26,000＋1m追加5,300（仕様違い）</t>
        </is>
      </c>
      <c r="AB26" s="154" t="inlineStr">
        <is>
          <t>実測+推測</t>
        </is>
      </c>
      <c r="AC26" s="127" t="inlineStr">
        <is>
          <t>材料原価＝エスト単価×材料原価率×管長割増1.05（建設物価相当）｜平面実測 7.65m＋立上り（架台上段）0.9m＋店長室 立下り 0.6m＋余長 0.3m ＝ 9.45m</t>
        </is>
      </c>
    </row>
    <row r="27" ht="26.5" customHeight="1">
      <c r="A27" s="116" t="inlineStr">
        <is>
          <t xml:space="preserve">　　冷媒用被覆銅管（10+20t）</t>
        </is>
      </c>
      <c r="B27" s="40" t="n"/>
      <c r="C27" s="117" t="inlineStr">
        <is>
          <t>9.52+15.88mm（10t+20t）AC-1×2・AC-2</t>
        </is>
      </c>
      <c r="D27" s="40" t="n"/>
      <c r="E27" s="118" t="n">
        <v>35</v>
      </c>
      <c r="F27" s="119" t="inlineStr">
        <is>
          <t>m</t>
        </is>
      </c>
      <c r="G27" s="118" t="n">
        <v>5138</v>
      </c>
      <c r="H27" s="120">
        <f>ROUND(E27*G27,0)</f>
        <v>179830</v>
      </c>
      <c r="I27" s="121" t="inlineStr">
        <is>
          <t>図面実測＋想定</t>
        </is>
      </c>
      <c r="J27" s="122" t="inlineStr">
        <is>
          <t>エスト見積</t>
        </is>
      </c>
      <c r="K27" s="122" t="n"/>
      <c r="L27" s="118">
        <f>ROUND(G27*MAT_RATIO*1.05,0)</f>
        <v>5395</v>
      </c>
      <c r="M27" s="124" t="n">
        <v>0</v>
      </c>
      <c r="N27" s="118">
        <f>ROUND(M27*LABOR_COST,0)</f>
        <v>0</v>
      </c>
      <c r="O27" s="118">
        <f>L27+N27</f>
        <v>5395</v>
      </c>
      <c r="P27" s="120">
        <f>E27*O27</f>
        <v>188825</v>
      </c>
      <c r="Q27" s="120">
        <f>E27*N27</f>
        <v>0</v>
      </c>
      <c r="R27" s="120">
        <f>IF(H27=0,0,IF(E27*M27*EST_LABOR_PIPE&gt;H27,H27,E27*M27*EST_LABOR_PIPE))</f>
        <v>0</v>
      </c>
      <c r="S27" s="120">
        <f>IF(H27="","",H27-P27)</f>
        <v>-8995</v>
      </c>
      <c r="T27" s="125">
        <f>IF(OR(H27="",H27=0),"",S27/H27)</f>
        <v>-0.05001946282600234</v>
      </c>
      <c r="U27" s="124" t="n">
        <v>0.15</v>
      </c>
      <c r="V27" s="40" t="n"/>
      <c r="W27" s="126" t="n">
        <v>35</v>
      </c>
      <c r="X27" s="118" t="n">
        <v>5138</v>
      </c>
      <c r="Y27" s="120" t="n">
        <v>179830</v>
      </c>
      <c r="Z27" s="120">
        <f>H27-Y27</f>
        <v>0</v>
      </c>
      <c r="AA27" s="127" t="inlineStr">
        <is>
          <t>冷媒配管（テープ巻き）新築 φ9.5/15.9 5m以下29,500＋1m追加5,900（仕様違い）</t>
        </is>
      </c>
      <c r="AB27" s="154" t="inlineStr">
        <is>
          <t>実測+推測</t>
        </is>
      </c>
      <c r="AC27" s="127" t="inlineStr">
        <is>
          <t>材料原価＝エスト単価×材料原価率×管長割増1.05（建設物価相当）｜平面実測 26.77m（AC-1西 11.15・AC-1東 7.54・AC-2 8.08）＋立上り（架台下段 2.2m×2・上段 0.9m×1）＋機器接続 0.3m×3＋余長 0.5m×3 ＝ 34.47m</t>
        </is>
      </c>
    </row>
    <row r="28" ht="18" customHeight="1">
      <c r="A28" s="116" t="inlineStr">
        <is>
          <t xml:space="preserve">　　継手類</t>
        </is>
      </c>
      <c r="B28" s="40" t="n"/>
      <c r="C28" s="40" t="n"/>
      <c r="D28" s="40" t="n"/>
      <c r="E28" s="118" t="n">
        <v>1</v>
      </c>
      <c r="F28" s="119" t="inlineStr">
        <is>
          <t>式</t>
        </is>
      </c>
      <c r="G28" s="40" t="n"/>
      <c r="H28" s="120">
        <f>ROUND((H26+H27)*U28,0)</f>
        <v>64113</v>
      </c>
      <c r="I28" s="114" t="n"/>
      <c r="J28" s="122" t="inlineStr">
        <is>
          <t>エスト算式</t>
        </is>
      </c>
      <c r="K28" s="40" t="n"/>
      <c r="L28" s="40" t="n"/>
      <c r="M28" s="40" t="n"/>
      <c r="N28" s="40" t="n"/>
      <c r="O28" s="40" t="n"/>
      <c r="P28" s="120">
        <f>ROUND((P26+P27)*U28,0)</f>
        <v>67319</v>
      </c>
      <c r="Q28" s="120" t="n">
        <v>0</v>
      </c>
      <c r="R28" s="120" t="n">
        <v>0</v>
      </c>
      <c r="S28" s="120">
        <f>IF(H28="","",H28-P28)</f>
        <v>-3206</v>
      </c>
      <c r="T28" s="125">
        <f>IF(OR(H28="",H28=0),"",S28/H28)</f>
        <v>-0.050005459111256687</v>
      </c>
      <c r="U28" s="138" t="n">
        <v>0.3</v>
      </c>
      <c r="V28" s="40" t="n"/>
      <c r="W28" s="126" t="n">
        <v>1</v>
      </c>
      <c r="X28" s="118" t="n"/>
      <c r="Y28" s="120" t="n">
        <v>64107</v>
      </c>
      <c r="Z28" s="120">
        <f>H28-Y28</f>
        <v>6</v>
      </c>
      <c r="AA28" s="127" t="n"/>
      <c r="AB28" s="122" t="n"/>
      <c r="AC28" s="127" t="inlineStr">
        <is>
          <t>管金額×率（エスト・公共積算と同率）。原価も同率</t>
        </is>
      </c>
    </row>
    <row r="29" ht="18" customHeight="1">
      <c r="A29" s="116" t="inlineStr">
        <is>
          <t xml:space="preserve">　　消耗品</t>
        </is>
      </c>
      <c r="B29" s="40" t="n"/>
      <c r="C29" s="40" t="n"/>
      <c r="D29" s="40" t="n"/>
      <c r="E29" s="118" t="n">
        <v>1</v>
      </c>
      <c r="F29" s="119" t="inlineStr">
        <is>
          <t>式</t>
        </is>
      </c>
      <c r="G29" s="40" t="n"/>
      <c r="H29" s="120">
        <f>ROUND((H26+H27)*U29,0)</f>
        <v>32057</v>
      </c>
      <c r="I29" s="114" t="n"/>
      <c r="J29" s="122" t="inlineStr">
        <is>
          <t>エスト算式</t>
        </is>
      </c>
      <c r="K29" s="40" t="n"/>
      <c r="L29" s="40" t="n"/>
      <c r="M29" s="40" t="n"/>
      <c r="N29" s="40" t="n"/>
      <c r="O29" s="40" t="n"/>
      <c r="P29" s="120">
        <f>ROUND((P26+P27)*U29,0)</f>
        <v>33659</v>
      </c>
      <c r="Q29" s="120" t="n">
        <v>0</v>
      </c>
      <c r="R29" s="120" t="n">
        <v>0</v>
      </c>
      <c r="S29" s="120">
        <f>IF(H29="","",H29-P29)</f>
        <v>-1602</v>
      </c>
      <c r="T29" s="125">
        <f>IF(OR(H29="",H29=0),"",S29/H29)</f>
        <v>-0.04997348473032411</v>
      </c>
      <c r="U29" s="138" t="n">
        <v>0.15</v>
      </c>
      <c r="V29" s="40" t="n"/>
      <c r="W29" s="126" t="n">
        <v>1</v>
      </c>
      <c r="X29" s="118" t="n"/>
      <c r="Y29" s="120" t="n">
        <v>32054</v>
      </c>
      <c r="Z29" s="120">
        <f>H29-Y29</f>
        <v>3</v>
      </c>
      <c r="AA29" s="127" t="n"/>
      <c r="AB29" s="122" t="n"/>
      <c r="AC29" s="127" t="inlineStr">
        <is>
          <t>管金額×率（エスト・公共積算と同率）。原価も同率</t>
        </is>
      </c>
    </row>
    <row r="30" ht="18" customHeight="1">
      <c r="A30" s="116" t="inlineStr">
        <is>
          <t xml:space="preserve">　　支持金物</t>
        </is>
      </c>
      <c r="B30" s="40" t="n"/>
      <c r="C30" s="40" t="n"/>
      <c r="D30" s="40" t="n"/>
      <c r="E30" s="118" t="n">
        <v>1</v>
      </c>
      <c r="F30" s="119" t="inlineStr">
        <is>
          <t>式</t>
        </is>
      </c>
      <c r="G30" s="40" t="n"/>
      <c r="H30" s="120">
        <f>ROUND((H26+H27)*U30,0)</f>
        <v>85484</v>
      </c>
      <c r="I30" s="114" t="n"/>
      <c r="J30" s="122" t="inlineStr">
        <is>
          <t>エスト算式</t>
        </is>
      </c>
      <c r="K30" s="40" t="n"/>
      <c r="L30" s="40" t="n"/>
      <c r="M30" s="40" t="n"/>
      <c r="N30" s="40" t="n"/>
      <c r="O30" s="40" t="n"/>
      <c r="P30" s="120">
        <f>ROUND((P26+P27)*U30,0)</f>
        <v>89758</v>
      </c>
      <c r="Q30" s="120" t="n">
        <v>0</v>
      </c>
      <c r="R30" s="120" t="n">
        <v>0</v>
      </c>
      <c r="S30" s="120">
        <f>IF(H30="","",H30-P30)</f>
        <v>-4274</v>
      </c>
      <c r="T30" s="125">
        <f>IF(OR(H30="",H30=0),"",S30/H30)</f>
        <v>-0.04999766038088999</v>
      </c>
      <c r="U30" s="138" t="n">
        <v>0.4</v>
      </c>
      <c r="V30" s="40" t="n"/>
      <c r="W30" s="126" t="n">
        <v>1</v>
      </c>
      <c r="X30" s="118" t="n"/>
      <c r="Y30" s="120" t="n">
        <v>85475</v>
      </c>
      <c r="Z30" s="120">
        <f>H30-Y30</f>
        <v>9</v>
      </c>
      <c r="AA30" s="127" t="n"/>
      <c r="AB30" s="122" t="n"/>
      <c r="AC30" s="127" t="inlineStr">
        <is>
          <t>管金額×率（エスト・公共積算と同率）。原価も同率</t>
        </is>
      </c>
    </row>
    <row r="31" ht="18" customHeight="1">
      <c r="A31" s="115" t="inlineStr">
        <is>
          <t xml:space="preserve">　排水（硬質塩化ビニル管）</t>
        </is>
      </c>
      <c r="B31" s="40" t="n"/>
      <c r="C31" s="40" t="n"/>
      <c r="D31" s="40" t="n"/>
      <c r="E31" s="40" t="n"/>
      <c r="F31" s="40" t="n"/>
      <c r="G31" s="40" t="n"/>
      <c r="H31" s="40" t="n"/>
      <c r="I31" s="114"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row>
    <row r="32" ht="18" customHeight="1">
      <c r="A32" s="116" t="inlineStr">
        <is>
          <t xml:space="preserve">　　硬質塩化ビニル管</t>
        </is>
      </c>
      <c r="B32" s="40" t="n"/>
      <c r="C32" s="128" t="inlineStr">
        <is>
          <t>VP 25A</t>
        </is>
      </c>
      <c r="D32" s="40" t="n"/>
      <c r="E32" s="118" t="n">
        <v>9</v>
      </c>
      <c r="F32" s="119" t="inlineStr">
        <is>
          <t>m</t>
        </is>
      </c>
      <c r="G32" s="118" t="n">
        <v>313</v>
      </c>
      <c r="H32" s="120">
        <f>ROUND(E32*G32,0)</f>
        <v>2817</v>
      </c>
      <c r="I32" s="121" t="inlineStr">
        <is>
          <t>図面実測＋想定</t>
        </is>
      </c>
      <c r="J32" s="122" t="inlineStr">
        <is>
          <t>エスト見積</t>
        </is>
      </c>
      <c r="K32" s="122" t="n"/>
      <c r="L32" s="118">
        <f>ROUND(G32*MAT_RATIO*1.1,0)</f>
        <v>344</v>
      </c>
      <c r="M32" s="124" t="n">
        <v>0</v>
      </c>
      <c r="N32" s="118">
        <f>ROUND(M32*LABOR_COST,0)</f>
        <v>0</v>
      </c>
      <c r="O32" s="118">
        <f>L32+N32</f>
        <v>344</v>
      </c>
      <c r="P32" s="120">
        <f>E32*O32</f>
        <v>3096</v>
      </c>
      <c r="Q32" s="120">
        <f>E32*N32</f>
        <v>0</v>
      </c>
      <c r="R32" s="120">
        <f>IF(H32=0,0,IF(E32*M32*EST_LABOR_PIPE&gt;H32,H32,E32*M32*EST_LABOR_PIPE))</f>
        <v>0</v>
      </c>
      <c r="S32" s="120">
        <f>IF(H32="","",H32-P32)</f>
        <v>-279</v>
      </c>
      <c r="T32" s="125">
        <f>IF(OR(H32="",H32=0),"",S32/H32)</f>
        <v>-0.09904153354632587</v>
      </c>
      <c r="U32" s="124" t="n">
        <v>0.074</v>
      </c>
      <c r="V32" s="40" t="n"/>
      <c r="W32" s="126" t="n">
        <v>9</v>
      </c>
      <c r="X32" s="118" t="n">
        <v>313</v>
      </c>
      <c r="Y32" s="120" t="n">
        <v>2817</v>
      </c>
      <c r="Z32" s="120">
        <f>H32-Y32</f>
        <v>0</v>
      </c>
      <c r="AA32" s="127" t="n"/>
      <c r="AB32" s="154" t="inlineStr">
        <is>
          <t>実測+推測</t>
        </is>
      </c>
      <c r="AC32" s="127" t="inlineStr">
        <is>
          <t>材料原価＝エスト単価×材料原価率×管長割増1.1（建設物価相当）｜平面実測 5.20m（東主管 2.72・AC-2枝 1.28・西枝 0.76・RAC 0.44）＋ドレンアップ立上り 0.3m×3＋東カセット接続 0.3m＋RAC 立下り 1.9m ＝ 8.30m</t>
        </is>
      </c>
    </row>
    <row r="33" ht="18" customHeight="1">
      <c r="A33" s="116" t="inlineStr">
        <is>
          <t xml:space="preserve">　　硬質塩化ビニル管</t>
        </is>
      </c>
      <c r="B33" s="40" t="n"/>
      <c r="C33" s="128" t="inlineStr">
        <is>
          <t>VP 30A</t>
        </is>
      </c>
      <c r="D33" s="40" t="n"/>
      <c r="E33" s="118" t="n">
        <v>4</v>
      </c>
      <c r="F33" s="119" t="inlineStr">
        <is>
          <t>m</t>
        </is>
      </c>
      <c r="G33" s="118" t="n">
        <v>363</v>
      </c>
      <c r="H33" s="120">
        <f>ROUND(E33*G33,0)</f>
        <v>1452</v>
      </c>
      <c r="I33" s="121" t="n"/>
      <c r="J33" s="122" t="inlineStr">
        <is>
          <t>エスト見積</t>
        </is>
      </c>
      <c r="K33" s="122" t="n"/>
      <c r="L33" s="118">
        <f>ROUND(G33*MAT_RATIO*1.1,0)</f>
        <v>399</v>
      </c>
      <c r="M33" s="124" t="n">
        <v>0</v>
      </c>
      <c r="N33" s="118">
        <f>ROUND(M33*LABOR_COST,0)</f>
        <v>0</v>
      </c>
      <c r="O33" s="118">
        <f>L33+N33</f>
        <v>399</v>
      </c>
      <c r="P33" s="120">
        <f>E33*O33</f>
        <v>1596</v>
      </c>
      <c r="Q33" s="120">
        <f>E33*N33</f>
        <v>0</v>
      </c>
      <c r="R33" s="120">
        <f>IF(H33=0,0,IF(E33*M33*EST_LABOR_PIPE&gt;H33,H33,E33*M33*EST_LABOR_PIPE))</f>
        <v>0</v>
      </c>
      <c r="S33" s="120">
        <f>IF(H33="","",H33-P33)</f>
        <v>-144</v>
      </c>
      <c r="T33" s="125">
        <f>IF(OR(H33="",H33=0),"",S33/H33)</f>
        <v>-0.09917355371900827</v>
      </c>
      <c r="U33" s="124" t="n">
        <v>0.079</v>
      </c>
      <c r="V33" s="40" t="n"/>
      <c r="W33" s="126" t="n">
        <v>4</v>
      </c>
      <c r="X33" s="118" t="n">
        <v>363</v>
      </c>
      <c r="Y33" s="120" t="n">
        <v>1452</v>
      </c>
      <c r="Z33" s="120">
        <f>H33-Y33</f>
        <v>0</v>
      </c>
      <c r="AA33" s="127" t="n"/>
      <c r="AB33" s="122" t="inlineStr">
        <is>
          <t>実測</t>
        </is>
      </c>
      <c r="AC33" s="127" t="inlineStr">
        <is>
          <t>材料原価＝エスト単価×材料原価率×管長割増1.1（建設物価相当）</t>
        </is>
      </c>
    </row>
    <row r="34" ht="18" customHeight="1">
      <c r="A34" s="116" t="inlineStr">
        <is>
          <t xml:space="preserve">　　硬質塩化ビニル管</t>
        </is>
      </c>
      <c r="B34" s="40" t="n"/>
      <c r="C34" s="128" t="inlineStr">
        <is>
          <t>VP 40A</t>
        </is>
      </c>
      <c r="D34" s="40" t="n"/>
      <c r="E34" s="118" t="n">
        <v>6</v>
      </c>
      <c r="F34" s="119" t="inlineStr">
        <is>
          <t>m</t>
        </is>
      </c>
      <c r="G34" s="118" t="n">
        <v>363</v>
      </c>
      <c r="H34" s="120">
        <f>ROUND(E34*G34,0)</f>
        <v>2178</v>
      </c>
      <c r="I34" s="121" t="inlineStr">
        <is>
          <t>図面実測＋想定</t>
        </is>
      </c>
      <c r="J34" s="122" t="inlineStr">
        <is>
          <t>エスト見積</t>
        </is>
      </c>
      <c r="K34" s="122" t="n"/>
      <c r="L34" s="118">
        <f>ROUND(G34*MAT_RATIO*1.1,0)</f>
        <v>399</v>
      </c>
      <c r="M34" s="124" t="n">
        <v>0</v>
      </c>
      <c r="N34" s="118">
        <f>ROUND(M34*LABOR_COST,0)</f>
        <v>0</v>
      </c>
      <c r="O34" s="118">
        <f>L34+N34</f>
        <v>399</v>
      </c>
      <c r="P34" s="120">
        <f>E34*O34</f>
        <v>2394</v>
      </c>
      <c r="Q34" s="120">
        <f>E34*N34</f>
        <v>0</v>
      </c>
      <c r="R34" s="120">
        <f>IF(H34=0,0,IF(E34*M34*EST_LABOR_PIPE&gt;H34,H34,E34*M34*EST_LABOR_PIPE))</f>
        <v>0</v>
      </c>
      <c r="S34" s="120">
        <f>IF(H34="","",H34-P34)</f>
        <v>-216</v>
      </c>
      <c r="T34" s="125">
        <f>IF(OR(H34="",H34=0),"",S34/H34)</f>
        <v>-0.09917355371900827</v>
      </c>
      <c r="U34" s="124" t="n">
        <v>0.101</v>
      </c>
      <c r="V34" s="40" t="n"/>
      <c r="W34" s="126" t="n">
        <v>6</v>
      </c>
      <c r="X34" s="118" t="n">
        <v>363</v>
      </c>
      <c r="Y34" s="120" t="n">
        <v>2178</v>
      </c>
      <c r="Z34" s="120">
        <f>H34-Y34</f>
        <v>0</v>
      </c>
      <c r="AA34" s="127" t="n"/>
      <c r="AB34" s="154" t="inlineStr">
        <is>
          <t>実測+推測</t>
        </is>
      </c>
      <c r="AC34" s="127" t="inlineStr">
        <is>
          <t>材料原価＝エスト単価×材料原価率×管長割増1.1（建設物価相当）｜平面実測 3.29m＋天井内→接続立上り（H=150）への立下り 2.45m ＝ 5.74m</t>
        </is>
      </c>
    </row>
    <row r="35" ht="18" customHeight="1">
      <c r="A35" s="116" t="inlineStr">
        <is>
          <t xml:space="preserve">　　継手類</t>
        </is>
      </c>
      <c r="B35" s="40" t="n"/>
      <c r="C35" s="40" t="n"/>
      <c r="D35" s="40" t="n"/>
      <c r="E35" s="118" t="n">
        <v>1</v>
      </c>
      <c r="F35" s="119" t="inlineStr">
        <is>
          <t>式</t>
        </is>
      </c>
      <c r="G35" s="40" t="n"/>
      <c r="H35" s="120">
        <f>ROUND((H32+H33+H34)*U35,0)</f>
        <v>1289</v>
      </c>
      <c r="I35" s="114" t="n"/>
      <c r="J35" s="122" t="inlineStr">
        <is>
          <t>エスト算式</t>
        </is>
      </c>
      <c r="K35" s="40" t="n"/>
      <c r="L35" s="40" t="n"/>
      <c r="M35" s="40" t="n"/>
      <c r="N35" s="40" t="n"/>
      <c r="O35" s="40" t="n"/>
      <c r="P35" s="120">
        <f>ROUND((P32+P33+P34)*U35,0)</f>
        <v>1417</v>
      </c>
      <c r="Q35" s="120" t="n">
        <v>0</v>
      </c>
      <c r="R35" s="120" t="n">
        <v>0</v>
      </c>
      <c r="S35" s="120">
        <f>IF(H35="","",H35-P35)</f>
        <v>-128</v>
      </c>
      <c r="T35" s="125">
        <f>IF(OR(H35="",H35=0),"",S35/H35)</f>
        <v>-0.09930178432893716</v>
      </c>
      <c r="U35" s="138" t="n">
        <v>0.2</v>
      </c>
      <c r="V35" s="40" t="n"/>
      <c r="W35" s="126" t="n">
        <v>1</v>
      </c>
      <c r="X35" s="118" t="n"/>
      <c r="Y35" s="120" t="n">
        <v>1288</v>
      </c>
      <c r="Z35" s="120">
        <f>H35-Y35</f>
        <v>1</v>
      </c>
      <c r="AA35" s="127" t="n"/>
      <c r="AB35" s="122" t="n"/>
      <c r="AC35" s="127" t="inlineStr">
        <is>
          <t>管金額×率（エスト・公共積算と同率）。原価も同率</t>
        </is>
      </c>
    </row>
    <row r="36" ht="18" customHeight="1">
      <c r="A36" s="116" t="inlineStr">
        <is>
          <t xml:space="preserve">　　消耗品</t>
        </is>
      </c>
      <c r="B36" s="40" t="n"/>
      <c r="C36" s="40" t="n"/>
      <c r="D36" s="40" t="n"/>
      <c r="E36" s="118" t="n">
        <v>1</v>
      </c>
      <c r="F36" s="119" t="inlineStr">
        <is>
          <t>式</t>
        </is>
      </c>
      <c r="G36" s="40" t="n"/>
      <c r="H36" s="120">
        <f>ROUND((H32+H33+H34)*U36,0)</f>
        <v>645</v>
      </c>
      <c r="I36" s="114" t="n"/>
      <c r="J36" s="122" t="inlineStr">
        <is>
          <t>エスト算式</t>
        </is>
      </c>
      <c r="K36" s="40" t="n"/>
      <c r="L36" s="40" t="n"/>
      <c r="M36" s="40" t="n"/>
      <c r="N36" s="40" t="n"/>
      <c r="O36" s="40" t="n"/>
      <c r="P36" s="120">
        <f>ROUND((P32+P33+P34)*U36,0)</f>
        <v>709</v>
      </c>
      <c r="Q36" s="120" t="n">
        <v>0</v>
      </c>
      <c r="R36" s="120" t="n">
        <v>0</v>
      </c>
      <c r="S36" s="120">
        <f>IF(H36="","",H36-P36)</f>
        <v>-64</v>
      </c>
      <c r="T36" s="125">
        <f>IF(OR(H36="",H36=0),"",S36/H36)</f>
        <v>-0.09922480620155039</v>
      </c>
      <c r="U36" s="138" t="n">
        <v>0.1</v>
      </c>
      <c r="V36" s="40" t="n"/>
      <c r="W36" s="126" t="n">
        <v>1</v>
      </c>
      <c r="X36" s="118" t="n"/>
      <c r="Y36" s="120" t="n">
        <v>644</v>
      </c>
      <c r="Z36" s="120">
        <f>H36-Y36</f>
        <v>1</v>
      </c>
      <c r="AA36" s="127" t="n"/>
      <c r="AB36" s="122" t="n"/>
      <c r="AC36" s="127" t="inlineStr">
        <is>
          <t>管金額×率（エスト・公共積算と同率）。原価も同率</t>
        </is>
      </c>
    </row>
    <row r="37" ht="18" customHeight="1">
      <c r="A37" s="116" t="inlineStr">
        <is>
          <t xml:space="preserve">　　支持金物</t>
        </is>
      </c>
      <c r="B37" s="40" t="n"/>
      <c r="C37" s="40" t="n"/>
      <c r="D37" s="40" t="n"/>
      <c r="E37" s="118" t="n">
        <v>1</v>
      </c>
      <c r="F37" s="119" t="inlineStr">
        <is>
          <t>式</t>
        </is>
      </c>
      <c r="G37" s="40" t="n"/>
      <c r="H37" s="120">
        <f>ROUND((H32+H33+H34)*U37,0)</f>
        <v>1612</v>
      </c>
      <c r="I37" s="114" t="n"/>
      <c r="J37" s="122" t="inlineStr">
        <is>
          <t>エスト算式</t>
        </is>
      </c>
      <c r="K37" s="40" t="n"/>
      <c r="L37" s="40" t="n"/>
      <c r="M37" s="40" t="n"/>
      <c r="N37" s="40" t="n"/>
      <c r="O37" s="40" t="n"/>
      <c r="P37" s="120">
        <f>ROUND((P32+P33+P34)*U37,0)</f>
        <v>1772</v>
      </c>
      <c r="Q37" s="120" t="n">
        <v>0</v>
      </c>
      <c r="R37" s="120" t="n">
        <v>0</v>
      </c>
      <c r="S37" s="120">
        <f>IF(H37="","",H37-P37)</f>
        <v>-160</v>
      </c>
      <c r="T37" s="125">
        <f>IF(OR(H37="",H37=0),"",S37/H37)</f>
        <v>-0.09925558312655088</v>
      </c>
      <c r="U37" s="138" t="n">
        <v>0.25</v>
      </c>
      <c r="V37" s="40" t="n"/>
      <c r="W37" s="126" t="n">
        <v>1</v>
      </c>
      <c r="X37" s="118" t="n"/>
      <c r="Y37" s="120" t="n">
        <v>1610</v>
      </c>
      <c r="Z37" s="120">
        <f>H37-Y37</f>
        <v>2</v>
      </c>
      <c r="AA37" s="127" t="n"/>
      <c r="AB37" s="122" t="n"/>
      <c r="AC37" s="127" t="inlineStr">
        <is>
          <t>管金額×率（エスト・公共積算と同率）。原価も同率</t>
        </is>
      </c>
    </row>
    <row r="38" ht="18" customHeight="1">
      <c r="A38" s="116" t="inlineStr">
        <is>
          <t xml:space="preserve">　　ドレンホース用逆止弁</t>
        </is>
      </c>
      <c r="B38" s="40" t="n"/>
      <c r="C38" s="128" t="inlineStr">
        <is>
          <t>NDB-20-25（図示品）</t>
        </is>
      </c>
      <c r="D38" s="40" t="n"/>
      <c r="E38" s="118" t="n">
        <v>1</v>
      </c>
      <c r="F38" s="119" t="inlineStr">
        <is>
          <t>個</t>
        </is>
      </c>
      <c r="G38" s="118" t="n">
        <v>5730</v>
      </c>
      <c r="H38" s="120">
        <f>ROUND(E38*G38,0)</f>
        <v>5730</v>
      </c>
      <c r="I38" s="121" t="n"/>
      <c r="J38" s="122" t="inlineStr">
        <is>
          <t>当社単価（要確認）</t>
        </is>
      </c>
      <c r="K38" s="129" t="inlineStr">
        <is>
          <t>単価要確認</t>
        </is>
      </c>
      <c r="L38" s="123" t="n">
        <v>2800</v>
      </c>
      <c r="M38" s="124" t="n">
        <v>0.1</v>
      </c>
      <c r="N38" s="118">
        <f>ROUND(M38*LABOR_COST,0)</f>
        <v>1900</v>
      </c>
      <c r="O38" s="118">
        <f>L38+N38</f>
        <v>4700</v>
      </c>
      <c r="P38" s="120">
        <f>E38*O38</f>
        <v>4700</v>
      </c>
      <c r="Q38" s="120">
        <f>E38*N38</f>
        <v>1900</v>
      </c>
      <c r="R38" s="120">
        <f>IF(H38=0,0,IF(E38*M38*EST_LABOR_PIPE&gt;H38,H38,E38*M38*EST_LABOR_PIPE))</f>
        <v>3375</v>
      </c>
      <c r="S38" s="120">
        <f>IF(H38="","",H38-P38)</f>
        <v>1030</v>
      </c>
      <c r="T38" s="125">
        <f>IF(OR(H38="",H38=0),"",S38/H38)</f>
        <v>0.17975567190226877</v>
      </c>
      <c r="U38" s="40" t="n"/>
      <c r="V38" s="40" t="n"/>
      <c r="W38" s="40" t="n"/>
      <c r="X38" s="40" t="n"/>
      <c r="Y38" s="40" t="n"/>
      <c r="Z38" s="40" t="n"/>
      <c r="AA38" s="127" t="inlineStr">
        <is>
          <t>（エストに単価なし）</t>
        </is>
      </c>
      <c r="AB38" s="122" t="inlineStr">
        <is>
          <t>図面カウント</t>
        </is>
      </c>
      <c r="AC38" s="127" t="inlineStr">
        <is>
          <t>エストに単価がないため当社単価（前回見積）で仮計上。仕入価格を確認</t>
        </is>
      </c>
    </row>
    <row r="39" ht="18" customHeight="1">
      <c r="A39" s="115" t="inlineStr">
        <is>
          <t xml:space="preserve">　電線・ケーブル類</t>
        </is>
      </c>
      <c r="B39" s="40" t="n"/>
      <c r="C39" s="40" t="n"/>
      <c r="D39" s="40" t="n"/>
      <c r="E39" s="40" t="n"/>
      <c r="F39" s="40" t="n"/>
      <c r="G39" s="40" t="n"/>
      <c r="H39" s="40" t="n"/>
      <c r="I39" s="114"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row>
    <row r="40" ht="18" customHeight="1">
      <c r="A40" s="116" t="inlineStr">
        <is>
          <t xml:space="preserve">　　VVFケーブル（内外連絡線）</t>
        </is>
      </c>
      <c r="B40" s="40" t="n"/>
      <c r="C40" s="128" t="inlineStr">
        <is>
          <t>600V VV-F 2.0mm-3C</t>
        </is>
      </c>
      <c r="D40" s="40" t="n"/>
      <c r="E40" s="118" t="n">
        <v>56</v>
      </c>
      <c r="F40" s="119" t="inlineStr">
        <is>
          <t>m</t>
        </is>
      </c>
      <c r="G40" s="118" t="n">
        <v>203</v>
      </c>
      <c r="H40" s="120">
        <f>ROUND(E40*G40,0)</f>
        <v>11368</v>
      </c>
      <c r="I40" s="121" t="inlineStr">
        <is>
          <t>想定数量</t>
        </is>
      </c>
      <c r="J40" s="122" t="inlineStr">
        <is>
          <t>エスト見積</t>
        </is>
      </c>
      <c r="K40" s="122" t="n"/>
      <c r="L40" s="118">
        <f>ROUND(G40*MAT_RATIO*1.0,0)</f>
        <v>203</v>
      </c>
      <c r="M40" s="124" t="n">
        <v>0</v>
      </c>
      <c r="N40" s="118">
        <f>ROUND(M40*LABOR_COST,0)</f>
        <v>0</v>
      </c>
      <c r="O40" s="118">
        <f>L40+N40</f>
        <v>203</v>
      </c>
      <c r="P40" s="120">
        <f>E40*O40</f>
        <v>11368</v>
      </c>
      <c r="Q40" s="120">
        <f>E40*N40</f>
        <v>0</v>
      </c>
      <c r="R40" s="120">
        <f>IF(H40=0,0,IF(E40*M40*EST_LABOR_PIPE&gt;H40,H40,E40*M40*EST_LABOR_PIPE))</f>
        <v>0</v>
      </c>
      <c r="S40" s="120">
        <f>IF(H40="","",H40-P40)</f>
        <v>0</v>
      </c>
      <c r="T40" s="125">
        <f>IF(OR(H40="",H40=0),"",S40/H40)</f>
        <v>0</v>
      </c>
      <c r="U40" s="124" t="n">
        <v>0.017</v>
      </c>
      <c r="V40" s="40" t="n"/>
      <c r="W40" s="126" t="n">
        <v>56</v>
      </c>
      <c r="X40" s="118" t="n">
        <v>203</v>
      </c>
      <c r="Y40" s="120" t="n">
        <v>11368</v>
      </c>
      <c r="Z40" s="120">
        <f>H40-Y40</f>
        <v>0</v>
      </c>
      <c r="AA40" s="127" t="n"/>
      <c r="AB40" s="154" t="inlineStr">
        <is>
          <t>推測</t>
        </is>
      </c>
      <c r="AC40" s="127" t="inlineStr">
        <is>
          <t>材料原価＝エスト単価×材料原価率×管長割増1.0（建設物価相当）｜内外連絡線＝冷媒配管の系統長（14.15＋9.24＋11.08＋9.45m）＋余長 3.0m×4系統 ＝ 55.92m（エスト見積も 56m）</t>
        </is>
      </c>
    </row>
    <row r="41" ht="18" customHeight="1">
      <c r="A41" s="116" t="inlineStr">
        <is>
          <t xml:space="preserve">　　配管工費（冷媒配管）</t>
        </is>
      </c>
      <c r="B41" s="40" t="n"/>
      <c r="C41" s="40" t="n"/>
      <c r="D41" s="40" t="n"/>
      <c r="E41" s="118" t="n">
        <v>1</v>
      </c>
      <c r="F41" s="119" t="inlineStr">
        <is>
          <t>式</t>
        </is>
      </c>
      <c r="G41" s="40" t="n"/>
      <c r="H41" s="120">
        <f>ROUNDUP(M41*EST_LABOR_PIPE,-1)</f>
        <v>212290</v>
      </c>
      <c r="I41" s="114" t="n"/>
      <c r="J41" s="122" t="inlineStr">
        <is>
          <t>エスト算式</t>
        </is>
      </c>
      <c r="K41" s="40" t="n"/>
      <c r="L41" s="118" t="n">
        <v>0</v>
      </c>
      <c r="M41" s="136">
        <f>E26*U26+E27*U27</f>
        <v>6.29</v>
      </c>
      <c r="N41" s="118">
        <f>ROUND(M41*LABOR_COST,0)</f>
        <v>119510</v>
      </c>
      <c r="O41" s="118">
        <f>L41+N41</f>
        <v>119510</v>
      </c>
      <c r="P41" s="120">
        <f>E41*O41</f>
        <v>119510</v>
      </c>
      <c r="Q41" s="120">
        <f>E41*N41</f>
        <v>119510</v>
      </c>
      <c r="R41" s="120">
        <f>H41</f>
        <v>212290</v>
      </c>
      <c r="S41" s="120">
        <f>IF(H41="","",H41-P41)</f>
        <v>92780</v>
      </c>
      <c r="T41" s="125">
        <f>IF(OR(H41="",H41=0),"",S41/H41)</f>
        <v>0.43704366668236844</v>
      </c>
      <c r="U41" s="40" t="n"/>
      <c r="V41" s="40" t="n"/>
      <c r="W41" s="126" t="n">
        <v>1</v>
      </c>
      <c r="X41" s="118" t="n"/>
      <c r="Y41" s="120" t="n">
        <v>212290</v>
      </c>
      <c r="Z41" s="120">
        <f>H41-Y41</f>
        <v>0</v>
      </c>
      <c r="AA41" s="127" t="n"/>
      <c r="AB41" s="122" t="n"/>
      <c r="AC41" s="127" t="inlineStr">
        <is>
          <t>歩掛 公共建築工事標準単価積算基準 R8 表M1-1-50（液管＋ガス管）× エスト労務単価</t>
        </is>
      </c>
    </row>
    <row r="42" ht="18" customHeight="1">
      <c r="A42" s="116" t="inlineStr">
        <is>
          <t xml:space="preserve">　　配管工費（塩ビ管類）</t>
        </is>
      </c>
      <c r="B42" s="40" t="n"/>
      <c r="C42" s="40" t="n"/>
      <c r="D42" s="40" t="n"/>
      <c r="E42" s="118" t="n">
        <v>1</v>
      </c>
      <c r="F42" s="119" t="inlineStr">
        <is>
          <t>式</t>
        </is>
      </c>
      <c r="G42" s="40" t="n"/>
      <c r="H42" s="120">
        <f>ROUNDUP(M42*EST_LABOR_PIPE,-1)</f>
        <v>53600</v>
      </c>
      <c r="I42" s="114" t="n"/>
      <c r="J42" s="122" t="inlineStr">
        <is>
          <t>エスト算式</t>
        </is>
      </c>
      <c r="K42" s="40" t="n"/>
      <c r="L42" s="118" t="n">
        <v>0</v>
      </c>
      <c r="M42" s="136">
        <f>E32*U32+E33*U33+E34*U34</f>
        <v>1.588</v>
      </c>
      <c r="N42" s="118">
        <f>ROUND(M42*LABOR_COST,0)</f>
        <v>30172</v>
      </c>
      <c r="O42" s="118">
        <f>L42+N42</f>
        <v>30172</v>
      </c>
      <c r="P42" s="120">
        <f>E42*O42</f>
        <v>30172</v>
      </c>
      <c r="Q42" s="120">
        <f>E42*N42</f>
        <v>30172</v>
      </c>
      <c r="R42" s="120">
        <f>H42</f>
        <v>53600</v>
      </c>
      <c r="S42" s="120">
        <f>IF(H42="","",H42-P42)</f>
        <v>23428</v>
      </c>
      <c r="T42" s="125">
        <f>IF(OR(H42="",H42=0),"",S42/H42)</f>
        <v>0.43708955223880597</v>
      </c>
      <c r="U42" s="40" t="n"/>
      <c r="V42" s="40" t="n"/>
      <c r="W42" s="126" t="n">
        <v>1</v>
      </c>
      <c r="X42" s="118" t="n"/>
      <c r="Y42" s="120" t="n">
        <v>53600</v>
      </c>
      <c r="Z42" s="120">
        <f>H42-Y42</f>
        <v>0</v>
      </c>
      <c r="AA42" s="127" t="n"/>
      <c r="AB42" s="122" t="n"/>
      <c r="AC42" s="127" t="inlineStr">
        <is>
          <t>歩掛 同 表M1-1-46 排水・屋内一般 × エスト労務単価</t>
        </is>
      </c>
    </row>
    <row r="43" ht="18" customHeight="1">
      <c r="A43" s="116" t="inlineStr">
        <is>
          <t xml:space="preserve">　　電線材料施工費</t>
        </is>
      </c>
      <c r="B43" s="40" t="n"/>
      <c r="C43" s="40" t="n"/>
      <c r="D43" s="40" t="n"/>
      <c r="E43" s="118" t="n">
        <v>1</v>
      </c>
      <c r="F43" s="119" t="inlineStr">
        <is>
          <t>式</t>
        </is>
      </c>
      <c r="G43" s="40" t="n"/>
      <c r="H43" s="120">
        <f>ROUNDUP(M43*EST_LABOR_ELEC,-1)</f>
        <v>31990</v>
      </c>
      <c r="I43" s="114" t="n"/>
      <c r="J43" s="122" t="inlineStr">
        <is>
          <t>エスト算式</t>
        </is>
      </c>
      <c r="K43" s="40" t="n"/>
      <c r="L43" s="118" t="n">
        <v>0</v>
      </c>
      <c r="M43" s="136">
        <f>E40*U40</f>
        <v>0.9520000000000001</v>
      </c>
      <c r="N43" s="118">
        <f>ROUND(M43*LABOR_COST,0)</f>
        <v>18088</v>
      </c>
      <c r="O43" s="118">
        <f>L43+N43</f>
        <v>18088</v>
      </c>
      <c r="P43" s="120">
        <f>E43*O43</f>
        <v>18088</v>
      </c>
      <c r="Q43" s="120">
        <f>E43*N43</f>
        <v>18088</v>
      </c>
      <c r="R43" s="120">
        <f>H43</f>
        <v>31990</v>
      </c>
      <c r="S43" s="120">
        <f>IF(H43="","",H43-P43)</f>
        <v>13902</v>
      </c>
      <c r="T43" s="125">
        <f>IF(OR(H43="",H43=0),"",S43/H43)</f>
        <v>0.43457330415754925</v>
      </c>
      <c r="U43" s="40" t="n"/>
      <c r="V43" s="40" t="n"/>
      <c r="W43" s="126" t="n">
        <v>1</v>
      </c>
      <c r="X43" s="118" t="n"/>
      <c r="Y43" s="120" t="n">
        <v>31990</v>
      </c>
      <c r="Z43" s="120">
        <f>H43-Y43</f>
        <v>0</v>
      </c>
      <c r="AA43" s="127" t="n"/>
      <c r="AB43" s="122" t="n"/>
      <c r="AC43" s="127" t="inlineStr">
        <is>
          <t>歩掛 0.017人/m × エスト電工労務単価（エスト見積から逆算）</t>
        </is>
      </c>
    </row>
    <row r="44" ht="18" customHeight="1">
      <c r="A44" s="115" t="inlineStr">
        <is>
          <t xml:space="preserve">　配管保温工事費</t>
        </is>
      </c>
      <c r="B44" s="40" t="n"/>
      <c r="C44" s="40" t="n"/>
      <c r="D44" s="40" t="n"/>
      <c r="E44" s="40" t="n"/>
      <c r="F44" s="40" t="n"/>
      <c r="G44" s="40" t="n"/>
      <c r="H44" s="40" t="n"/>
      <c r="I44" s="114"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row>
    <row r="45" ht="26.5" customHeight="1">
      <c r="A45" s="116" t="inlineStr">
        <is>
          <t xml:space="preserve">　　樹脂製化粧カバー</t>
        </is>
      </c>
      <c r="B45" s="40" t="n"/>
      <c r="C45" s="117" t="inlineStr">
        <is>
          <t>冷媒用被覆銅管（10+20t）6.35+9.52 屋外</t>
        </is>
      </c>
      <c r="D45" s="40" t="n"/>
      <c r="E45" s="118" t="n">
        <v>3</v>
      </c>
      <c r="F45" s="119" t="inlineStr">
        <is>
          <t>m</t>
        </is>
      </c>
      <c r="G45" s="118" t="n">
        <v>4225</v>
      </c>
      <c r="H45" s="120">
        <f>ROUND(E45*G45,0)</f>
        <v>12675</v>
      </c>
      <c r="I45" s="121" t="inlineStr">
        <is>
          <t>図面実測＋想定</t>
        </is>
      </c>
      <c r="J45" s="122" t="inlineStr">
        <is>
          <t>エスト見積</t>
        </is>
      </c>
      <c r="K45" s="129" t="inlineStr">
        <is>
          <t>エストと数量差</t>
        </is>
      </c>
      <c r="L45" s="123" t="n">
        <v>1800</v>
      </c>
      <c r="M45" s="124" t="n">
        <v>0.1</v>
      </c>
      <c r="N45" s="118">
        <f>ROUND(M45*LABOR_COST,0)</f>
        <v>1900</v>
      </c>
      <c r="O45" s="118">
        <f>L45+N45</f>
        <v>3700</v>
      </c>
      <c r="P45" s="120">
        <f>E45*O45</f>
        <v>11100</v>
      </c>
      <c r="Q45" s="120">
        <f>E45*N45</f>
        <v>5700</v>
      </c>
      <c r="R45" s="120">
        <f>IF(H45=0,0,IF(E45*M45*EST_LABOR_PIPE&gt;H45,H45,E45*M45*EST_LABOR_PIPE))</f>
        <v>10125.000000000002</v>
      </c>
      <c r="S45" s="120">
        <f>IF(H45="","",H45-P45)</f>
        <v>1575</v>
      </c>
      <c r="T45" s="125">
        <f>IF(OR(H45="",H45=0),"",S45/H45)</f>
        <v>0.1242603550295858</v>
      </c>
      <c r="U45" s="40" t="n"/>
      <c r="V45" s="40" t="n"/>
      <c r="W45" s="126" t="n">
        <v>5</v>
      </c>
      <c r="X45" s="118" t="n">
        <v>4225</v>
      </c>
      <c r="Y45" s="120" t="n">
        <v>21125</v>
      </c>
      <c r="Z45" s="120">
        <f>H45-Y45</f>
        <v>-8450</v>
      </c>
      <c r="AA45" s="127" t="inlineStr">
        <is>
          <t>外装仕上げ スカイダクト φ6.4/9.5 5m以下10,500＋1m追加2,100</t>
        </is>
      </c>
      <c r="AB45" s="154" t="inlineStr">
        <is>
          <t>実測+推測</t>
        </is>
      </c>
      <c r="AC45" s="127" t="inlineStr">
        <is>
          <t>RAC: 屋外平面 1.21m（実測）＋立上り（上段）0.9m ＝ 2.11m</t>
        </is>
      </c>
    </row>
    <row r="46" ht="26.5" customHeight="1">
      <c r="A46" s="116" t="inlineStr">
        <is>
          <t xml:space="preserve">　　樹脂製化粧カバー</t>
        </is>
      </c>
      <c r="B46" s="40" t="n"/>
      <c r="C46" s="117" t="inlineStr">
        <is>
          <t>冷媒用被覆銅管（10+20t）9.52+15.88 屋外</t>
        </is>
      </c>
      <c r="D46" s="40" t="n"/>
      <c r="E46" s="118" t="n">
        <v>8</v>
      </c>
      <c r="F46" s="119" t="inlineStr">
        <is>
          <t>m</t>
        </is>
      </c>
      <c r="G46" s="118" t="n">
        <v>5525</v>
      </c>
      <c r="H46" s="120">
        <f>ROUND(E46*G46,0)</f>
        <v>44200</v>
      </c>
      <c r="I46" s="121" t="inlineStr">
        <is>
          <t>図面実測＋想定</t>
        </is>
      </c>
      <c r="J46" s="122" t="inlineStr">
        <is>
          <t>エスト見積</t>
        </is>
      </c>
      <c r="K46" s="129" t="inlineStr">
        <is>
          <t>エストと数量差</t>
        </is>
      </c>
      <c r="L46" s="123" t="n">
        <v>2400</v>
      </c>
      <c r="M46" s="124" t="n">
        <v>0.1</v>
      </c>
      <c r="N46" s="118">
        <f>ROUND(M46*LABOR_COST,0)</f>
        <v>1900</v>
      </c>
      <c r="O46" s="118">
        <f>L46+N46</f>
        <v>4300</v>
      </c>
      <c r="P46" s="120">
        <f>E46*O46</f>
        <v>34400</v>
      </c>
      <c r="Q46" s="120">
        <f>E46*N46</f>
        <v>15200</v>
      </c>
      <c r="R46" s="120">
        <f>IF(H46=0,0,IF(E46*M46*EST_LABOR_PIPE&gt;H46,H46,E46*M46*EST_LABOR_PIPE))</f>
        <v>27000</v>
      </c>
      <c r="S46" s="120">
        <f>IF(H46="","",H46-P46)</f>
        <v>9800</v>
      </c>
      <c r="T46" s="125">
        <f>IF(OR(H46="",H46=0),"",S46/H46)</f>
        <v>0.22171945701357465</v>
      </c>
      <c r="U46" s="40" t="n"/>
      <c r="V46" s="40" t="n"/>
      <c r="W46" s="126" t="n">
        <v>10</v>
      </c>
      <c r="X46" s="118" t="n">
        <v>5525</v>
      </c>
      <c r="Y46" s="120" t="n">
        <v>55250</v>
      </c>
      <c r="Z46" s="120">
        <f>H46-Y46</f>
        <v>-11050</v>
      </c>
      <c r="AA46" s="127" t="inlineStr">
        <is>
          <t>外装仕上げ スカイダクト φ9.5/15.9 5m以下15,800＋1m追加2,600</t>
        </is>
      </c>
      <c r="AB46" s="154" t="inlineStr">
        <is>
          <t>実測+推測</t>
        </is>
      </c>
      <c r="AC46" s="127" t="inlineStr">
        <is>
          <t>AC-1×2・AC-2: 屋外平面 2.60m（実測）＋立上り（下段 2.2m×2・上段 0.9m×1）＝ 7.90m</t>
        </is>
      </c>
    </row>
    <row r="47" ht="18" customHeight="1">
      <c r="A47" s="116" t="inlineStr">
        <is>
          <t xml:space="preserve">　　排水VP保温 GW20mm+ALGC</t>
        </is>
      </c>
      <c r="B47" s="40" t="n"/>
      <c r="C47" s="128" t="inlineStr">
        <is>
          <t>屋内隠蔽 25A</t>
        </is>
      </c>
      <c r="D47" s="40" t="n"/>
      <c r="E47" s="118" t="n">
        <v>9</v>
      </c>
      <c r="F47" s="119" t="inlineStr">
        <is>
          <t>m</t>
        </is>
      </c>
      <c r="G47" s="118" t="n">
        <v>2563</v>
      </c>
      <c r="H47" s="120">
        <f>ROUND(E47*G47,0)</f>
        <v>23067</v>
      </c>
      <c r="I47" s="121" t="inlineStr">
        <is>
          <t>図面実測＋想定</t>
        </is>
      </c>
      <c r="J47" s="122" t="inlineStr">
        <is>
          <t>エスト見積</t>
        </is>
      </c>
      <c r="K47" s="122" t="n"/>
      <c r="L47" s="123" t="n">
        <v>900</v>
      </c>
      <c r="M47" s="124" t="n">
        <v>0.06</v>
      </c>
      <c r="N47" s="118">
        <f>ROUND(M47*LABOR_COST,0)</f>
        <v>1140</v>
      </c>
      <c r="O47" s="118">
        <f>L47+N47</f>
        <v>2040</v>
      </c>
      <c r="P47" s="120">
        <f>E47*O47</f>
        <v>18360</v>
      </c>
      <c r="Q47" s="120">
        <f>E47*N47</f>
        <v>10260</v>
      </c>
      <c r="R47" s="120">
        <f>IF(H47=0,0,IF(E47*M47*EST_LABOR_PIPE&gt;H47,H47,E47*M47*EST_LABOR_PIPE))</f>
        <v>18225</v>
      </c>
      <c r="S47" s="120">
        <f>IF(H47="","",H47-P47)</f>
        <v>4707</v>
      </c>
      <c r="T47" s="125">
        <f>IF(OR(H47="",H47=0),"",S47/H47)</f>
        <v>0.20405774483027703</v>
      </c>
      <c r="U47" s="40" t="n"/>
      <c r="V47" s="40" t="n"/>
      <c r="W47" s="126" t="n">
        <v>9</v>
      </c>
      <c r="X47" s="118" t="n">
        <v>2563</v>
      </c>
      <c r="Y47" s="120" t="n">
        <v>23067</v>
      </c>
      <c r="Z47" s="120">
        <f>H47-Y47</f>
        <v>0</v>
      </c>
      <c r="AA47" s="127" t="n"/>
      <c r="AB47" s="154" t="inlineStr">
        <is>
          <t>実測+推測</t>
        </is>
      </c>
      <c r="AC47" s="127" t="inlineStr">
        <is>
          <t>ドレン管 VP25 と同長</t>
        </is>
      </c>
    </row>
    <row r="48" ht="18" customHeight="1">
      <c r="A48" s="116" t="inlineStr">
        <is>
          <t xml:space="preserve">　　排水VP保温 GW20mm+ALGC</t>
        </is>
      </c>
      <c r="B48" s="40" t="n"/>
      <c r="C48" s="128" t="inlineStr">
        <is>
          <t>屋内隠蔽 30A</t>
        </is>
      </c>
      <c r="D48" s="40" t="n"/>
      <c r="E48" s="118" t="n">
        <v>4</v>
      </c>
      <c r="F48" s="119" t="inlineStr">
        <is>
          <t>m</t>
        </is>
      </c>
      <c r="G48" s="118" t="n">
        <v>2713</v>
      </c>
      <c r="H48" s="120">
        <f>ROUND(E48*G48,0)</f>
        <v>10852</v>
      </c>
      <c r="I48" s="121" t="n"/>
      <c r="J48" s="122" t="inlineStr">
        <is>
          <t>エスト見積</t>
        </is>
      </c>
      <c r="K48" s="122" t="n"/>
      <c r="L48" s="123" t="n">
        <v>1000</v>
      </c>
      <c r="M48" s="124" t="n">
        <v>0.065</v>
      </c>
      <c r="N48" s="118">
        <f>ROUND(M48*LABOR_COST,0)</f>
        <v>1235</v>
      </c>
      <c r="O48" s="118">
        <f>L48+N48</f>
        <v>2235</v>
      </c>
      <c r="P48" s="120">
        <f>E48*O48</f>
        <v>8940</v>
      </c>
      <c r="Q48" s="120">
        <f>E48*N48</f>
        <v>4940</v>
      </c>
      <c r="R48" s="120">
        <f>IF(H48=0,0,IF(E48*M48*EST_LABOR_PIPE&gt;H48,H48,E48*M48*EST_LABOR_PIPE))</f>
        <v>8775</v>
      </c>
      <c r="S48" s="120">
        <f>IF(H48="","",H48-P48)</f>
        <v>1912</v>
      </c>
      <c r="T48" s="125">
        <f>IF(OR(H48="",H48=0),"",S48/H48)</f>
        <v>0.17618872097309252</v>
      </c>
      <c r="U48" s="40" t="n"/>
      <c r="V48" s="40" t="n"/>
      <c r="W48" s="126" t="n">
        <v>4</v>
      </c>
      <c r="X48" s="118" t="n">
        <v>2713</v>
      </c>
      <c r="Y48" s="120" t="n">
        <v>10852</v>
      </c>
      <c r="Z48" s="120">
        <f>H48-Y48</f>
        <v>0</v>
      </c>
      <c r="AA48" s="127" t="n"/>
      <c r="AB48" s="122" t="inlineStr">
        <is>
          <t>実測</t>
        </is>
      </c>
      <c r="AC48" s="127" t="n"/>
    </row>
    <row r="49" ht="18" customHeight="1">
      <c r="A49" s="116" t="inlineStr">
        <is>
          <t xml:space="preserve">　　排水VP保温 GW20mm+ALGC</t>
        </is>
      </c>
      <c r="B49" s="40" t="n"/>
      <c r="C49" s="128" t="inlineStr">
        <is>
          <t>屋内隠蔽 40A</t>
        </is>
      </c>
      <c r="D49" s="40" t="n"/>
      <c r="E49" s="118" t="n">
        <v>6</v>
      </c>
      <c r="F49" s="119" t="inlineStr">
        <is>
          <t>m</t>
        </is>
      </c>
      <c r="G49" s="118" t="n">
        <v>2950</v>
      </c>
      <c r="H49" s="120">
        <f>ROUND(E49*G49,0)</f>
        <v>17700</v>
      </c>
      <c r="I49" s="121" t="inlineStr">
        <is>
          <t>図面実測＋想定</t>
        </is>
      </c>
      <c r="J49" s="122" t="inlineStr">
        <is>
          <t>エスト見積</t>
        </is>
      </c>
      <c r="K49" s="122" t="n"/>
      <c r="L49" s="123" t="n">
        <v>1100</v>
      </c>
      <c r="M49" s="124" t="n">
        <v>0.07000000000000001</v>
      </c>
      <c r="N49" s="118">
        <f>ROUND(M49*LABOR_COST,0)</f>
        <v>1330</v>
      </c>
      <c r="O49" s="118">
        <f>L49+N49</f>
        <v>2430</v>
      </c>
      <c r="P49" s="120">
        <f>E49*O49</f>
        <v>14580</v>
      </c>
      <c r="Q49" s="120">
        <f>E49*N49</f>
        <v>7980</v>
      </c>
      <c r="R49" s="120">
        <f>IF(H49=0,0,IF(E49*M49*EST_LABOR_PIPE&gt;H49,H49,E49*M49*EST_LABOR_PIPE))</f>
        <v>14175.000000000002</v>
      </c>
      <c r="S49" s="120">
        <f>IF(H49="","",H49-P49)</f>
        <v>3120</v>
      </c>
      <c r="T49" s="125">
        <f>IF(OR(H49="",H49=0),"",S49/H49)</f>
        <v>0.17627118644067796</v>
      </c>
      <c r="U49" s="40" t="n"/>
      <c r="V49" s="40" t="n"/>
      <c r="W49" s="126" t="n">
        <v>6</v>
      </c>
      <c r="X49" s="118" t="n">
        <v>2950</v>
      </c>
      <c r="Y49" s="120" t="n">
        <v>17700</v>
      </c>
      <c r="Z49" s="120">
        <f>H49-Y49</f>
        <v>0</v>
      </c>
      <c r="AA49" s="127" t="n"/>
      <c r="AB49" s="154" t="inlineStr">
        <is>
          <t>実測+推測</t>
        </is>
      </c>
      <c r="AC49" s="127" t="inlineStr">
        <is>
          <t>ドレン管 VP40 と同長</t>
        </is>
      </c>
    </row>
    <row r="50" ht="26.5" customHeight="1">
      <c r="A50" s="116" t="inlineStr">
        <is>
          <t xml:space="preserve">　　スリーブインサート費</t>
        </is>
      </c>
      <c r="B50" s="40" t="n"/>
      <c r="C50" s="117" t="inlineStr">
        <is>
          <t>外壁貫通 4箇所（穴明け・シーリング）</t>
        </is>
      </c>
      <c r="D50" s="40" t="n"/>
      <c r="E50" s="118" t="n">
        <v>1</v>
      </c>
      <c r="F50" s="119" t="inlineStr">
        <is>
          <t>式</t>
        </is>
      </c>
      <c r="G50" s="118" t="n">
        <v>50000</v>
      </c>
      <c r="H50" s="120">
        <f>ROUND(E50*G50,0)</f>
        <v>50000</v>
      </c>
      <c r="I50" s="121" t="n"/>
      <c r="J50" s="122" t="inlineStr">
        <is>
          <t>エスト見積</t>
        </is>
      </c>
      <c r="K50" s="122" t="n"/>
      <c r="L50" s="123" t="n">
        <v>6000</v>
      </c>
      <c r="M50" s="124" t="n">
        <v>1</v>
      </c>
      <c r="N50" s="118">
        <f>ROUND(M50*LABOR_COST,0)</f>
        <v>19000</v>
      </c>
      <c r="O50" s="118">
        <f>L50+N50</f>
        <v>25000</v>
      </c>
      <c r="P50" s="120">
        <f>E50*O50</f>
        <v>25000</v>
      </c>
      <c r="Q50" s="120">
        <f>E50*N50</f>
        <v>19000</v>
      </c>
      <c r="R50" s="120">
        <f>IF(H50=0,0,IF(E50*M50*EST_LABOR_PIPE&gt;H50,H50,E50*M50*EST_LABOR_PIPE))</f>
        <v>33750</v>
      </c>
      <c r="S50" s="120">
        <f>IF(H50="","",H50-P50)</f>
        <v>25000</v>
      </c>
      <c r="T50" s="125">
        <f>IF(OR(H50="",H50=0),"",S50/H50)</f>
        <v>0.5</v>
      </c>
      <c r="U50" s="40" t="n"/>
      <c r="V50" s="40" t="n"/>
      <c r="W50" s="126" t="n">
        <v>1</v>
      </c>
      <c r="X50" s="118" t="n"/>
      <c r="Y50" s="120" t="n">
        <v>50000</v>
      </c>
      <c r="Z50" s="120">
        <f>H50-Y50</f>
        <v>0</v>
      </c>
      <c r="AA50" s="127" t="n"/>
      <c r="AB50" s="122" t="inlineStr">
        <is>
          <t>図面カウント</t>
        </is>
      </c>
      <c r="AC50" s="127" t="inlineStr">
        <is>
          <t>冷媒管4系統の外壁貫通。原価は材料1,500円＋0.25人工/箇所</t>
        </is>
      </c>
    </row>
    <row r="51" ht="18" customHeight="1">
      <c r="A51" s="115" t="inlineStr">
        <is>
          <t xml:space="preserve">　気密テスト費</t>
        </is>
      </c>
      <c r="B51" s="40" t="n"/>
      <c r="C51" s="40" t="n"/>
      <c r="D51" s="40" t="n"/>
      <c r="E51" s="40" t="n"/>
      <c r="F51" s="40" t="n"/>
      <c r="G51" s="40" t="n"/>
      <c r="H51" s="40" t="n"/>
      <c r="I51" s="114"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row>
    <row r="52" ht="18" customHeight="1">
      <c r="A52" s="116" t="inlineStr">
        <is>
          <t xml:space="preserve">　　気密テスト費</t>
        </is>
      </c>
      <c r="B52" s="40" t="n"/>
      <c r="C52" s="128" t="inlineStr">
        <is>
          <t>SA</t>
        </is>
      </c>
      <c r="D52" s="40" t="n"/>
      <c r="E52" s="118" t="n">
        <v>3</v>
      </c>
      <c r="F52" s="119" t="inlineStr">
        <is>
          <t>系統</t>
        </is>
      </c>
      <c r="G52" s="118" t="n">
        <v>12500</v>
      </c>
      <c r="H52" s="120">
        <f>ROUND(E52*G52,0)</f>
        <v>37500</v>
      </c>
      <c r="I52" s="121" t="n"/>
      <c r="J52" s="122" t="inlineStr">
        <is>
          <t>エスト見積</t>
        </is>
      </c>
      <c r="K52" s="129" t="inlineStr">
        <is>
          <t>エストと数量差</t>
        </is>
      </c>
      <c r="L52" s="123" t="n">
        <v>2000</v>
      </c>
      <c r="M52" s="124" t="n">
        <v>0.45</v>
      </c>
      <c r="N52" s="118">
        <f>ROUND(M52*LABOR_COST,0)</f>
        <v>8550</v>
      </c>
      <c r="O52" s="118">
        <f>L52+N52</f>
        <v>10550</v>
      </c>
      <c r="P52" s="120">
        <f>E52*O52</f>
        <v>31650</v>
      </c>
      <c r="Q52" s="120">
        <f>E52*N52</f>
        <v>25650</v>
      </c>
      <c r="R52" s="120">
        <f>IF(H52=0,0,IF(E52*M52*EST_LABOR_PIPE&gt;H52,H52,E52*M52*EST_LABOR_PIPE))</f>
        <v>37500</v>
      </c>
      <c r="S52" s="120">
        <f>IF(H52="","",H52-P52)</f>
        <v>5850</v>
      </c>
      <c r="T52" s="125">
        <f>IF(OR(H52="",H52=0),"",S52/H52)</f>
        <v>0.156</v>
      </c>
      <c r="U52" s="40" t="n"/>
      <c r="V52" s="40" t="n"/>
      <c r="W52" s="126" t="n">
        <v>2</v>
      </c>
      <c r="X52" s="118" t="n">
        <v>12500</v>
      </c>
      <c r="Y52" s="120" t="n">
        <v>25000</v>
      </c>
      <c r="Z52" s="120">
        <f>H52-Y52</f>
        <v>12500</v>
      </c>
      <c r="AA52" s="127" t="n"/>
      <c r="AB52" s="122" t="inlineStr">
        <is>
          <t>図面カウント</t>
        </is>
      </c>
      <c r="AC52" s="127" t="inlineStr">
        <is>
          <t>エストは2系統</t>
        </is>
      </c>
    </row>
    <row r="53" ht="18" customHeight="1">
      <c r="A53" s="116" t="inlineStr">
        <is>
          <t xml:space="preserve">　　気密テスト費</t>
        </is>
      </c>
      <c r="B53" s="40" t="n"/>
      <c r="C53" s="128" t="inlineStr">
        <is>
          <t>RA</t>
        </is>
      </c>
      <c r="D53" s="40" t="n"/>
      <c r="E53" s="118" t="n">
        <v>1</v>
      </c>
      <c r="F53" s="119" t="inlineStr">
        <is>
          <t>系統</t>
        </is>
      </c>
      <c r="G53" s="118" t="n">
        <v>10000</v>
      </c>
      <c r="H53" s="120">
        <f>ROUND(E53*G53,0)</f>
        <v>10000</v>
      </c>
      <c r="I53" s="121" t="n"/>
      <c r="J53" s="122" t="inlineStr">
        <is>
          <t>エスト見積</t>
        </is>
      </c>
      <c r="K53" s="122" t="n"/>
      <c r="L53" s="123" t="n">
        <v>1000</v>
      </c>
      <c r="M53" s="124" t="n">
        <v>0.2</v>
      </c>
      <c r="N53" s="118">
        <f>ROUND(M53*LABOR_COST,0)</f>
        <v>3800</v>
      </c>
      <c r="O53" s="118">
        <f>L53+N53</f>
        <v>4800</v>
      </c>
      <c r="P53" s="120">
        <f>E53*O53</f>
        <v>4800</v>
      </c>
      <c r="Q53" s="120">
        <f>E53*N53</f>
        <v>3800</v>
      </c>
      <c r="R53" s="120">
        <f>IF(H53=0,0,IF(E53*M53*EST_LABOR_PIPE&gt;H53,H53,E53*M53*EST_LABOR_PIPE))</f>
        <v>6750</v>
      </c>
      <c r="S53" s="120">
        <f>IF(H53="","",H53-P53)</f>
        <v>5200</v>
      </c>
      <c r="T53" s="125">
        <f>IF(OR(H53="",H53=0),"",S53/H53)</f>
        <v>0.52</v>
      </c>
      <c r="U53" s="40" t="n"/>
      <c r="V53" s="40" t="n"/>
      <c r="W53" s="126" t="n">
        <v>1</v>
      </c>
      <c r="X53" s="118" t="n">
        <v>10000</v>
      </c>
      <c r="Y53" s="120" t="n">
        <v>10000</v>
      </c>
      <c r="Z53" s="120">
        <f>H53-Y53</f>
        <v>0</v>
      </c>
      <c r="AA53" s="127" t="n"/>
      <c r="AB53" s="122" t="inlineStr">
        <is>
          <t>図面カウント</t>
        </is>
      </c>
      <c r="AC53" s="127" t="n"/>
    </row>
    <row r="54" ht="18" customHeight="1">
      <c r="A54" s="115" t="inlineStr">
        <is>
          <t xml:space="preserve">　真空引き・ガス充填（基本料金）</t>
        </is>
      </c>
      <c r="B54" s="40" t="n"/>
      <c r="C54" s="40" t="n"/>
      <c r="D54" s="40" t="n"/>
      <c r="E54" s="40" t="n"/>
      <c r="F54" s="40" t="n"/>
      <c r="G54" s="40" t="n"/>
      <c r="H54" s="40" t="n"/>
      <c r="I54" s="114"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row>
    <row r="55" ht="18" customHeight="1">
      <c r="A55" s="116" t="inlineStr">
        <is>
          <t xml:space="preserve">　　真空引き・ガス充填</t>
        </is>
      </c>
      <c r="B55" s="40" t="n"/>
      <c r="C55" s="128" t="inlineStr">
        <is>
          <t>SA（基本料金）</t>
        </is>
      </c>
      <c r="D55" s="40" t="n"/>
      <c r="E55" s="118" t="n">
        <v>3</v>
      </c>
      <c r="F55" s="119" t="inlineStr">
        <is>
          <t>系統</t>
        </is>
      </c>
      <c r="G55" s="118" t="n">
        <v>2500</v>
      </c>
      <c r="H55" s="120">
        <f>ROUND(E55*G55,0)</f>
        <v>7500</v>
      </c>
      <c r="I55" s="121" t="n"/>
      <c r="J55" s="122" t="inlineStr">
        <is>
          <t>エスト見積</t>
        </is>
      </c>
      <c r="K55" s="129" t="inlineStr">
        <is>
          <t>エストと数量差</t>
        </is>
      </c>
      <c r="L55" s="123" t="n">
        <v>500</v>
      </c>
      <c r="M55" s="124" t="n">
        <v>0.15</v>
      </c>
      <c r="N55" s="118">
        <f>ROUND(M55*LABOR_COST,0)</f>
        <v>2850</v>
      </c>
      <c r="O55" s="118">
        <f>L55+N55</f>
        <v>3350</v>
      </c>
      <c r="P55" s="120">
        <f>E55*O55</f>
        <v>10050</v>
      </c>
      <c r="Q55" s="120">
        <f>E55*N55</f>
        <v>8550</v>
      </c>
      <c r="R55" s="120">
        <f>IF(H55=0,0,IF(E55*M55*EST_LABOR_PIPE&gt;H55,H55,E55*M55*EST_LABOR_PIPE))</f>
        <v>7500</v>
      </c>
      <c r="S55" s="120">
        <f>IF(H55="","",H55-P55)</f>
        <v>-2550</v>
      </c>
      <c r="T55" s="125">
        <f>IF(OR(H55="",H55=0),"",S55/H55)</f>
        <v>-0.34</v>
      </c>
      <c r="U55" s="40" t="n"/>
      <c r="V55" s="40" t="n"/>
      <c r="W55" s="126" t="n">
        <v>2</v>
      </c>
      <c r="X55" s="118" t="n">
        <v>2500</v>
      </c>
      <c r="Y55" s="120" t="n">
        <v>5000</v>
      </c>
      <c r="Z55" s="120">
        <f>H55-Y55</f>
        <v>2500</v>
      </c>
      <c r="AA55" s="127" t="n"/>
      <c r="AB55" s="122" t="inlineStr">
        <is>
          <t>図面カウント</t>
        </is>
      </c>
      <c r="AC55" s="127" t="inlineStr">
        <is>
          <t>エストは2系統。追加充填はチャージレス長以内のため計上なし</t>
        </is>
      </c>
    </row>
    <row r="56" ht="18" customHeight="1">
      <c r="A56" s="116" t="inlineStr">
        <is>
          <t xml:space="preserve">　　真空引き・ガス充填</t>
        </is>
      </c>
      <c r="B56" s="40" t="n"/>
      <c r="C56" s="128" t="inlineStr">
        <is>
          <t>RA（基本料金）</t>
        </is>
      </c>
      <c r="D56" s="40" t="n"/>
      <c r="E56" s="118" t="n">
        <v>1</v>
      </c>
      <c r="F56" s="119" t="inlineStr">
        <is>
          <t>系統</t>
        </is>
      </c>
      <c r="G56" s="118" t="n">
        <v>1880</v>
      </c>
      <c r="H56" s="120">
        <f>ROUND(E56*G56,0)</f>
        <v>1880</v>
      </c>
      <c r="I56" s="121" t="n"/>
      <c r="J56" s="122" t="inlineStr">
        <is>
          <t>エスト見積</t>
        </is>
      </c>
      <c r="K56" s="122" t="n"/>
      <c r="L56" s="123" t="n">
        <v>300</v>
      </c>
      <c r="M56" s="124" t="n">
        <v>0.1</v>
      </c>
      <c r="N56" s="118">
        <f>ROUND(M56*LABOR_COST,0)</f>
        <v>1900</v>
      </c>
      <c r="O56" s="118">
        <f>L56+N56</f>
        <v>2200</v>
      </c>
      <c r="P56" s="120">
        <f>E56*O56</f>
        <v>2200</v>
      </c>
      <c r="Q56" s="120">
        <f>E56*N56</f>
        <v>1900</v>
      </c>
      <c r="R56" s="120">
        <f>IF(H56=0,0,IF(E56*M56*EST_LABOR_PIPE&gt;H56,H56,E56*M56*EST_LABOR_PIPE))</f>
        <v>1880</v>
      </c>
      <c r="S56" s="120">
        <f>IF(H56="","",H56-P56)</f>
        <v>-320</v>
      </c>
      <c r="T56" s="125">
        <f>IF(OR(H56="",H56=0),"",S56/H56)</f>
        <v>-0.1702127659574468</v>
      </c>
      <c r="U56" s="40" t="n"/>
      <c r="V56" s="40" t="n"/>
      <c r="W56" s="126" t="n">
        <v>1</v>
      </c>
      <c r="X56" s="118" t="n">
        <v>1880</v>
      </c>
      <c r="Y56" s="120" t="n">
        <v>1880</v>
      </c>
      <c r="Z56" s="120">
        <f>H56-Y56</f>
        <v>0</v>
      </c>
      <c r="AA56" s="127" t="n"/>
      <c r="AB56" s="122" t="inlineStr">
        <is>
          <t>図面カウント</t>
        </is>
      </c>
      <c r="AC56" s="127" t="n"/>
    </row>
    <row r="57" ht="18" customHeight="1">
      <c r="A57" s="116" t="inlineStr">
        <is>
          <t xml:space="preserve">　　消耗品及び雑材料</t>
        </is>
      </c>
      <c r="B57" s="40" t="n"/>
      <c r="C57" s="40" t="n"/>
      <c r="D57" s="40" t="n"/>
      <c r="E57" s="118" t="n">
        <v>1</v>
      </c>
      <c r="F57" s="119" t="inlineStr">
        <is>
          <t>式</t>
        </is>
      </c>
      <c r="G57" s="40" t="n"/>
      <c r="H57" s="120">
        <f>ROUNDUP(SUM(H25:H56)*U57,-2)</f>
        <v>28100</v>
      </c>
      <c r="I57" s="114" t="n"/>
      <c r="J57" s="137" t="inlineStr">
        <is>
          <t>経費</t>
        </is>
      </c>
      <c r="K57" s="40" t="n"/>
      <c r="L57" s="40" t="n"/>
      <c r="M57" s="40" t="n"/>
      <c r="N57" s="40" t="n"/>
      <c r="O57" s="40" t="n"/>
      <c r="P57" s="120" t="n">
        <v>0</v>
      </c>
      <c r="Q57" s="120" t="n">
        <v>0</v>
      </c>
      <c r="R57" s="120" t="n">
        <v>0</v>
      </c>
      <c r="S57" s="40" t="n"/>
      <c r="T57" s="40" t="n"/>
      <c r="U57" s="138" t="n">
        <v>0.03</v>
      </c>
      <c r="V57" s="40" t="n"/>
      <c r="W57" s="126" t="n">
        <v>1</v>
      </c>
      <c r="X57" s="118" t="n"/>
      <c r="Y57" s="120" t="n">
        <v>28100</v>
      </c>
      <c r="Z57" s="120">
        <f>H57-Y57</f>
        <v>0</v>
      </c>
      <c r="AA57" s="127" t="n"/>
      <c r="AB57" s="122" t="n"/>
      <c r="AC57" s="127" t="inlineStr">
        <is>
          <t>基礎額×率（100円未満切上げ）</t>
        </is>
      </c>
    </row>
    <row r="58" ht="18" customHeight="1">
      <c r="A58" s="116" t="inlineStr">
        <is>
          <t xml:space="preserve">　　資材運搬費</t>
        </is>
      </c>
      <c r="B58" s="40" t="n"/>
      <c r="C58" s="40" t="n"/>
      <c r="D58" s="40" t="n"/>
      <c r="E58" s="118" t="n">
        <v>1</v>
      </c>
      <c r="F58" s="119" t="inlineStr">
        <is>
          <t>式</t>
        </is>
      </c>
      <c r="G58" s="40" t="n"/>
      <c r="H58" s="120">
        <f>ROUNDUP((SUM(H25:H56)+H57)*U58,-2)</f>
        <v>48200</v>
      </c>
      <c r="I58" s="114" t="n"/>
      <c r="J58" s="137" t="inlineStr">
        <is>
          <t>経費</t>
        </is>
      </c>
      <c r="K58" s="40" t="n"/>
      <c r="L58" s="40" t="n"/>
      <c r="M58" s="40" t="n"/>
      <c r="N58" s="40" t="n"/>
      <c r="O58" s="40" t="n"/>
      <c r="P58" s="120" t="n">
        <v>0</v>
      </c>
      <c r="Q58" s="120" t="n">
        <v>0</v>
      </c>
      <c r="R58" s="120" t="n">
        <v>0</v>
      </c>
      <c r="S58" s="40" t="n"/>
      <c r="T58" s="40" t="n"/>
      <c r="U58" s="138" t="n">
        <v>0.05</v>
      </c>
      <c r="V58" s="40" t="n"/>
      <c r="W58" s="126" t="n">
        <v>1</v>
      </c>
      <c r="X58" s="118" t="n"/>
      <c r="Y58" s="120" t="n">
        <v>48200</v>
      </c>
      <c r="Z58" s="120">
        <f>H58-Y58</f>
        <v>0</v>
      </c>
      <c r="AA58" s="127" t="n"/>
      <c r="AB58" s="122" t="n"/>
      <c r="AC58" s="127" t="inlineStr">
        <is>
          <t>（基礎額＋消耗品）×率（100円未満切上げ）</t>
        </is>
      </c>
    </row>
    <row r="59" ht="18" customHeight="1">
      <c r="A59" s="139" t="inlineStr">
        <is>
          <t xml:space="preserve">　　現場経費</t>
        </is>
      </c>
      <c r="B59" s="92" t="n"/>
      <c r="C59" s="92" t="n"/>
      <c r="D59" s="92" t="n"/>
      <c r="E59" s="140" t="n">
        <v>1</v>
      </c>
      <c r="F59" s="141" t="inlineStr">
        <is>
          <t>式</t>
        </is>
      </c>
      <c r="G59" s="92" t="n"/>
      <c r="H59" s="142">
        <f>ROUNDUP((SUM(H25:H56)+H57+H58)+ROUNDUP((SUM(H25:H56)+H57+H58)*U59,-2),-3)-(SUM(H25:H56)+H57+H58)</f>
        <v>101991</v>
      </c>
      <c r="I59" s="143" t="n"/>
      <c r="J59" s="144" t="inlineStr">
        <is>
          <t>経費</t>
        </is>
      </c>
      <c r="K59" s="92" t="n"/>
      <c r="L59" s="92" t="n"/>
      <c r="M59" s="92" t="n"/>
      <c r="N59" s="92" t="n"/>
      <c r="O59" s="92" t="n"/>
      <c r="P59" s="142" t="n">
        <v>0</v>
      </c>
      <c r="Q59" s="142" t="n">
        <v>0</v>
      </c>
      <c r="R59" s="142" t="n">
        <v>0</v>
      </c>
      <c r="S59" s="92" t="n"/>
      <c r="T59" s="92" t="n"/>
      <c r="U59" s="145" t="n">
        <v>0.1</v>
      </c>
      <c r="V59" s="92" t="n"/>
      <c r="W59" s="146" t="n">
        <v>1</v>
      </c>
      <c r="X59" s="140" t="n"/>
      <c r="Y59" s="142" t="n">
        <v>101247</v>
      </c>
      <c r="Z59" s="142">
        <f>H59-Y59</f>
        <v>744</v>
      </c>
      <c r="AA59" s="147" t="n"/>
      <c r="AB59" s="148" t="n"/>
      <c r="AC59" s="147" t="inlineStr">
        <is>
          <t>（基礎額＋消耗品＋運搬費）×率を加え、計を1,000円未満切上げ（端数はここに吸収）</t>
        </is>
      </c>
    </row>
    <row r="60" ht="20" customHeight="1">
      <c r="A60" s="149" t="inlineStr">
        <is>
          <t>－　計　－</t>
        </is>
      </c>
      <c r="B60" s="111" t="n"/>
      <c r="C60" s="111" t="n"/>
      <c r="D60" s="111" t="n"/>
      <c r="E60" s="111" t="n"/>
      <c r="F60" s="111" t="n"/>
      <c r="G60" s="111" t="n"/>
      <c r="H60" s="150">
        <f>SUM(H25:H59)</f>
        <v>1114000</v>
      </c>
      <c r="I60" s="112" t="n"/>
      <c r="J60" s="111" t="n"/>
      <c r="K60" s="111" t="n"/>
      <c r="L60" s="111" t="n"/>
      <c r="M60" s="151">
        <f>SUMPRODUCT(E25:E59,M25:M59)</f>
        <v>14.349999999999998</v>
      </c>
      <c r="N60" s="111" t="n"/>
      <c r="O60" s="111" t="n"/>
      <c r="P60" s="150">
        <f>SUM(P25:P59)</f>
        <v>771033</v>
      </c>
      <c r="Q60" s="150">
        <f>SUM(Q25:Q59)</f>
        <v>272650</v>
      </c>
      <c r="R60" s="150">
        <f>SUM(R25:R59)</f>
        <v>466935</v>
      </c>
      <c r="S60" s="150">
        <f>H60-P60</f>
        <v>342967</v>
      </c>
      <c r="T60" s="152">
        <f>IF(H60=0,"",S60/H60)</f>
        <v>0.30786983842010773</v>
      </c>
      <c r="U60" s="111" t="n"/>
      <c r="V60" s="111" t="n"/>
      <c r="W60" s="111" t="n"/>
      <c r="X60" s="111" t="n"/>
      <c r="Y60" s="150" t="n">
        <v>1112000</v>
      </c>
      <c r="Z60" s="150">
        <f>H60-Y60</f>
        <v>2000</v>
      </c>
      <c r="AA60" s="111" t="n"/>
      <c r="AB60" s="111" t="n"/>
      <c r="AC60" s="111" t="n"/>
    </row>
    <row r="61" ht="10" customHeight="1">
      <c r="A61" s="153" t="n"/>
      <c r="B61" s="40" t="n"/>
      <c r="C61" s="40" t="n"/>
      <c r="D61" s="40" t="n"/>
      <c r="E61" s="40" t="n"/>
      <c r="F61" s="40" t="n"/>
      <c r="G61" s="40" t="n"/>
      <c r="H61" s="40" t="n"/>
      <c r="I61" s="114"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row>
    <row r="62" ht="20" customHeight="1">
      <c r="A62" s="113" t="inlineStr">
        <is>
          <t>８　工事諸経費</t>
        </is>
      </c>
      <c r="B62" s="40" t="n"/>
      <c r="C62" s="40" t="n"/>
      <c r="D62" s="40" t="n"/>
      <c r="E62" s="118" t="n">
        <v>1</v>
      </c>
      <c r="F62" s="119" t="inlineStr">
        <is>
          <t>式</t>
        </is>
      </c>
      <c r="G62" s="40" t="n"/>
      <c r="H62" s="69">
        <f>ROUNDUP((H22+H60)*U62,-2)</f>
        <v>65200</v>
      </c>
      <c r="I62" s="114" t="n"/>
      <c r="J62" s="137" t="inlineStr">
        <is>
          <t>経費</t>
        </is>
      </c>
      <c r="K62" s="40" t="n"/>
      <c r="L62" s="40" t="n"/>
      <c r="M62" s="40" t="n"/>
      <c r="N62" s="40" t="n"/>
      <c r="O62" s="40" t="n"/>
      <c r="P62" s="120" t="n">
        <v>0</v>
      </c>
      <c r="Q62" s="40" t="n"/>
      <c r="R62" s="40" t="n"/>
      <c r="S62" s="40" t="n"/>
      <c r="T62" s="40" t="n"/>
      <c r="U62" s="138" t="n">
        <v>0.05</v>
      </c>
      <c r="V62" s="40" t="n"/>
      <c r="W62" s="40" t="n"/>
      <c r="X62" s="40" t="n"/>
      <c r="Y62" s="120" t="n">
        <v>64300</v>
      </c>
      <c r="Z62" s="120">
        <f>H62-Y62</f>
        <v>900</v>
      </c>
      <c r="AA62" s="40" t="n"/>
      <c r="AB62" s="40" t="n"/>
      <c r="AC62" s="127" t="inlineStr">
        <is>
          <t>（空調設備工事＋配管設備工事）×5%（100円未満切上げ）</t>
        </is>
      </c>
    </row>
    <row r="63" ht="10" customHeight="1">
      <c r="A63" s="155" t="n"/>
      <c r="B63" s="156" t="n"/>
      <c r="C63" s="156" t="n"/>
      <c r="D63" s="156" t="n"/>
      <c r="E63" s="156" t="n"/>
      <c r="F63" s="156" t="n"/>
      <c r="G63" s="156" t="n"/>
      <c r="H63" s="156" t="n"/>
      <c r="I63" s="157" t="n"/>
      <c r="J63" s="156" t="n"/>
      <c r="K63" s="156" t="n"/>
      <c r="L63" s="156" t="n"/>
      <c r="M63" s="156" t="n"/>
      <c r="N63" s="156" t="n"/>
      <c r="O63" s="156" t="n"/>
      <c r="P63" s="156" t="n"/>
      <c r="Q63" s="156" t="n"/>
      <c r="R63" s="156" t="n"/>
      <c r="S63" s="156" t="n"/>
      <c r="T63" s="156" t="n"/>
      <c r="U63" s="156" t="n"/>
      <c r="V63" s="156" t="n"/>
      <c r="W63" s="156" t="n"/>
      <c r="X63" s="156" t="n"/>
      <c r="Y63" s="156" t="n"/>
      <c r="Z63" s="156" t="n"/>
      <c r="AA63" s="156" t="n"/>
      <c r="AB63" s="156" t="n"/>
      <c r="AC63" s="156" t="n"/>
    </row>
    <row r="64" ht="22" customHeight="1">
      <c r="A64" s="158" t="inlineStr">
        <is>
          <t>【小　　計】</t>
        </is>
      </c>
      <c r="B64" s="159" t="n"/>
      <c r="C64" s="159" t="n"/>
      <c r="D64" s="159" t="n"/>
      <c r="E64" s="159" t="n"/>
      <c r="F64" s="159" t="n"/>
      <c r="G64" s="159" t="n"/>
      <c r="H64" s="160">
        <f>H22+H60+H62</f>
        <v>1369200</v>
      </c>
      <c r="I64" s="161" t="inlineStr">
        <is>
          <t>出精値引は表紙</t>
        </is>
      </c>
      <c r="J64" s="60" t="n"/>
      <c r="K64" s="60" t="n"/>
      <c r="L64" s="60" t="n"/>
      <c r="M64" s="162">
        <f>M22+M60</f>
        <v>22.900999999999996</v>
      </c>
      <c r="N64" s="60" t="n"/>
      <c r="O64" s="60" t="n"/>
      <c r="P64" s="163">
        <f>P22+P60</f>
        <v>952852</v>
      </c>
      <c r="Q64" s="163">
        <f>Q22+Q60</f>
        <v>435119</v>
      </c>
      <c r="R64" s="163">
        <f>R22+R60</f>
        <v>625810</v>
      </c>
      <c r="S64" s="163">
        <f>H64-P64</f>
        <v>416348</v>
      </c>
      <c r="T64" s="164">
        <f>IF(H64=0,"",S64/H64)</f>
        <v>0.3040812153082092</v>
      </c>
      <c r="U64" s="60" t="n"/>
      <c r="V64" s="60" t="n"/>
      <c r="W64" s="60" t="n"/>
      <c r="X64" s="60" t="n"/>
      <c r="Y64" s="163" t="n">
        <v>1350300</v>
      </c>
      <c r="Z64" s="163">
        <f>H64-Y64</f>
        <v>18900</v>
      </c>
      <c r="AA64" s="60" t="n"/>
      <c r="AB64" s="60" t="n"/>
      <c r="AC64" s="60" t="n"/>
    </row>
  </sheetData>
  <mergeCells count="120">
    <mergeCell ref="C6:D6"/>
    <mergeCell ref="A15:B15"/>
    <mergeCell ref="C62:D62"/>
    <mergeCell ref="C15:D15"/>
    <mergeCell ref="A51:B51"/>
    <mergeCell ref="A54:B54"/>
    <mergeCell ref="A7:B7"/>
    <mergeCell ref="C54:D54"/>
    <mergeCell ref="A41:B41"/>
    <mergeCell ref="C63:D63"/>
    <mergeCell ref="C41:D41"/>
    <mergeCell ref="C50:D50"/>
    <mergeCell ref="A64:D64"/>
    <mergeCell ref="A56:B56"/>
    <mergeCell ref="A27:B27"/>
    <mergeCell ref="C56:D56"/>
    <mergeCell ref="A60:D60"/>
    <mergeCell ref="C43:D43"/>
    <mergeCell ref="A33:B33"/>
    <mergeCell ref="C27:D27"/>
    <mergeCell ref="A42:B42"/>
    <mergeCell ref="C36:D36"/>
    <mergeCell ref="A17:B17"/>
    <mergeCell ref="C17:D17"/>
    <mergeCell ref="A53:B53"/>
    <mergeCell ref="A35:B35"/>
    <mergeCell ref="A62:B62"/>
    <mergeCell ref="A19:B19"/>
    <mergeCell ref="C19:D19"/>
    <mergeCell ref="A28:B28"/>
    <mergeCell ref="C28:D28"/>
    <mergeCell ref="A9:B9"/>
    <mergeCell ref="C3:D3"/>
    <mergeCell ref="A39:B39"/>
    <mergeCell ref="A48:B48"/>
    <mergeCell ref="A30:B30"/>
    <mergeCell ref="C30:D30"/>
    <mergeCell ref="A59:B59"/>
    <mergeCell ref="A22:D22"/>
    <mergeCell ref="A11:B11"/>
    <mergeCell ref="A45:B45"/>
    <mergeCell ref="C14:D14"/>
    <mergeCell ref="C45:D45"/>
    <mergeCell ref="J1:AC1"/>
    <mergeCell ref="A61:B61"/>
    <mergeCell ref="C47:D47"/>
    <mergeCell ref="A37:B37"/>
    <mergeCell ref="A46:B46"/>
    <mergeCell ref="C40:D40"/>
    <mergeCell ref="A26:B26"/>
    <mergeCell ref="A8:B8"/>
    <mergeCell ref="C8:D8"/>
    <mergeCell ref="A52:B52"/>
    <mergeCell ref="A63:B63"/>
    <mergeCell ref="A10:B10"/>
    <mergeCell ref="C57:D57"/>
    <mergeCell ref="A1:I1"/>
    <mergeCell ref="C18:D18"/>
    <mergeCell ref="C53:D53"/>
    <mergeCell ref="A34:B34"/>
    <mergeCell ref="C34:D34"/>
    <mergeCell ref="A49:B49"/>
    <mergeCell ref="C58:D58"/>
    <mergeCell ref="A36:B36"/>
    <mergeCell ref="C20:D20"/>
    <mergeCell ref="C29:D29"/>
    <mergeCell ref="A5:I5"/>
    <mergeCell ref="C44:D44"/>
    <mergeCell ref="C31:D31"/>
    <mergeCell ref="A4:I4"/>
    <mergeCell ref="A3:B3"/>
    <mergeCell ref="A55:B55"/>
    <mergeCell ref="A12:B12"/>
    <mergeCell ref="C59:D59"/>
    <mergeCell ref="C12:D12"/>
    <mergeCell ref="A21:B21"/>
    <mergeCell ref="C46:D46"/>
    <mergeCell ref="C21:D21"/>
    <mergeCell ref="A57:B57"/>
    <mergeCell ref="C51:D51"/>
    <mergeCell ref="A32:B32"/>
    <mergeCell ref="A14:B14"/>
    <mergeCell ref="C61:D61"/>
    <mergeCell ref="A23:B23"/>
    <mergeCell ref="C48:D48"/>
    <mergeCell ref="C23:D23"/>
    <mergeCell ref="A24:I24"/>
    <mergeCell ref="A38:B38"/>
    <mergeCell ref="C32:D32"/>
    <mergeCell ref="C7:D7"/>
    <mergeCell ref="C38:D38"/>
    <mergeCell ref="A43:B43"/>
    <mergeCell ref="A40:B40"/>
    <mergeCell ref="C49:D49"/>
    <mergeCell ref="C33:D33"/>
    <mergeCell ref="C42:D42"/>
    <mergeCell ref="C26:D26"/>
    <mergeCell ref="A6:B6"/>
    <mergeCell ref="C35:D35"/>
    <mergeCell ref="A16:B16"/>
    <mergeCell ref="C10:D10"/>
    <mergeCell ref="C16:D16"/>
    <mergeCell ref="A25:B25"/>
    <mergeCell ref="C25:D25"/>
    <mergeCell ref="C55:D55"/>
    <mergeCell ref="C9:D9"/>
    <mergeCell ref="A18:B18"/>
    <mergeCell ref="A50:B50"/>
    <mergeCell ref="C11:D11"/>
    <mergeCell ref="A47:B47"/>
    <mergeCell ref="C52:D52"/>
    <mergeCell ref="C39:D39"/>
    <mergeCell ref="A20:B20"/>
    <mergeCell ref="A29:B29"/>
    <mergeCell ref="C37:D37"/>
    <mergeCell ref="A13:B13"/>
    <mergeCell ref="A44:B44"/>
    <mergeCell ref="C13:D13"/>
    <mergeCell ref="A31:B31"/>
    <mergeCell ref="A58:B58"/>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rowBreaks count="1" manualBreakCount="1">
    <brk id="23" min="0" max="16383" man="1"/>
  </rowBreaks>
</worksheet>
</file>

<file path=xl/worksheets/sheet3.xml><?xml version="1.0" encoding="utf-8"?>
<worksheet xmlns="http://schemas.openxmlformats.org/spreadsheetml/2006/main">
  <sheetPr>
    <outlinePr summaryBelow="1" summaryRight="1"/>
    <pageSetUpPr fitToPage="1"/>
  </sheetPr>
  <dimension ref="B1:G30"/>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65" t="inlineStr">
        <is>
          <t>法 定 福 利 費 内 訳 明 細 書</t>
        </is>
      </c>
    </row>
    <row r="2">
      <c r="B2" s="166" t="str">
        <f>"（御見積書 No."&amp;'表紙(工事)'!K3&amp;" の添付資料）"</f>
        <v>（御見積書 No. の添付資料）</v>
      </c>
    </row>
    <row r="3" ht="8" customHeight="1"/>
    <row r="4" ht="20" customHeight="1">
      <c r="B4" s="167" t="inlineStr">
        <is>
          <t>見積年月日</t>
        </is>
      </c>
      <c r="C4" s="168">
        <f>'表紙(工事)'!J4</f>
        <v>46303</v>
      </c>
      <c r="D4" s="38" t="n"/>
      <c r="E4" s="38" t="n"/>
      <c r="F4" s="167" t="inlineStr">
        <is>
          <t>見積No.</t>
        </is>
      </c>
      <c r="G4" s="169" t="str">
        <f>IF('表紙(工事)'!K3="","",'表紙(工事)'!K3)</f>
        <v/>
      </c>
    </row>
    <row r="5" ht="20" customHeight="1">
      <c r="B5" s="167" t="inlineStr">
        <is>
          <t>発注者名</t>
        </is>
      </c>
      <c r="C5" s="37" t="inlineStr">
        <is>
          <t>今治空調設備　御中</t>
        </is>
      </c>
      <c r="D5" s="38" t="n"/>
      <c r="E5" s="38" t="n"/>
      <c r="F5" s="38" t="n"/>
      <c r="G5" s="38" t="n"/>
    </row>
    <row r="6" ht="20" customHeight="1">
      <c r="B6" s="167" t="inlineStr">
        <is>
          <t>工事名</t>
        </is>
      </c>
      <c r="C6" s="37" t="inlineStr">
        <is>
          <t>吉野家　呉海岸店　空調設備工事</t>
        </is>
      </c>
      <c r="D6" s="38" t="n"/>
      <c r="E6" s="38" t="n"/>
      <c r="F6" s="38" t="n"/>
      <c r="G6" s="38" t="n"/>
    </row>
    <row r="7" ht="20" customHeight="1">
      <c r="B7" s="167" t="inlineStr">
        <is>
          <t>施工場所</t>
        </is>
      </c>
      <c r="C7" s="37" t="inlineStr">
        <is>
          <t>広島県呉市海岸（国道31号沿い）</t>
        </is>
      </c>
      <c r="D7" s="38" t="n"/>
      <c r="E7" s="38" t="n"/>
      <c r="F7" s="38" t="n"/>
      <c r="G7" s="38" t="n"/>
    </row>
    <row r="8" ht="20" customHeight="1">
      <c r="B8" s="167" t="inlineStr">
        <is>
          <t>会社名</t>
        </is>
      </c>
      <c r="C8" s="169" t="inlineStr">
        <is>
          <t>宮地機工株式会社</t>
        </is>
      </c>
      <c r="D8" s="38" t="n"/>
      <c r="E8" s="38" t="n"/>
      <c r="F8" s="167" t="inlineStr">
        <is>
          <t>所在地</t>
        </is>
      </c>
      <c r="G8" s="169" t="inlineStr">
        <is>
          <t>広島県尾道市東尾道9-9</t>
        </is>
      </c>
    </row>
    <row r="9" ht="10" customHeight="1"/>
    <row r="10">
      <c r="B10" s="170" t="inlineStr">
        <is>
          <t>【1】　労務費相当額（Ｙ）の内訳</t>
        </is>
      </c>
    </row>
    <row r="11" ht="28" customHeight="1">
      <c r="B11" s="171" t="inlineStr">
        <is>
          <t>※ 労務費相当額は、内訳書各項目の金額のうち労務費に相当する額（配管工費・電線材料施工費、および据付・保温・試験等の人工相当額）に、出精値引き後の比率を乗じたものです。空調機は支給品のため含みません。</t>
        </is>
      </c>
    </row>
    <row r="12">
      <c r="B12" s="106" t="inlineStr">
        <is>
          <t>項　　目</t>
        </is>
      </c>
      <c r="C12" s="172" t="inlineStr">
        <is>
          <t>労務費相当額（円）</t>
        </is>
      </c>
      <c r="D12" s="32" t="n"/>
      <c r="E12" s="107" t="inlineStr">
        <is>
          <t>摘　　要</t>
        </is>
      </c>
      <c r="F12" s="32" t="n"/>
      <c r="G12" s="173" t="n"/>
    </row>
    <row r="13" ht="20" customHeight="1">
      <c r="B13" s="174" t="inlineStr">
        <is>
          <t>空調設備工事</t>
        </is>
      </c>
      <c r="C13" s="43">
        <f>'内訳書(空調設備工事)'!R22</f>
        <v>158875</v>
      </c>
      <c r="D13" s="38" t="n"/>
      <c r="E13" s="175" t="inlineStr">
        <is>
          <t>内訳書 ２ 空調設備工事（定価ベース）</t>
        </is>
      </c>
      <c r="F13" s="38" t="n"/>
      <c r="G13" s="39" t="n"/>
    </row>
    <row r="14" ht="20" customHeight="1">
      <c r="B14" s="174" t="inlineStr">
        <is>
          <t>配管設備工事</t>
        </is>
      </c>
      <c r="C14" s="43">
        <f>'内訳書(空調設備工事)'!R60</f>
        <v>466935</v>
      </c>
      <c r="D14" s="38" t="n"/>
      <c r="E14" s="175" t="inlineStr">
        <is>
          <t>内訳書 ３ 配管設備工事（定価ベース）</t>
        </is>
      </c>
      <c r="F14" s="38" t="n"/>
      <c r="G14" s="39" t="n"/>
    </row>
    <row r="15" ht="20" customHeight="1">
      <c r="B15" s="176" t="inlineStr">
        <is>
          <t>小　　計</t>
        </is>
      </c>
      <c r="C15" s="177">
        <f>C13+C14</f>
        <v>625810</v>
      </c>
      <c r="D15" s="65" t="n"/>
      <c r="E15" s="178" t="inlineStr">
        <is>
          <t>定価ベース</t>
        </is>
      </c>
      <c r="F15" s="65" t="n"/>
      <c r="G15" s="67" t="n"/>
    </row>
    <row r="16" ht="20" customHeight="1">
      <c r="B16" s="179" t="inlineStr">
        <is>
          <t>労務費相当額（Ｙ）</t>
        </is>
      </c>
      <c r="C16" s="73">
        <f>ROUNDDOWN(C15*'表紙(工事)'!K28/'表紙(工事)'!K26,0)</f>
        <v>589610</v>
      </c>
      <c r="D16" s="72" t="n"/>
      <c r="E16" s="180" t="inlineStr">
        <is>
          <t>小計 × 出精値引き後比率（合計÷小計）</t>
        </is>
      </c>
      <c r="F16" s="72" t="n"/>
      <c r="G16" s="181" t="n"/>
    </row>
    <row r="18">
      <c r="B18" s="170" t="inlineStr">
        <is>
          <t>【2】　法定福利費相当額（Ａ）の算定</t>
        </is>
      </c>
    </row>
    <row r="19">
      <c r="B19" s="182" t="inlineStr">
        <is>
          <t>計算式：　Ａ ＝ Ｙ × Ｚ（Ｚ：法定福利費事業者負担率、保険ごとに円未満切捨て）</t>
        </is>
      </c>
    </row>
    <row r="20" ht="22" customHeight="1">
      <c r="B20" s="183" t="inlineStr">
        <is>
          <t>保険の種類</t>
        </is>
      </c>
      <c r="C20" s="172" t="inlineStr">
        <is>
          <t>労務費相当額（円）</t>
        </is>
      </c>
      <c r="D20" s="32" t="n"/>
      <c r="E20" s="172" t="inlineStr">
        <is>
          <t>事業主負担料率</t>
        </is>
      </c>
      <c r="F20" s="172" t="inlineStr">
        <is>
          <t>法定福利費（円）</t>
        </is>
      </c>
      <c r="G20" s="184" t="inlineStr">
        <is>
          <t>算定根拠</t>
        </is>
      </c>
    </row>
    <row r="21" ht="27.5" customHeight="1">
      <c r="B21" s="174" t="inlineStr">
        <is>
          <t>健康保険料</t>
        </is>
      </c>
      <c r="C21" s="43">
        <f>$C$16</f>
        <v>589610</v>
      </c>
      <c r="D21" s="38" t="n"/>
      <c r="E21" s="185" t="n">
        <v>0.0489</v>
      </c>
      <c r="F21" s="43">
        <f>ROUNDDOWN(C21*E21,0)</f>
        <v>28831</v>
      </c>
      <c r="G21" s="186" t="inlineStr">
        <is>
          <t>健康保険料率 9.780%（協会けんぽ 広島県 令和8年度）×1/2（労使折半）</t>
        </is>
      </c>
    </row>
    <row r="22" ht="27.5" customHeight="1">
      <c r="B22" s="174" t="inlineStr">
        <is>
          <t>介護保険料</t>
        </is>
      </c>
      <c r="C22" s="43">
        <f>$C$16</f>
        <v>589610</v>
      </c>
      <c r="D22" s="38" t="n"/>
      <c r="E22" s="185" t="n">
        <v>0.0081</v>
      </c>
      <c r="F22" s="43">
        <f>ROUNDDOWN(C22*E22,0)</f>
        <v>4775</v>
      </c>
      <c r="G22" s="186" t="inlineStr">
        <is>
          <t>介護保険料率 1.620%（全国一律 令和8年度）×1/2（労使折半）</t>
        </is>
      </c>
    </row>
    <row r="23" ht="27.5" customHeight="1">
      <c r="B23" s="174" t="inlineStr">
        <is>
          <t>子ども・子育て支援金</t>
        </is>
      </c>
      <c r="C23" s="43">
        <f>$C$16</f>
        <v>589610</v>
      </c>
      <c r="D23" s="38" t="n"/>
      <c r="E23" s="185" t="n">
        <v>0.00115</v>
      </c>
      <c r="F23" s="43">
        <f>ROUNDDOWN(C23*E23,0)</f>
        <v>678</v>
      </c>
      <c r="G23" s="186" t="inlineStr">
        <is>
          <t>支援金率 0.230%（令和8年4月分〜）×1/2（労使折半）</t>
        </is>
      </c>
    </row>
    <row r="24" ht="27.5" customHeight="1">
      <c r="B24" s="174" t="inlineStr">
        <is>
          <t>厚生年金保険料</t>
        </is>
      </c>
      <c r="C24" s="43">
        <f>$C$16</f>
        <v>589610</v>
      </c>
      <c r="D24" s="38" t="n"/>
      <c r="E24" s="185" t="n">
        <v>0.0915</v>
      </c>
      <c r="F24" s="43">
        <f>ROUNDDOWN(C24*E24,0)</f>
        <v>53949</v>
      </c>
      <c r="G24" s="186" t="inlineStr">
        <is>
          <t>厚生年金保険料率 18.300%（平成29年9月以降固定）×1/2（労使折半）</t>
        </is>
      </c>
    </row>
    <row r="25" ht="27.5" customHeight="1">
      <c r="B25" s="174" t="inlineStr">
        <is>
          <t>雇用保険料</t>
        </is>
      </c>
      <c r="C25" s="43">
        <f>$C$16</f>
        <v>589610</v>
      </c>
      <c r="D25" s="38" t="n"/>
      <c r="E25" s="185" t="n">
        <v>0.0105</v>
      </c>
      <c r="F25" s="43">
        <f>ROUNDDOWN(C25*E25,0)</f>
        <v>6190</v>
      </c>
      <c r="G25" s="186" t="inlineStr">
        <is>
          <t>雇用保険料率（建設の事業）事業主負担分 1.050%</t>
        </is>
      </c>
    </row>
    <row r="26" ht="22" customHeight="1">
      <c r="B26" s="176" t="inlineStr">
        <is>
          <t>子ども・子育て拠出金</t>
        </is>
      </c>
      <c r="C26" s="177">
        <f>$C$16</f>
        <v>589610</v>
      </c>
      <c r="D26" s="65" t="n"/>
      <c r="E26" s="187" t="n">
        <v>0.0036</v>
      </c>
      <c r="F26" s="177">
        <f>ROUNDDOWN(C26*E26,0)</f>
        <v>2122</v>
      </c>
      <c r="G26" s="188" t="inlineStr">
        <is>
          <t>拠出金率 0.360%（事業主全額負担）</t>
        </is>
      </c>
    </row>
    <row r="27" ht="24" customHeight="1">
      <c r="B27" s="189" t="inlineStr">
        <is>
          <t>合計（Ｚ ／ Ａ）</t>
        </is>
      </c>
      <c r="C27" s="72" t="n"/>
      <c r="D27" s="72" t="n"/>
      <c r="E27" s="190">
        <f>SUM(E21:E26)</f>
        <v>0.16375</v>
      </c>
      <c r="F27" s="73">
        <f>SUM(F21:F26)</f>
        <v>96545</v>
      </c>
      <c r="G27" s="181" t="n"/>
    </row>
    <row r="29" ht="15.5" customHeight="1">
      <c r="B29" s="171" t="inlineStr">
        <is>
          <t>※ 法定福利費相当額（Ａ）は見積金額（工事費）に含まれています。別途加算するものではありません。</t>
        </is>
      </c>
    </row>
    <row r="30" ht="28" customHeight="1">
      <c r="B30" s="171" t="inlineStr">
        <is>
          <t>※ 料率は見積作成時点（令和8年度）の公表料率によります。料率が改定された場合は改定後の料率により精算させていただきます。</t>
        </is>
      </c>
    </row>
  </sheetData>
  <mergeCells count="29">
    <mergeCell ref="B2:G2"/>
    <mergeCell ref="E13:G13"/>
    <mergeCell ref="C24:D24"/>
    <mergeCell ref="C6:G6"/>
    <mergeCell ref="C15:D15"/>
    <mergeCell ref="B1:G1"/>
    <mergeCell ref="C5:G5"/>
    <mergeCell ref="C14:D14"/>
    <mergeCell ref="E15:G15"/>
    <mergeCell ref="C26:D26"/>
    <mergeCell ref="B29:G29"/>
    <mergeCell ref="B19:G19"/>
    <mergeCell ref="C20:D20"/>
    <mergeCell ref="C16:D16"/>
    <mergeCell ref="C25:D25"/>
    <mergeCell ref="C8:E8"/>
    <mergeCell ref="C22:D22"/>
    <mergeCell ref="B30:G30"/>
    <mergeCell ref="E16:G16"/>
    <mergeCell ref="C12:D12"/>
    <mergeCell ref="C21:D21"/>
    <mergeCell ref="C27:D27"/>
    <mergeCell ref="E12:G12"/>
    <mergeCell ref="C23:D23"/>
    <mergeCell ref="C7:G7"/>
    <mergeCell ref="E14:G14"/>
    <mergeCell ref="C4:E4"/>
    <mergeCell ref="C13:D13"/>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F36"/>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91" t="inlineStr">
        <is>
          <t>御見積条件・注意事項</t>
        </is>
      </c>
    </row>
    <row r="2">
      <c r="A2" s="182" t="inlineStr">
        <is>
          <t>吉野家　呉海岸店　空調設備工事　御見積書 添付</t>
        </is>
      </c>
    </row>
    <row r="3" ht="8" customHeight="1"/>
    <row r="4" ht="22" customHeight="1">
      <c r="A4" s="18" t="inlineStr">
        <is>
          <t>【1】御見積条件・注意事項</t>
        </is>
      </c>
    </row>
    <row r="5" ht="76.8" customHeight="1">
      <c r="A5" s="192" t="inlineStr">
        <is>
          <t>1.</t>
        </is>
      </c>
      <c r="B5" s="193" t="inlineStr">
        <is>
          <t>本見積は2026年11月からの価格で作成しております。数量は換気空調機器表 F-01（2025.05.25）・空調設備図 F-02-1（2026.05.25）・平面図 A-08（2026.07.29）に基づき当社にて拾い出しています。冷媒管・ドレン管の平面延長は空調設備図（1/50）から計測し、立上り・立下り・機器接続部および内外連絡線は想定数量として計上しています（別紙【2】参照）。</t>
        </is>
      </c>
    </row>
    <row r="6" ht="63" customHeight="1">
      <c r="A6" s="192" t="inlineStr">
        <is>
          <t>2.</t>
        </is>
      </c>
      <c r="B6" s="193" t="inlineStr">
        <is>
          <t>工事範囲: 空調機の搬入・吊込み・据付（AC-1 天井カセット形×2台、AC-2 天井ビルトイン形×1台、RAC 壁掛形×1台、室外機×4台）、室外機基礎（縁石）、冷媒配管（被覆銅管 液管10t・ガス管20t）・屋外化粧カバー、ドレン配管（VP）・保温（GW20mm＋アルミガラスクロス）、内外連絡線（VVF 2.0-3C）、外壁スリーブ、気密試験・真空引き、試運転調整。</t>
        </is>
      </c>
    </row>
    <row r="7" ht="35.5" customHeight="1">
      <c r="A7" s="192" t="inlineStr">
        <is>
          <t>3.</t>
        </is>
      </c>
      <c r="B7" s="193" t="inlineStr">
        <is>
          <t>空調機（AC-1 SSRC140C×2台、AC-2 SSRB140C×1台、RAC×1台、各リモコン）および吹出しパンカー PK-SB#10TK×4台は支給品のため含みません。</t>
        </is>
      </c>
    </row>
    <row r="8" ht="49.2" customHeight="1">
      <c r="A8" s="192" t="inlineStr">
        <is>
          <t>4.</t>
        </is>
      </c>
      <c r="B8" s="193" t="inlineStr">
        <is>
          <t>鉄骨架台（2段積み・溶融亜鉛メッキ防錆処理、防振ゴム共）は空調設備図の特記により空調設備工事ですが、製作品のため別途御見積とさせていただきます。架台はダイキン製室外機（H1,430mm）に対応する段間寸法とし、背面と建物壁面の隙間200mm以上を確保します。</t>
        </is>
      </c>
    </row>
    <row r="9" ht="35.5" customHeight="1">
      <c r="A9" s="192" t="inlineStr">
        <is>
          <t>5.</t>
        </is>
      </c>
      <c r="B9" s="193" t="inlineStr">
        <is>
          <t>リモコン配線、AC-2（天井ビルトイン形）から吹出しパンカーまでのダクト・パンカー取付、換気設備（換気扇・送風機・フード・ダクト類）、電源・接地等の電気工事は含みません。</t>
        </is>
      </c>
    </row>
    <row r="10" ht="49.2" customHeight="1">
      <c r="A10" s="192" t="inlineStr">
        <is>
          <t>6.</t>
        </is>
      </c>
      <c r="B10" s="193" t="inlineStr">
        <is>
          <t>冷媒の追加充填は、各系統の配管長（最長約14m）が支給機のチャージレス配管長以内と想定し計上していません（真空引き・ガス充填は基本料金）。必要となった場合は実費にて精算させていただきます。</t>
        </is>
      </c>
    </row>
    <row r="11" ht="49.2" customHeight="1">
      <c r="A11" s="192" t="inlineStr">
        <is>
          <t>7.</t>
        </is>
      </c>
      <c r="B11" s="193" t="inlineStr">
        <is>
          <t>ドレン管は硬質塩化ビニル管（VP 25A・30A・40A）とし、範囲は各機器から「空調機ドレン接続立上り（H=150）」まで、以降は給排水工事です。図示のドレンホース用逆止弁 NDB-20-25 を計上しています。</t>
        </is>
      </c>
    </row>
    <row r="12" ht="35.5" customHeight="1">
      <c r="A12" s="192" t="inlineStr">
        <is>
          <t>8.</t>
        </is>
      </c>
      <c r="B12" s="193" t="inlineStr">
        <is>
          <t>揚重機（クレーン等）、足場・高所作業車等の仮設、天井・壁の開口補強および仕上げ補修、天井点検口、既設機器の撤去、産業廃棄物（支給品の梱包材を含む）の処分は含みません。</t>
        </is>
      </c>
    </row>
    <row r="13" ht="49.2" customHeight="1">
      <c r="A13" s="192" t="inlineStr">
        <is>
          <t>9.</t>
        </is>
      </c>
      <c r="B13" s="193" t="inlineStr">
        <is>
          <t>工期は工程表（吉野家呉海岸通店新設工事 工程表）に基づく通常の日中作業を前提としております。夜間・休日作業、工程変更や他工事との輻輳による手待ち、工期延長に伴う経費増は別途協議とさせていただきます。</t>
        </is>
      </c>
    </row>
    <row r="14" ht="35.5" customHeight="1">
      <c r="A14" s="192" t="inlineStr">
        <is>
          <t>10.</t>
        </is>
      </c>
      <c r="B14" s="193" t="inlineStr">
        <is>
          <t>労務費に係る法定福利費（事業主負担分）は工事費に含んでおり、その額は御見積書表紙および別紙「法定福利費内訳明細書」のとおりです。</t>
        </is>
      </c>
    </row>
    <row r="15" ht="35.5" customHeight="1">
      <c r="A15" s="192" t="inlineStr">
        <is>
          <t>11.</t>
        </is>
      </c>
      <c r="B15" s="193" t="inlineStr">
        <is>
          <t>本見積書に記載なき事項については別途とさせていただきます。工事に係る電気・水道は無償支給願います。本見積金額には消費税は含まれておりません。本書有効期間は10日です。</t>
        </is>
      </c>
    </row>
    <row r="16" ht="10" customHeight="1"/>
    <row r="17" ht="22" customHeight="1">
      <c r="A17" s="18" t="inlineStr">
        <is>
          <t>【2】想定数量（推測）項目の前提</t>
        </is>
      </c>
    </row>
    <row r="18" ht="29" customHeight="1">
      <c r="A18" s="171" t="inlineStr">
        <is>
          <t>図面に数量・経路の記載がなく当社にて想定した項目です。「図面実測＋想定」は平面延長を図面計測し、立上り等を想定加算したものです。実数量確定後に精算させていただきます。</t>
        </is>
      </c>
    </row>
    <row r="19" ht="20" customHeight="1">
      <c r="A19" s="183" t="inlineStr">
        <is>
          <t>No.</t>
        </is>
      </c>
      <c r="B19" s="172" t="inlineStr">
        <is>
          <t>内訳書</t>
        </is>
      </c>
      <c r="C19" s="172" t="inlineStr">
        <is>
          <t>項　　目</t>
        </is>
      </c>
      <c r="D19" s="172" t="inlineStr">
        <is>
          <t>前提・想定内容</t>
        </is>
      </c>
      <c r="E19" s="32" t="n"/>
      <c r="F19" s="184" t="inlineStr">
        <is>
          <t>数量（区分）</t>
        </is>
      </c>
    </row>
    <row r="20" ht="41.5" customHeight="1">
      <c r="A20" s="194" t="n">
        <v>1</v>
      </c>
      <c r="B20" s="195" t="inlineStr">
        <is>
          <t>３</t>
        </is>
      </c>
      <c r="C20" s="196" t="inlineStr">
        <is>
          <t>冷媒用被覆銅管（10+20t） 6.35+9.52mm（10t+20t）RAC</t>
        </is>
      </c>
      <c r="D20" s="196" t="inlineStr">
        <is>
          <t>平面実測 7.65m＋立上り（架台上段）0.9m＋店長室 立下り 0.6m＋余長 0.3m ＝ 9.45m</t>
        </is>
      </c>
      <c r="E20" s="38" t="n"/>
      <c r="F20" s="197" t="inlineStr">
        <is>
          <t>10 m（実測＋想定）</t>
        </is>
      </c>
    </row>
    <row r="21" ht="66.5" customHeight="1">
      <c r="A21" s="194" t="n">
        <v>2</v>
      </c>
      <c r="B21" s="195" t="inlineStr">
        <is>
          <t>３</t>
        </is>
      </c>
      <c r="C21" s="196" t="inlineStr">
        <is>
          <t>冷媒用被覆銅管（10+20t） 9.52+15.88mm（10t+20t）AC-1×2・AC-2</t>
        </is>
      </c>
      <c r="D21" s="196" t="inlineStr">
        <is>
          <t>平面実測 26.77m（AC-1西 11.15・AC-1東 7.54・AC-2 8.08）＋立上り（架台下段 2.2m×2・上段 0.9m×1）＋機器接続 0.3m×3＋余長 0.5m×3 ＝ 34.47m</t>
        </is>
      </c>
      <c r="E21" s="38" t="n"/>
      <c r="F21" s="197" t="inlineStr">
        <is>
          <t>35 m（実測＋想定）</t>
        </is>
      </c>
    </row>
    <row r="22" ht="66.5" customHeight="1">
      <c r="A22" s="194" t="n">
        <v>3</v>
      </c>
      <c r="B22" s="195" t="inlineStr">
        <is>
          <t>３</t>
        </is>
      </c>
      <c r="C22" s="196" t="inlineStr">
        <is>
          <t>硬質塩化ビニル管 VP 25A</t>
        </is>
      </c>
      <c r="D22" s="196" t="inlineStr">
        <is>
          <t>平面実測 5.20m（東主管 2.72・AC-2枝 1.28・西枝 0.76・RAC 0.44）＋ドレンアップ立上り 0.3m×3＋東カセット接続 0.3m＋RAC 立下り 1.9m ＝ 8.30m</t>
        </is>
      </c>
      <c r="E22" s="38" t="n"/>
      <c r="F22" s="197" t="inlineStr">
        <is>
          <t>9 m（実測＋想定）</t>
        </is>
      </c>
    </row>
    <row r="23" ht="29" customHeight="1">
      <c r="A23" s="194" t="n">
        <v>4</v>
      </c>
      <c r="B23" s="195" t="inlineStr">
        <is>
          <t>３</t>
        </is>
      </c>
      <c r="C23" s="196" t="inlineStr">
        <is>
          <t>硬質塩化ビニル管 VP 40A</t>
        </is>
      </c>
      <c r="D23" s="196" t="inlineStr">
        <is>
          <t>平面実測 3.29m＋天井内→接続立上り（H=150）への立下り 2.45m ＝ 5.74m</t>
        </is>
      </c>
      <c r="E23" s="38" t="n"/>
      <c r="F23" s="197" t="inlineStr">
        <is>
          <t>6 m（実測＋想定）</t>
        </is>
      </c>
    </row>
    <row r="24" ht="41.5" customHeight="1">
      <c r="A24" s="194" t="n">
        <v>5</v>
      </c>
      <c r="B24" s="195" t="inlineStr">
        <is>
          <t>３</t>
        </is>
      </c>
      <c r="C24" s="196" t="inlineStr">
        <is>
          <t>VVFケーブル（内外連絡線） 600V VV-F 2.0mm-3C</t>
        </is>
      </c>
      <c r="D24" s="196" t="inlineStr">
        <is>
          <t>内外連絡線＝冷媒配管の系統長（14.15＋9.24＋11.08＋9.45m）＋余長 3.0m×4系統 ＝ 55.92m</t>
        </is>
      </c>
      <c r="E24" s="38" t="n"/>
      <c r="F24" s="197" t="inlineStr">
        <is>
          <t>56 m（想定）</t>
        </is>
      </c>
    </row>
    <row r="25" ht="41.5" customHeight="1">
      <c r="A25" s="194" t="n">
        <v>6</v>
      </c>
      <c r="B25" s="195" t="inlineStr">
        <is>
          <t>３</t>
        </is>
      </c>
      <c r="C25" s="196" t="inlineStr">
        <is>
          <t>樹脂製化粧カバー 冷媒用被覆銅管（10+20t）6.35+9.52 屋外</t>
        </is>
      </c>
      <c r="D25" s="196" t="inlineStr">
        <is>
          <t>RAC: 屋外平面 1.21m（実測）＋立上り（上段）0.9m ＝ 2.11m</t>
        </is>
      </c>
      <c r="E25" s="38" t="n"/>
      <c r="F25" s="197" t="inlineStr">
        <is>
          <t>3 m（実測＋想定）</t>
        </is>
      </c>
    </row>
    <row r="26" ht="41.5" customHeight="1">
      <c r="A26" s="194" t="n">
        <v>7</v>
      </c>
      <c r="B26" s="195" t="inlineStr">
        <is>
          <t>３</t>
        </is>
      </c>
      <c r="C26" s="196" t="inlineStr">
        <is>
          <t>樹脂製化粧カバー 冷媒用被覆銅管（10+20t）9.52+15.88 屋外</t>
        </is>
      </c>
      <c r="D26" s="196" t="inlineStr">
        <is>
          <t>AC-1×2・AC-2: 屋外平面 2.60m（実測）＋立上り（下段 2.2m×2・上段 0.9m×1）＝ 7.90m</t>
        </is>
      </c>
      <c r="E26" s="38" t="n"/>
      <c r="F26" s="197" t="inlineStr">
        <is>
          <t>8 m（実測＋想定）</t>
        </is>
      </c>
    </row>
    <row r="27" ht="29" customHeight="1">
      <c r="A27" s="194" t="n">
        <v>8</v>
      </c>
      <c r="B27" s="195" t="inlineStr">
        <is>
          <t>３</t>
        </is>
      </c>
      <c r="C27" s="196" t="inlineStr">
        <is>
          <t>排水VP保温 GW20mm+ALGC 屋内隠蔽 25A</t>
        </is>
      </c>
      <c r="D27" s="196" t="inlineStr">
        <is>
          <t>ドレン管 VP25 と同長</t>
        </is>
      </c>
      <c r="E27" s="38" t="n"/>
      <c r="F27" s="197" t="inlineStr">
        <is>
          <t>9 m（実測＋想定）</t>
        </is>
      </c>
    </row>
    <row r="28" ht="29" customHeight="1">
      <c r="A28" s="198" t="n">
        <v>9</v>
      </c>
      <c r="B28" s="199" t="inlineStr">
        <is>
          <t>３</t>
        </is>
      </c>
      <c r="C28" s="200" t="inlineStr">
        <is>
          <t>排水VP保温 GW20mm+ALGC 屋内隠蔽 40A</t>
        </is>
      </c>
      <c r="D28" s="200" t="inlineStr">
        <is>
          <t>ドレン管 VP40 と同長</t>
        </is>
      </c>
      <c r="E28" s="53" t="n"/>
      <c r="F28" s="201" t="inlineStr">
        <is>
          <t>6 m（実測＋想定）</t>
        </is>
      </c>
    </row>
    <row r="29" ht="10" customHeight="1"/>
    <row r="30" ht="22" customHeight="1">
      <c r="A30" s="18" t="inlineStr">
        <is>
          <t>【3】図面読み取りに関する確認事項</t>
        </is>
      </c>
    </row>
    <row r="31" ht="35.5" customHeight="1">
      <c r="A31" s="192" t="inlineStr">
        <is>
          <t>1.</t>
        </is>
      </c>
      <c r="B31" s="193" t="inlineStr">
        <is>
          <t>空調機器表の AC-1（天井カセット形 5馬力相当）は2台（室内機2台・室外機2台の2系統）、AC-2 は1系統として計上しています（空調設備図 F-02-1・室外機設置概要図による）。</t>
        </is>
      </c>
    </row>
    <row r="32" ht="35.5" customHeight="1">
      <c r="A32" s="192" t="inlineStr">
        <is>
          <t>2.</t>
        </is>
      </c>
      <c r="B32" s="193" t="inlineStr">
        <is>
          <t>室外機は室外機設置概要図により、架台①＝AC-1（下段）＋AC-1（上段）、架台②＝AC-2（下段）＋RAC（上段）の2段積み2基としています。</t>
        </is>
      </c>
    </row>
    <row r="33" ht="35.5" customHeight="1">
      <c r="A33" s="192" t="inlineStr">
        <is>
          <t>3.</t>
        </is>
      </c>
      <c r="B33" s="193" t="inlineStr">
        <is>
          <t>冷媒管・ドレン管は空調設備図 F-02-1 の配管線（R・D 記号）から計測し、立上り・立下りは室外機設置概要図と天井高（客席 CH2,600、厨房・店長室 CH2,500）から想定しています。</t>
        </is>
      </c>
    </row>
    <row r="34" ht="35.5" customHeight="1">
      <c r="A34" s="192" t="inlineStr">
        <is>
          <t>4.</t>
        </is>
      </c>
      <c r="B34" s="193" t="inlineStr">
        <is>
          <t>特記の「天井内冷媒配管は厚20耐熱ポリスチレンフォーム断熱材巻き」は、冷媒管用の耐熱ポリエチレンフォーム保温材（ガス管20mm）と解釈しています。</t>
        </is>
      </c>
    </row>
    <row r="35" ht="21.8" customHeight="1">
      <c r="A35" s="192" t="inlineStr">
        <is>
          <t>5.</t>
        </is>
      </c>
      <c r="B35" s="193" t="inlineStr">
        <is>
          <t>ドレン接続立上り（H=150）の立上り管および以降の排水管は給排水工事と解釈しています。</t>
        </is>
      </c>
    </row>
    <row r="36" ht="21.8" customHeight="1">
      <c r="A36" s="192" t="inlineStr">
        <is>
          <t>6.</t>
        </is>
      </c>
      <c r="B36" s="193" t="inlineStr">
        <is>
          <t>施工場所は位置図（呉海岸）によります。地番をご教示ください。</t>
        </is>
      </c>
    </row>
  </sheetData>
  <mergeCells count="28">
    <mergeCell ref="D20:E20"/>
    <mergeCell ref="B7:F7"/>
    <mergeCell ref="D19:E19"/>
    <mergeCell ref="B31:F31"/>
    <mergeCell ref="A18:F18"/>
    <mergeCell ref="D22:E22"/>
    <mergeCell ref="D21:E21"/>
    <mergeCell ref="B12:F12"/>
    <mergeCell ref="B11:F11"/>
    <mergeCell ref="D27:E27"/>
    <mergeCell ref="B14:F14"/>
    <mergeCell ref="B8:F8"/>
    <mergeCell ref="B13:F13"/>
    <mergeCell ref="B34:F34"/>
    <mergeCell ref="B10:F10"/>
    <mergeCell ref="D28:E28"/>
    <mergeCell ref="B9:F9"/>
    <mergeCell ref="D25:E25"/>
    <mergeCell ref="B6:F6"/>
    <mergeCell ref="D24:E24"/>
    <mergeCell ref="B15:F15"/>
    <mergeCell ref="B33:F33"/>
    <mergeCell ref="B5:F5"/>
    <mergeCell ref="D23:E23"/>
    <mergeCell ref="B36:F36"/>
    <mergeCell ref="B32:F32"/>
    <mergeCell ref="D26:E26"/>
    <mergeCell ref="B35:F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6" min="0" max="16383" man="1"/>
  </rowBreaks>
</worksheet>
</file>

<file path=xl/worksheets/sheet5.xml><?xml version="1.0" encoding="utf-8"?>
<worksheet xmlns="http://schemas.openxmlformats.org/spreadsheetml/2006/main">
  <sheetPr>
    <outlinePr summaryBelow="1" summaryRight="1"/>
    <pageSetUpPr fitToPage="1"/>
  </sheetPr>
  <dimension ref="A1:K64"/>
  <sheetViews>
    <sheetView showGridLines="0" tabSelected="0" workbookViewId="0">
      <selection activeCell="A1" sqref="A1"/>
    </sheetView>
  </sheetViews>
  <sheetFormatPr baseColWidth="8" defaultRowHeight="15"/>
  <cols>
    <col width="12" customWidth="1" min="1" max="1"/>
    <col width="34" customWidth="1" min="2" max="2"/>
    <col width="30" customWidth="1" min="3" max="3"/>
    <col width="8" customWidth="1" min="4" max="4"/>
    <col width="10" customWidth="1" min="5" max="5"/>
    <col width="12" customWidth="1" min="6" max="6"/>
    <col width="8" customWidth="1" min="7" max="7"/>
    <col width="10" customWidth="1" min="8" max="8"/>
    <col width="12" customWidth="1" min="9" max="9"/>
    <col width="11" customWidth="1" min="10" max="10"/>
    <col width="44" customWidth="1" min="11" max="11"/>
  </cols>
  <sheetData>
    <row r="1">
      <c r="A1" s="170" t="inlineStr">
        <is>
          <t>エスト見積 6330560-1 との比較（内部用）　単価はエストに合わせ、数量は図面拾い。差額の主因を右列に記載</t>
        </is>
      </c>
    </row>
    <row r="3">
      <c r="A3" s="202" t="inlineStr">
        <is>
          <t>区分</t>
        </is>
      </c>
      <c r="B3" s="202" t="inlineStr">
        <is>
          <t>品名</t>
        </is>
      </c>
      <c r="C3" s="202" t="inlineStr">
        <is>
          <t>規格</t>
        </is>
      </c>
      <c r="D3" s="202" t="inlineStr">
        <is>
          <t>エスト数量</t>
        </is>
      </c>
      <c r="E3" s="202" t="inlineStr">
        <is>
          <t>エスト単価</t>
        </is>
      </c>
      <c r="F3" s="202" t="inlineStr">
        <is>
          <t>エスト金額</t>
        </is>
      </c>
      <c r="G3" s="202" t="inlineStr">
        <is>
          <t>当社数量</t>
        </is>
      </c>
      <c r="H3" s="202" t="inlineStr">
        <is>
          <t>当社単価</t>
        </is>
      </c>
      <c r="I3" s="202" t="inlineStr">
        <is>
          <t>当社金額</t>
        </is>
      </c>
      <c r="J3" s="202" t="inlineStr">
        <is>
          <t>差額</t>
        </is>
      </c>
      <c r="K3" s="202" t="inlineStr">
        <is>
          <t>差異の理由</t>
        </is>
      </c>
    </row>
    <row r="4">
      <c r="A4" s="203" t="inlineStr">
        <is>
          <t>空調設備工事</t>
        </is>
      </c>
      <c r="B4" s="203" t="inlineStr">
        <is>
          <t>RA 室外機</t>
        </is>
      </c>
      <c r="C4" s="204" t="inlineStr">
        <is>
          <t>セパレート2.2-5.0（店長室 RAC）架台上段</t>
        </is>
      </c>
      <c r="D4" s="126" t="n">
        <v>1</v>
      </c>
      <c r="E4" s="118" t="n">
        <v>6250</v>
      </c>
      <c r="F4" s="120" t="n">
        <v>6250</v>
      </c>
      <c r="G4" s="126">
        <f>'内訳書(空調設備工事)'!E7</f>
        <v>1</v>
      </c>
      <c r="H4" s="118">
        <f>'内訳書(空調設備工事)'!G7</f>
        <v>6250</v>
      </c>
      <c r="I4" s="120">
        <f>'内訳書(空調設備工事)'!H7</f>
        <v>6250</v>
      </c>
      <c r="J4" s="120">
        <f>I4-F4</f>
        <v>0</v>
      </c>
      <c r="K4" s="127" t="n"/>
    </row>
    <row r="5">
      <c r="A5" s="203" t="inlineStr">
        <is>
          <t>空調設備工事</t>
        </is>
      </c>
      <c r="B5" s="203" t="inlineStr">
        <is>
          <t>RA 室内機</t>
        </is>
      </c>
      <c r="C5" s="204" t="inlineStr">
        <is>
          <t>壁掛 2.2kW（店長室）</t>
        </is>
      </c>
      <c r="D5" s="126" t="n">
        <v>1</v>
      </c>
      <c r="E5" s="118" t="n">
        <v>6250</v>
      </c>
      <c r="F5" s="120" t="n">
        <v>6250</v>
      </c>
      <c r="G5" s="126">
        <f>'内訳書(空調設備工事)'!E8</f>
        <v>1</v>
      </c>
      <c r="H5" s="118">
        <f>'内訳書(空調設備工事)'!G8</f>
        <v>6250</v>
      </c>
      <c r="I5" s="120">
        <f>'内訳書(空調設備工事)'!H8</f>
        <v>6250</v>
      </c>
      <c r="J5" s="120">
        <f>I5-F5</f>
        <v>0</v>
      </c>
      <c r="K5" s="127" t="n"/>
    </row>
    <row r="6">
      <c r="A6" s="203" t="inlineStr">
        <is>
          <t>空調設備工事</t>
        </is>
      </c>
      <c r="B6" s="203" t="inlineStr">
        <is>
          <t>SA 室外機</t>
        </is>
      </c>
      <c r="C6" s="204" t="inlineStr">
        <is>
          <t>11.2-16.0（AC-1×2・AC-2、5HP）</t>
        </is>
      </c>
      <c r="D6" s="126" t="n">
        <v>2</v>
      </c>
      <c r="E6" s="118" t="n">
        <v>8750</v>
      </c>
      <c r="F6" s="120" t="n">
        <v>17500</v>
      </c>
      <c r="G6" s="126">
        <f>'内訳書(空調設備工事)'!E9</f>
        <v>3</v>
      </c>
      <c r="H6" s="118">
        <f>'内訳書(空調設備工事)'!G9</f>
        <v>8750</v>
      </c>
      <c r="I6" s="120">
        <f>'内訳書(空調設備工事)'!H9</f>
        <v>26250</v>
      </c>
      <c r="J6" s="120">
        <f>I6-F6</f>
        <v>8750</v>
      </c>
      <c r="K6" s="205" t="inlineStr">
        <is>
          <t>図面は AC-1×2・AC-2 の3台（エストは2台）</t>
        </is>
      </c>
    </row>
    <row r="7">
      <c r="A7" s="203" t="inlineStr">
        <is>
          <t>空調設備工事</t>
        </is>
      </c>
      <c r="B7" s="203" t="inlineStr">
        <is>
          <t>SA 室内機</t>
        </is>
      </c>
      <c r="C7" s="204" t="inlineStr">
        <is>
          <t>ダクト形11.2-16（AC-2 天井ビルトイン 5HP）</t>
        </is>
      </c>
      <c r="D7" s="126" t="n">
        <v>1</v>
      </c>
      <c r="E7" s="118" t="n">
        <v>27500</v>
      </c>
      <c r="F7" s="120" t="n">
        <v>27500</v>
      </c>
      <c r="G7" s="126">
        <f>'内訳書(空調設備工事)'!E10</f>
        <v>1</v>
      </c>
      <c r="H7" s="118">
        <f>'内訳書(空調設備工事)'!G10</f>
        <v>27500</v>
      </c>
      <c r="I7" s="120">
        <f>'内訳書(空調設備工事)'!H10</f>
        <v>27500</v>
      </c>
      <c r="J7" s="120">
        <f>I7-F7</f>
        <v>0</v>
      </c>
      <c r="K7" s="127" t="n"/>
    </row>
    <row r="8">
      <c r="A8" s="203" t="inlineStr">
        <is>
          <t>空調設備工事</t>
        </is>
      </c>
      <c r="B8" s="203" t="inlineStr">
        <is>
          <t>SA 室内機</t>
        </is>
      </c>
      <c r="C8" s="204" t="inlineStr">
        <is>
          <t>カセット形2.8-16（AC-1 天井カセット 5HP）</t>
        </is>
      </c>
      <c r="D8" s="126" t="n">
        <v>2</v>
      </c>
      <c r="E8" s="118" t="n">
        <v>25000</v>
      </c>
      <c r="F8" s="120" t="n">
        <v>50000</v>
      </c>
      <c r="G8" s="126">
        <f>'内訳書(空調設備工事)'!E11</f>
        <v>2</v>
      </c>
      <c r="H8" s="118">
        <f>'内訳書(空調設備工事)'!G11</f>
        <v>25000</v>
      </c>
      <c r="I8" s="120">
        <f>'内訳書(空調設備工事)'!H11</f>
        <v>50000</v>
      </c>
      <c r="J8" s="120">
        <f>I8-F8</f>
        <v>0</v>
      </c>
      <c r="K8" s="127" t="n"/>
    </row>
    <row r="9">
      <c r="A9" s="203" t="inlineStr">
        <is>
          <t>空調設備工事</t>
        </is>
      </c>
      <c r="B9" s="203" t="inlineStr">
        <is>
          <t>縁石</t>
        </is>
      </c>
      <c r="C9" s="204" t="inlineStr">
        <is>
          <t>22.4-28.0（2段架台用）</t>
        </is>
      </c>
      <c r="D9" s="126" t="n">
        <v>2</v>
      </c>
      <c r="E9" s="118" t="n">
        <v>7500</v>
      </c>
      <c r="F9" s="120" t="n">
        <v>15000</v>
      </c>
      <c r="G9" s="126">
        <f>'内訳書(空調設備工事)'!E13</f>
        <v>2</v>
      </c>
      <c r="H9" s="118">
        <f>'内訳書(空調設備工事)'!G13</f>
        <v>7500</v>
      </c>
      <c r="I9" s="120">
        <f>'内訳書(空調設備工事)'!H13</f>
        <v>15000</v>
      </c>
      <c r="J9" s="120">
        <f>I9-F9</f>
        <v>0</v>
      </c>
      <c r="K9" s="127" t="n"/>
    </row>
    <row r="10">
      <c r="A10" s="203" t="inlineStr">
        <is>
          <t>空調設備工事</t>
        </is>
      </c>
      <c r="B10" s="203" t="inlineStr">
        <is>
          <t>架台制作及び取付費</t>
        </is>
      </c>
      <c r="C10" s="204" t="inlineStr">
        <is>
          <t>鉄骨2段積み 溶融亜鉛メッキ（AC-1 上下段用・防振ゴム共）</t>
        </is>
      </c>
      <c r="D10" s="126" t="n">
        <v>1</v>
      </c>
      <c r="E10" s="118" t="n"/>
      <c r="F10" s="120" t="n">
        <v>0</v>
      </c>
      <c r="G10" s="126">
        <f>'内訳書(空調設備工事)'!E14</f>
        <v>1</v>
      </c>
      <c r="H10" s="118" t="str">
        <f>'内訳書(空調設備工事)'!G14</f>
        <v/>
      </c>
      <c r="I10" s="120">
        <f>'内訳書(空調設備工事)'!H14</f>
        <v>0</v>
      </c>
      <c r="J10" s="120">
        <f>I10-F10</f>
        <v>0</v>
      </c>
      <c r="K10" s="205" t="inlineStr">
        <is>
          <t>エストは 0（単価なし）→ 要見積</t>
        </is>
      </c>
    </row>
    <row r="11">
      <c r="A11" s="203" t="inlineStr">
        <is>
          <t>空調設備工事</t>
        </is>
      </c>
      <c r="B11" s="203" t="inlineStr">
        <is>
          <t>架台制作及び取付費</t>
        </is>
      </c>
      <c r="C11" s="204" t="inlineStr">
        <is>
          <t>鉄骨2段積み 溶融亜鉛メッキ（AC-2 下段・RAC 上段用・防振ゴム共）</t>
        </is>
      </c>
      <c r="D11" s="40" t="n"/>
      <c r="E11" s="40" t="n"/>
      <c r="F11" s="40" t="n"/>
      <c r="G11" s="126">
        <f>'内訳書(空調設備工事)'!E15</f>
        <v>1</v>
      </c>
      <c r="H11" s="118" t="str">
        <f>'内訳書(空調設備工事)'!G15</f>
        <v/>
      </c>
      <c r="I11" s="120">
        <f>'内訳書(空調設備工事)'!H15</f>
        <v>0</v>
      </c>
      <c r="J11" s="120">
        <f>I11-F11</f>
        <v>0</v>
      </c>
      <c r="K11" s="205" t="inlineStr">
        <is>
          <t>同上</t>
        </is>
      </c>
    </row>
    <row r="12">
      <c r="A12" s="203" t="inlineStr">
        <is>
          <t>空調設備工事</t>
        </is>
      </c>
      <c r="B12" s="203" t="inlineStr">
        <is>
          <t>試運転調整費</t>
        </is>
      </c>
      <c r="C12" s="204" t="inlineStr">
        <is>
          <t>SA 室外機（-160）</t>
        </is>
      </c>
      <c r="D12" s="126" t="n">
        <v>2</v>
      </c>
      <c r="E12" s="118" t="n">
        <v>10000</v>
      </c>
      <c r="F12" s="120" t="n">
        <v>20000</v>
      </c>
      <c r="G12" s="126">
        <f>'内訳書(空調設備工事)'!E17</f>
        <v>3</v>
      </c>
      <c r="H12" s="118">
        <f>'内訳書(空調設備工事)'!G17</f>
        <v>10000</v>
      </c>
      <c r="I12" s="120">
        <f>'内訳書(空調設備工事)'!H17</f>
        <v>30000</v>
      </c>
      <c r="J12" s="120">
        <f>I12-F12</f>
        <v>10000</v>
      </c>
      <c r="K12" s="205" t="inlineStr">
        <is>
          <t>同上（3台）</t>
        </is>
      </c>
    </row>
    <row r="13">
      <c r="A13" s="203" t="inlineStr">
        <is>
          <t>空調設備工事</t>
        </is>
      </c>
      <c r="B13" s="203" t="inlineStr">
        <is>
          <t>試運転調整費</t>
        </is>
      </c>
      <c r="C13" s="204" t="inlineStr">
        <is>
          <t>RA 室外機（0-56）</t>
        </is>
      </c>
      <c r="D13" s="126" t="n">
        <v>1</v>
      </c>
      <c r="E13" s="118" t="n">
        <v>2500</v>
      </c>
      <c r="F13" s="120" t="n">
        <v>2500</v>
      </c>
      <c r="G13" s="126">
        <f>'内訳書(空調設備工事)'!E18</f>
        <v>1</v>
      </c>
      <c r="H13" s="118">
        <f>'内訳書(空調設備工事)'!G18</f>
        <v>2500</v>
      </c>
      <c r="I13" s="120">
        <f>'内訳書(空調設備工事)'!H18</f>
        <v>2500</v>
      </c>
      <c r="J13" s="120">
        <f>I13-F13</f>
        <v>0</v>
      </c>
      <c r="K13" s="127" t="n"/>
    </row>
    <row r="14">
      <c r="A14" s="203" t="inlineStr">
        <is>
          <t>空調設備工事</t>
        </is>
      </c>
      <c r="B14" s="203" t="inlineStr">
        <is>
          <t>消耗品及び雑材料</t>
        </is>
      </c>
      <c r="C14" s="204" t="n"/>
      <c r="D14" s="126" t="n">
        <v>1</v>
      </c>
      <c r="E14" s="118" t="n"/>
      <c r="F14" s="120" t="n">
        <v>4500</v>
      </c>
      <c r="G14" s="126">
        <f>'内訳書(空調設備工事)'!E19</f>
        <v>1</v>
      </c>
      <c r="H14" s="118" t="n"/>
      <c r="I14" s="120">
        <f>'内訳書(空調設備工事)'!H19</f>
        <v>5000</v>
      </c>
      <c r="J14" s="120">
        <f>I14-F14</f>
        <v>500</v>
      </c>
      <c r="K14" s="127" t="inlineStr">
        <is>
          <t>基礎額の差による（率はエストと同じ）</t>
        </is>
      </c>
    </row>
    <row r="15">
      <c r="A15" s="203" t="inlineStr">
        <is>
          <t>空調設備工事</t>
        </is>
      </c>
      <c r="B15" s="203" t="inlineStr">
        <is>
          <t>資材運搬交通費</t>
        </is>
      </c>
      <c r="C15" s="204" t="n"/>
      <c r="D15" s="126" t="n">
        <v>1</v>
      </c>
      <c r="E15" s="118" t="n"/>
      <c r="F15" s="120" t="n">
        <v>6200</v>
      </c>
      <c r="G15" s="126">
        <f>'内訳書(空調設備工事)'!E20</f>
        <v>1</v>
      </c>
      <c r="H15" s="118" t="n"/>
      <c r="I15" s="120">
        <f>'内訳書(空調設備工事)'!H20</f>
        <v>6800</v>
      </c>
      <c r="J15" s="120">
        <f>I15-F15</f>
        <v>600</v>
      </c>
      <c r="K15" s="127" t="inlineStr">
        <is>
          <t>基礎額の差による（率はエストと同じ）</t>
        </is>
      </c>
    </row>
    <row r="16">
      <c r="A16" s="203" t="inlineStr">
        <is>
          <t>空調設備工事</t>
        </is>
      </c>
      <c r="B16" s="203" t="inlineStr">
        <is>
          <t>現場経費</t>
        </is>
      </c>
      <c r="C16" s="204" t="n"/>
      <c r="D16" s="126" t="n">
        <v>1</v>
      </c>
      <c r="E16" s="118" t="n"/>
      <c r="F16" s="120" t="n">
        <v>13300</v>
      </c>
      <c r="G16" s="126">
        <f>'内訳書(空調設備工事)'!E21</f>
        <v>1</v>
      </c>
      <c r="H16" s="118" t="n"/>
      <c r="I16" s="120">
        <f>'内訳書(空調設備工事)'!H21</f>
        <v>14450</v>
      </c>
      <c r="J16" s="120">
        <f>I16-F16</f>
        <v>1150</v>
      </c>
      <c r="K16" s="127" t="inlineStr">
        <is>
          <t>基礎額の差による（率はエストと同じ）</t>
        </is>
      </c>
    </row>
    <row r="17">
      <c r="A17" s="203" t="inlineStr">
        <is>
          <t>配管設備工事</t>
        </is>
      </c>
      <c r="B17" s="203" t="inlineStr">
        <is>
          <t>冷媒用被覆銅管（10+20t）</t>
        </is>
      </c>
      <c r="C17" s="204" t="inlineStr">
        <is>
          <t>6.35+9.52mm（10t+20t）RAC</t>
        </is>
      </c>
      <c r="D17" s="126" t="n">
        <v>10</v>
      </c>
      <c r="E17" s="118" t="n">
        <v>3388</v>
      </c>
      <c r="F17" s="120" t="n">
        <v>33880</v>
      </c>
      <c r="G17" s="126">
        <f>'内訳書(空調設備工事)'!E26</f>
        <v>10</v>
      </c>
      <c r="H17" s="118">
        <f>'内訳書(空調設備工事)'!G26</f>
        <v>3388</v>
      </c>
      <c r="I17" s="120">
        <f>'内訳書(空調設備工事)'!H26</f>
        <v>33880</v>
      </c>
      <c r="J17" s="120">
        <f>I17-F17</f>
        <v>0</v>
      </c>
      <c r="K17" s="127" t="n"/>
    </row>
    <row r="18">
      <c r="A18" s="203" t="inlineStr">
        <is>
          <t>配管設備工事</t>
        </is>
      </c>
      <c r="B18" s="203" t="inlineStr">
        <is>
          <t>冷媒用被覆銅管（10+20t）</t>
        </is>
      </c>
      <c r="C18" s="204" t="inlineStr">
        <is>
          <t>9.52+15.88mm（10t+20t）AC-1×2・AC-2</t>
        </is>
      </c>
      <c r="D18" s="126" t="n">
        <v>35</v>
      </c>
      <c r="E18" s="118" t="n">
        <v>5138</v>
      </c>
      <c r="F18" s="120" t="n">
        <v>179830</v>
      </c>
      <c r="G18" s="126">
        <f>'内訳書(空調設備工事)'!E27</f>
        <v>35</v>
      </c>
      <c r="H18" s="118">
        <f>'内訳書(空調設備工事)'!G27</f>
        <v>5138</v>
      </c>
      <c r="I18" s="120">
        <f>'内訳書(空調設備工事)'!H27</f>
        <v>179830</v>
      </c>
      <c r="J18" s="120">
        <f>I18-F18</f>
        <v>0</v>
      </c>
      <c r="K18" s="127" t="n"/>
    </row>
    <row r="19">
      <c r="A19" s="203" t="inlineStr">
        <is>
          <t>配管設備工事</t>
        </is>
      </c>
      <c r="B19" s="203" t="inlineStr">
        <is>
          <t>継手類</t>
        </is>
      </c>
      <c r="C19" s="204" t="n"/>
      <c r="D19" s="126" t="n">
        <v>1</v>
      </c>
      <c r="E19" s="118" t="n"/>
      <c r="F19" s="120" t="n">
        <v>64107</v>
      </c>
      <c r="G19" s="126">
        <f>'内訳書(空調設備工事)'!E28</f>
        <v>1</v>
      </c>
      <c r="H19" s="118" t="n"/>
      <c r="I19" s="120">
        <f>'内訳書(空調設備工事)'!H28</f>
        <v>64113</v>
      </c>
      <c r="J19" s="120">
        <f>I19-F19</f>
        <v>6</v>
      </c>
      <c r="K19" s="127" t="inlineStr">
        <is>
          <t>数量同一のため同額（率・算式はエストと同じ）</t>
        </is>
      </c>
    </row>
    <row r="20">
      <c r="A20" s="203" t="inlineStr">
        <is>
          <t>配管設備工事</t>
        </is>
      </c>
      <c r="B20" s="203" t="inlineStr">
        <is>
          <t>消耗品</t>
        </is>
      </c>
      <c r="C20" s="204" t="n"/>
      <c r="D20" s="126" t="n">
        <v>1</v>
      </c>
      <c r="E20" s="118" t="n"/>
      <c r="F20" s="120" t="n">
        <v>32054</v>
      </c>
      <c r="G20" s="126">
        <f>'内訳書(空調設備工事)'!E29</f>
        <v>1</v>
      </c>
      <c r="H20" s="118" t="n"/>
      <c r="I20" s="120">
        <f>'内訳書(空調設備工事)'!H29</f>
        <v>32057</v>
      </c>
      <c r="J20" s="120">
        <f>I20-F20</f>
        <v>3</v>
      </c>
      <c r="K20" s="127" t="inlineStr">
        <is>
          <t>数量同一のため同額（率・算式はエストと同じ）</t>
        </is>
      </c>
    </row>
    <row r="21">
      <c r="A21" s="203" t="inlineStr">
        <is>
          <t>配管設備工事</t>
        </is>
      </c>
      <c r="B21" s="203" t="inlineStr">
        <is>
          <t>支持金物</t>
        </is>
      </c>
      <c r="C21" s="204" t="n"/>
      <c r="D21" s="126" t="n">
        <v>1</v>
      </c>
      <c r="E21" s="118" t="n"/>
      <c r="F21" s="120" t="n">
        <v>85475</v>
      </c>
      <c r="G21" s="126">
        <f>'内訳書(空調設備工事)'!E30</f>
        <v>1</v>
      </c>
      <c r="H21" s="118" t="n"/>
      <c r="I21" s="120">
        <f>'内訳書(空調設備工事)'!H30</f>
        <v>85484</v>
      </c>
      <c r="J21" s="120">
        <f>I21-F21</f>
        <v>9</v>
      </c>
      <c r="K21" s="127" t="inlineStr">
        <is>
          <t>数量同一のため同額（率・算式はエストと同じ）</t>
        </is>
      </c>
    </row>
    <row r="22">
      <c r="A22" s="203" t="inlineStr">
        <is>
          <t>配管設備工事</t>
        </is>
      </c>
      <c r="B22" s="203" t="inlineStr">
        <is>
          <t>硬質塩化ビニル管</t>
        </is>
      </c>
      <c r="C22" s="204" t="inlineStr">
        <is>
          <t>VP 25A</t>
        </is>
      </c>
      <c r="D22" s="126" t="n">
        <v>9</v>
      </c>
      <c r="E22" s="118" t="n">
        <v>313</v>
      </c>
      <c r="F22" s="120" t="n">
        <v>2817</v>
      </c>
      <c r="G22" s="126">
        <f>'内訳書(空調設備工事)'!E32</f>
        <v>9</v>
      </c>
      <c r="H22" s="118">
        <f>'内訳書(空調設備工事)'!G32</f>
        <v>313</v>
      </c>
      <c r="I22" s="120">
        <f>'内訳書(空調設備工事)'!H32</f>
        <v>2817</v>
      </c>
      <c r="J22" s="120">
        <f>I22-F22</f>
        <v>0</v>
      </c>
      <c r="K22" s="127" t="n"/>
    </row>
    <row r="23">
      <c r="A23" s="203" t="inlineStr">
        <is>
          <t>配管設備工事</t>
        </is>
      </c>
      <c r="B23" s="203" t="inlineStr">
        <is>
          <t>硬質塩化ビニル管</t>
        </is>
      </c>
      <c r="C23" s="204" t="inlineStr">
        <is>
          <t>VP 30A</t>
        </is>
      </c>
      <c r="D23" s="126" t="n">
        <v>4</v>
      </c>
      <c r="E23" s="118" t="n">
        <v>363</v>
      </c>
      <c r="F23" s="120" t="n">
        <v>1452</v>
      </c>
      <c r="G23" s="126">
        <f>'内訳書(空調設備工事)'!E33</f>
        <v>4</v>
      </c>
      <c r="H23" s="118">
        <f>'内訳書(空調設備工事)'!G33</f>
        <v>363</v>
      </c>
      <c r="I23" s="120">
        <f>'内訳書(空調設備工事)'!H33</f>
        <v>1452</v>
      </c>
      <c r="J23" s="120">
        <f>I23-F23</f>
        <v>0</v>
      </c>
      <c r="K23" s="127" t="n"/>
    </row>
    <row r="24">
      <c r="A24" s="203" t="inlineStr">
        <is>
          <t>配管設備工事</t>
        </is>
      </c>
      <c r="B24" s="203" t="inlineStr">
        <is>
          <t>硬質塩化ビニル管</t>
        </is>
      </c>
      <c r="C24" s="204" t="inlineStr">
        <is>
          <t>VP 40A</t>
        </is>
      </c>
      <c r="D24" s="126" t="n">
        <v>6</v>
      </c>
      <c r="E24" s="118" t="n">
        <v>363</v>
      </c>
      <c r="F24" s="120" t="n">
        <v>2178</v>
      </c>
      <c r="G24" s="126">
        <f>'内訳書(空調設備工事)'!E34</f>
        <v>6</v>
      </c>
      <c r="H24" s="118">
        <f>'内訳書(空調設備工事)'!G34</f>
        <v>363</v>
      </c>
      <c r="I24" s="120">
        <f>'内訳書(空調設備工事)'!H34</f>
        <v>2178</v>
      </c>
      <c r="J24" s="120">
        <f>I24-F24</f>
        <v>0</v>
      </c>
      <c r="K24" s="127" t="n"/>
    </row>
    <row r="25">
      <c r="A25" s="203" t="inlineStr">
        <is>
          <t>配管設備工事</t>
        </is>
      </c>
      <c r="B25" s="203" t="inlineStr">
        <is>
          <t>継手類</t>
        </is>
      </c>
      <c r="C25" s="204" t="n"/>
      <c r="D25" s="126" t="n">
        <v>1</v>
      </c>
      <c r="E25" s="118" t="n"/>
      <c r="F25" s="120" t="n">
        <v>1288</v>
      </c>
      <c r="G25" s="126">
        <f>'内訳書(空調設備工事)'!E35</f>
        <v>1</v>
      </c>
      <c r="H25" s="118" t="n"/>
      <c r="I25" s="120">
        <f>'内訳書(空調設備工事)'!H35</f>
        <v>1289</v>
      </c>
      <c r="J25" s="120">
        <f>I25-F25</f>
        <v>1</v>
      </c>
      <c r="K25" s="127" t="inlineStr">
        <is>
          <t>数量同一のため同額（率・算式はエストと同じ）</t>
        </is>
      </c>
    </row>
    <row r="26">
      <c r="A26" s="203" t="inlineStr">
        <is>
          <t>配管設備工事</t>
        </is>
      </c>
      <c r="B26" s="203" t="inlineStr">
        <is>
          <t>消耗品</t>
        </is>
      </c>
      <c r="C26" s="204" t="n"/>
      <c r="D26" s="126" t="n">
        <v>1</v>
      </c>
      <c r="E26" s="118" t="n"/>
      <c r="F26" s="120" t="n">
        <v>644</v>
      </c>
      <c r="G26" s="126">
        <f>'内訳書(空調設備工事)'!E36</f>
        <v>1</v>
      </c>
      <c r="H26" s="118" t="n"/>
      <c r="I26" s="120">
        <f>'内訳書(空調設備工事)'!H36</f>
        <v>645</v>
      </c>
      <c r="J26" s="120">
        <f>I26-F26</f>
        <v>1</v>
      </c>
      <c r="K26" s="127" t="inlineStr">
        <is>
          <t>数量同一のため同額（率・算式はエストと同じ）</t>
        </is>
      </c>
    </row>
    <row r="27">
      <c r="A27" s="203" t="inlineStr">
        <is>
          <t>配管設備工事</t>
        </is>
      </c>
      <c r="B27" s="203" t="inlineStr">
        <is>
          <t>支持金物</t>
        </is>
      </c>
      <c r="C27" s="204" t="n"/>
      <c r="D27" s="126" t="n">
        <v>1</v>
      </c>
      <c r="E27" s="118" t="n"/>
      <c r="F27" s="120" t="n">
        <v>1610</v>
      </c>
      <c r="G27" s="126">
        <f>'内訳書(空調設備工事)'!E37</f>
        <v>1</v>
      </c>
      <c r="H27" s="118" t="n"/>
      <c r="I27" s="120">
        <f>'内訳書(空調設備工事)'!H37</f>
        <v>1612</v>
      </c>
      <c r="J27" s="120">
        <f>I27-F27</f>
        <v>2</v>
      </c>
      <c r="K27" s="127" t="inlineStr">
        <is>
          <t>数量同一のため同額（率・算式はエストと同じ）</t>
        </is>
      </c>
    </row>
    <row r="28">
      <c r="A28" s="203" t="inlineStr">
        <is>
          <t>配管設備工事</t>
        </is>
      </c>
      <c r="B28" s="203" t="inlineStr">
        <is>
          <t>ドレンホース用逆止弁</t>
        </is>
      </c>
      <c r="C28" s="204" t="inlineStr">
        <is>
          <t>NDB-20-25（図示品）</t>
        </is>
      </c>
      <c r="D28" s="40" t="n"/>
      <c r="E28" s="40" t="n"/>
      <c r="F28" s="40" t="n"/>
      <c r="G28" s="126">
        <f>'内訳書(空調設備工事)'!E38</f>
        <v>1</v>
      </c>
      <c r="H28" s="118">
        <f>'内訳書(空調設備工事)'!G38</f>
        <v>5730</v>
      </c>
      <c r="I28" s="120">
        <f>'内訳書(空調設備工事)'!H38</f>
        <v>5730</v>
      </c>
      <c r="J28" s="120">
        <f>I28-F28</f>
        <v>5730</v>
      </c>
      <c r="K28" s="205" t="inlineStr">
        <is>
          <t>エストに単価・行なし（当社単価で追加）</t>
        </is>
      </c>
    </row>
    <row r="29">
      <c r="A29" s="203" t="inlineStr">
        <is>
          <t>配管設備工事</t>
        </is>
      </c>
      <c r="B29" s="203" t="inlineStr">
        <is>
          <t>VVFケーブル（内外連絡線）</t>
        </is>
      </c>
      <c r="C29" s="204" t="inlineStr">
        <is>
          <t>600V VV-F 2.0mm-3C</t>
        </is>
      </c>
      <c r="D29" s="126" t="n">
        <v>56</v>
      </c>
      <c r="E29" s="118" t="n">
        <v>203</v>
      </c>
      <c r="F29" s="120" t="n">
        <v>11368</v>
      </c>
      <c r="G29" s="126">
        <f>'内訳書(空調設備工事)'!E40</f>
        <v>56</v>
      </c>
      <c r="H29" s="118">
        <f>'内訳書(空調設備工事)'!G40</f>
        <v>203</v>
      </c>
      <c r="I29" s="120">
        <f>'内訳書(空調設備工事)'!H40</f>
        <v>11368</v>
      </c>
      <c r="J29" s="120">
        <f>I29-F29</f>
        <v>0</v>
      </c>
      <c r="K29" s="127" t="n"/>
    </row>
    <row r="30">
      <c r="A30" s="203" t="inlineStr">
        <is>
          <t>配管設備工事</t>
        </is>
      </c>
      <c r="B30" s="203" t="inlineStr">
        <is>
          <t>配管工費（冷媒配管）</t>
        </is>
      </c>
      <c r="C30" s="204" t="n"/>
      <c r="D30" s="126" t="n">
        <v>1</v>
      </c>
      <c r="E30" s="118" t="n"/>
      <c r="F30" s="120" t="n">
        <v>212290</v>
      </c>
      <c r="G30" s="126">
        <f>'内訳書(空調設備工事)'!E41</f>
        <v>1</v>
      </c>
      <c r="H30" s="118" t="n"/>
      <c r="I30" s="120">
        <f>'内訳書(空調設備工事)'!H41</f>
        <v>212290</v>
      </c>
      <c r="J30" s="120">
        <f>I30-F30</f>
        <v>0</v>
      </c>
      <c r="K30" s="127" t="inlineStr">
        <is>
          <t>数量同一のため同額（率・算式はエストと同じ）</t>
        </is>
      </c>
    </row>
    <row r="31">
      <c r="A31" s="203" t="inlineStr">
        <is>
          <t>配管設備工事</t>
        </is>
      </c>
      <c r="B31" s="203" t="inlineStr">
        <is>
          <t>配管工費（塩ビ管類）</t>
        </is>
      </c>
      <c r="C31" s="204" t="n"/>
      <c r="D31" s="126" t="n">
        <v>1</v>
      </c>
      <c r="E31" s="118" t="n"/>
      <c r="F31" s="120" t="n">
        <v>53600</v>
      </c>
      <c r="G31" s="126">
        <f>'内訳書(空調設備工事)'!E42</f>
        <v>1</v>
      </c>
      <c r="H31" s="118" t="n"/>
      <c r="I31" s="120">
        <f>'内訳書(空調設備工事)'!H42</f>
        <v>53600</v>
      </c>
      <c r="J31" s="120">
        <f>I31-F31</f>
        <v>0</v>
      </c>
      <c r="K31" s="127" t="inlineStr">
        <is>
          <t>数量同一のため同額（率・算式はエストと同じ）</t>
        </is>
      </c>
    </row>
    <row r="32">
      <c r="A32" s="203" t="inlineStr">
        <is>
          <t>配管設備工事</t>
        </is>
      </c>
      <c r="B32" s="203" t="inlineStr">
        <is>
          <t>電線材料施工費</t>
        </is>
      </c>
      <c r="C32" s="204" t="n"/>
      <c r="D32" s="126" t="n">
        <v>1</v>
      </c>
      <c r="E32" s="118" t="n"/>
      <c r="F32" s="120" t="n">
        <v>31990</v>
      </c>
      <c r="G32" s="126">
        <f>'内訳書(空調設備工事)'!E43</f>
        <v>1</v>
      </c>
      <c r="H32" s="118" t="n"/>
      <c r="I32" s="120">
        <f>'内訳書(空調設備工事)'!H43</f>
        <v>31990</v>
      </c>
      <c r="J32" s="120">
        <f>I32-F32</f>
        <v>0</v>
      </c>
      <c r="K32" s="127" t="inlineStr">
        <is>
          <t>数量同一のため同額（率・算式はエストと同じ）</t>
        </is>
      </c>
    </row>
    <row r="33">
      <c r="A33" s="203" t="inlineStr">
        <is>
          <t>配管設備工事</t>
        </is>
      </c>
      <c r="B33" s="203" t="inlineStr">
        <is>
          <t>樹脂製化粧カバー</t>
        </is>
      </c>
      <c r="C33" s="204" t="inlineStr">
        <is>
          <t>冷媒用被覆銅管（10+20t）6.35+9.52 屋外</t>
        </is>
      </c>
      <c r="D33" s="126" t="n">
        <v>5</v>
      </c>
      <c r="E33" s="118" t="n">
        <v>4225</v>
      </c>
      <c r="F33" s="120" t="n">
        <v>21125</v>
      </c>
      <c r="G33" s="126">
        <f>'内訳書(空調設備工事)'!E45</f>
        <v>3</v>
      </c>
      <c r="H33" s="118">
        <f>'内訳書(空調設備工事)'!G45</f>
        <v>4225</v>
      </c>
      <c r="I33" s="120">
        <f>'内訳書(空調設備工事)'!H45</f>
        <v>12675</v>
      </c>
      <c r="J33" s="120">
        <f>I33-F33</f>
        <v>-8450</v>
      </c>
      <c r="K33" s="205" t="inlineStr">
        <is>
          <t>図面実測 2.11m→3m（エスト 5m）</t>
        </is>
      </c>
    </row>
    <row r="34">
      <c r="A34" s="203" t="inlineStr">
        <is>
          <t>配管設備工事</t>
        </is>
      </c>
      <c r="B34" s="203" t="inlineStr">
        <is>
          <t>樹脂製化粧カバー</t>
        </is>
      </c>
      <c r="C34" s="204" t="inlineStr">
        <is>
          <t>冷媒用被覆銅管（10+20t）9.52+15.88 屋外</t>
        </is>
      </c>
      <c r="D34" s="126" t="n">
        <v>10</v>
      </c>
      <c r="E34" s="118" t="n">
        <v>5525</v>
      </c>
      <c r="F34" s="120" t="n">
        <v>55250</v>
      </c>
      <c r="G34" s="126">
        <f>'内訳書(空調設備工事)'!E46</f>
        <v>8</v>
      </c>
      <c r="H34" s="118">
        <f>'内訳書(空調設備工事)'!G46</f>
        <v>5525</v>
      </c>
      <c r="I34" s="120">
        <f>'内訳書(空調設備工事)'!H46</f>
        <v>44200</v>
      </c>
      <c r="J34" s="120">
        <f>I34-F34</f>
        <v>-11050</v>
      </c>
      <c r="K34" s="205" t="inlineStr">
        <is>
          <t>図面実測 7.90m→8m（エスト 10m）</t>
        </is>
      </c>
    </row>
    <row r="35">
      <c r="A35" s="203" t="inlineStr">
        <is>
          <t>配管設備工事</t>
        </is>
      </c>
      <c r="B35" s="203" t="inlineStr">
        <is>
          <t>排水VP保温 GW20mm+ALGC</t>
        </is>
      </c>
      <c r="C35" s="204" t="inlineStr">
        <is>
          <t>屋内隠蔽 25A</t>
        </is>
      </c>
      <c r="D35" s="126" t="n">
        <v>9</v>
      </c>
      <c r="E35" s="118" t="n">
        <v>2563</v>
      </c>
      <c r="F35" s="120" t="n">
        <v>23067</v>
      </c>
      <c r="G35" s="126">
        <f>'内訳書(空調設備工事)'!E47</f>
        <v>9</v>
      </c>
      <c r="H35" s="118">
        <f>'内訳書(空調設備工事)'!G47</f>
        <v>2563</v>
      </c>
      <c r="I35" s="120">
        <f>'内訳書(空調設備工事)'!H47</f>
        <v>23067</v>
      </c>
      <c r="J35" s="120">
        <f>I35-F35</f>
        <v>0</v>
      </c>
      <c r="K35" s="127" t="n"/>
    </row>
    <row r="36">
      <c r="A36" s="203" t="inlineStr">
        <is>
          <t>配管設備工事</t>
        </is>
      </c>
      <c r="B36" s="203" t="inlineStr">
        <is>
          <t>排水VP保温 GW20mm+ALGC</t>
        </is>
      </c>
      <c r="C36" s="204" t="inlineStr">
        <is>
          <t>屋内隠蔽 30A</t>
        </is>
      </c>
      <c r="D36" s="126" t="n">
        <v>4</v>
      </c>
      <c r="E36" s="118" t="n">
        <v>2713</v>
      </c>
      <c r="F36" s="120" t="n">
        <v>10852</v>
      </c>
      <c r="G36" s="126">
        <f>'内訳書(空調設備工事)'!E48</f>
        <v>4</v>
      </c>
      <c r="H36" s="118">
        <f>'内訳書(空調設備工事)'!G48</f>
        <v>2713</v>
      </c>
      <c r="I36" s="120">
        <f>'内訳書(空調設備工事)'!H48</f>
        <v>10852</v>
      </c>
      <c r="J36" s="120">
        <f>I36-F36</f>
        <v>0</v>
      </c>
      <c r="K36" s="127" t="n"/>
    </row>
    <row r="37">
      <c r="A37" s="203" t="inlineStr">
        <is>
          <t>配管設備工事</t>
        </is>
      </c>
      <c r="B37" s="203" t="inlineStr">
        <is>
          <t>排水VP保温 GW20mm+ALGC</t>
        </is>
      </c>
      <c r="C37" s="204" t="inlineStr">
        <is>
          <t>屋内隠蔽 40A</t>
        </is>
      </c>
      <c r="D37" s="126" t="n">
        <v>6</v>
      </c>
      <c r="E37" s="118" t="n">
        <v>2950</v>
      </c>
      <c r="F37" s="120" t="n">
        <v>17700</v>
      </c>
      <c r="G37" s="126">
        <f>'内訳書(空調設備工事)'!E49</f>
        <v>6</v>
      </c>
      <c r="H37" s="118">
        <f>'内訳書(空調設備工事)'!G49</f>
        <v>2950</v>
      </c>
      <c r="I37" s="120">
        <f>'内訳書(空調設備工事)'!H49</f>
        <v>17700</v>
      </c>
      <c r="J37" s="120">
        <f>I37-F37</f>
        <v>0</v>
      </c>
      <c r="K37" s="127" t="n"/>
    </row>
    <row r="38">
      <c r="A38" s="203" t="inlineStr">
        <is>
          <t>配管設備工事</t>
        </is>
      </c>
      <c r="B38" s="203" t="inlineStr">
        <is>
          <t>スリーブインサート費</t>
        </is>
      </c>
      <c r="C38" s="204" t="inlineStr">
        <is>
          <t>外壁貫通 4箇所（穴明け・シーリング）</t>
        </is>
      </c>
      <c r="D38" s="126" t="n">
        <v>1</v>
      </c>
      <c r="E38" s="118" t="n"/>
      <c r="F38" s="120" t="n">
        <v>50000</v>
      </c>
      <c r="G38" s="126">
        <f>'内訳書(空調設備工事)'!E50</f>
        <v>1</v>
      </c>
      <c r="H38" s="118">
        <f>'内訳書(空調設備工事)'!G50</f>
        <v>50000</v>
      </c>
      <c r="I38" s="120">
        <f>'内訳書(空調設備工事)'!H50</f>
        <v>50000</v>
      </c>
      <c r="J38" s="120">
        <f>I38-F38</f>
        <v>0</v>
      </c>
      <c r="K38" s="127" t="n"/>
    </row>
    <row r="39">
      <c r="A39" s="203" t="inlineStr">
        <is>
          <t>配管設備工事</t>
        </is>
      </c>
      <c r="B39" s="203" t="inlineStr">
        <is>
          <t>気密テスト費</t>
        </is>
      </c>
      <c r="C39" s="204" t="inlineStr">
        <is>
          <t>SA</t>
        </is>
      </c>
      <c r="D39" s="126" t="n">
        <v>2</v>
      </c>
      <c r="E39" s="118" t="n">
        <v>12500</v>
      </c>
      <c r="F39" s="120" t="n">
        <v>25000</v>
      </c>
      <c r="G39" s="126">
        <f>'内訳書(空調設備工事)'!E52</f>
        <v>3</v>
      </c>
      <c r="H39" s="118">
        <f>'内訳書(空調設備工事)'!G52</f>
        <v>12500</v>
      </c>
      <c r="I39" s="120">
        <f>'内訳書(空調設備工事)'!H52</f>
        <v>37500</v>
      </c>
      <c r="J39" s="120">
        <f>I39-F39</f>
        <v>12500</v>
      </c>
      <c r="K39" s="205" t="inlineStr">
        <is>
          <t>同上（3系統）</t>
        </is>
      </c>
    </row>
    <row r="40">
      <c r="A40" s="203" t="inlineStr">
        <is>
          <t>配管設備工事</t>
        </is>
      </c>
      <c r="B40" s="203" t="inlineStr">
        <is>
          <t>気密テスト費</t>
        </is>
      </c>
      <c r="C40" s="204" t="inlineStr">
        <is>
          <t>RA</t>
        </is>
      </c>
      <c r="D40" s="126" t="n">
        <v>1</v>
      </c>
      <c r="E40" s="118" t="n">
        <v>10000</v>
      </c>
      <c r="F40" s="120" t="n">
        <v>10000</v>
      </c>
      <c r="G40" s="126">
        <f>'内訳書(空調設備工事)'!E53</f>
        <v>1</v>
      </c>
      <c r="H40" s="118">
        <f>'内訳書(空調設備工事)'!G53</f>
        <v>10000</v>
      </c>
      <c r="I40" s="120">
        <f>'内訳書(空調設備工事)'!H53</f>
        <v>10000</v>
      </c>
      <c r="J40" s="120">
        <f>I40-F40</f>
        <v>0</v>
      </c>
      <c r="K40" s="127" t="n"/>
    </row>
    <row r="41">
      <c r="A41" s="203" t="inlineStr">
        <is>
          <t>配管設備工事</t>
        </is>
      </c>
      <c r="B41" s="203" t="inlineStr">
        <is>
          <t>真空引き・ガス充填</t>
        </is>
      </c>
      <c r="C41" s="204" t="inlineStr">
        <is>
          <t>SA（基本料金）</t>
        </is>
      </c>
      <c r="D41" s="126" t="n">
        <v>2</v>
      </c>
      <c r="E41" s="118" t="n">
        <v>2500</v>
      </c>
      <c r="F41" s="120" t="n">
        <v>5000</v>
      </c>
      <c r="G41" s="126">
        <f>'内訳書(空調設備工事)'!E55</f>
        <v>3</v>
      </c>
      <c r="H41" s="118">
        <f>'内訳書(空調設備工事)'!G55</f>
        <v>2500</v>
      </c>
      <c r="I41" s="120">
        <f>'内訳書(空調設備工事)'!H55</f>
        <v>7500</v>
      </c>
      <c r="J41" s="120">
        <f>I41-F41</f>
        <v>2500</v>
      </c>
      <c r="K41" s="205" t="inlineStr">
        <is>
          <t>同上（3系統）</t>
        </is>
      </c>
    </row>
    <row r="42">
      <c r="A42" s="203" t="inlineStr">
        <is>
          <t>配管設備工事</t>
        </is>
      </c>
      <c r="B42" s="203" t="inlineStr">
        <is>
          <t>真空引き・ガス充填</t>
        </is>
      </c>
      <c r="C42" s="204" t="inlineStr">
        <is>
          <t>RA（基本料金）</t>
        </is>
      </c>
      <c r="D42" s="126" t="n">
        <v>1</v>
      </c>
      <c r="E42" s="118" t="n">
        <v>1880</v>
      </c>
      <c r="F42" s="120" t="n">
        <v>1880</v>
      </c>
      <c r="G42" s="126">
        <f>'内訳書(空調設備工事)'!E56</f>
        <v>1</v>
      </c>
      <c r="H42" s="118">
        <f>'内訳書(空調設備工事)'!G56</f>
        <v>1880</v>
      </c>
      <c r="I42" s="120">
        <f>'内訳書(空調設備工事)'!H56</f>
        <v>1880</v>
      </c>
      <c r="J42" s="120">
        <f>I42-F42</f>
        <v>0</v>
      </c>
      <c r="K42" s="127" t="n"/>
    </row>
    <row r="43">
      <c r="A43" s="203" t="inlineStr">
        <is>
          <t>配管設備工事</t>
        </is>
      </c>
      <c r="B43" s="203" t="inlineStr">
        <is>
          <t>消耗品及び雑材料</t>
        </is>
      </c>
      <c r="C43" s="204" t="n"/>
      <c r="D43" s="126" t="n">
        <v>1</v>
      </c>
      <c r="E43" s="118" t="n"/>
      <c r="F43" s="120" t="n">
        <v>28100</v>
      </c>
      <c r="G43" s="126">
        <f>'内訳書(空調設備工事)'!E57</f>
        <v>1</v>
      </c>
      <c r="H43" s="118" t="n"/>
      <c r="I43" s="120">
        <f>'内訳書(空調設備工事)'!H57</f>
        <v>28100</v>
      </c>
      <c r="J43" s="120">
        <f>I43-F43</f>
        <v>0</v>
      </c>
      <c r="K43" s="127" t="inlineStr">
        <is>
          <t>基礎額の差による（率はエストと同じ）</t>
        </is>
      </c>
    </row>
    <row r="44">
      <c r="A44" s="203" t="inlineStr">
        <is>
          <t>配管設備工事</t>
        </is>
      </c>
      <c r="B44" s="203" t="inlineStr">
        <is>
          <t>資材運搬費</t>
        </is>
      </c>
      <c r="C44" s="204" t="n"/>
      <c r="D44" s="126" t="n">
        <v>1</v>
      </c>
      <c r="E44" s="118" t="n"/>
      <c r="F44" s="120" t="n">
        <v>48200</v>
      </c>
      <c r="G44" s="126">
        <f>'内訳書(空調設備工事)'!E58</f>
        <v>1</v>
      </c>
      <c r="H44" s="118" t="n"/>
      <c r="I44" s="120">
        <f>'内訳書(空調設備工事)'!H58</f>
        <v>48200</v>
      </c>
      <c r="J44" s="120">
        <f>I44-F44</f>
        <v>0</v>
      </c>
      <c r="K44" s="127" t="inlineStr">
        <is>
          <t>基礎額の差による（率はエストと同じ）</t>
        </is>
      </c>
    </row>
    <row r="45">
      <c r="A45" s="203" t="inlineStr">
        <is>
          <t>配管設備工事</t>
        </is>
      </c>
      <c r="B45" s="203" t="inlineStr">
        <is>
          <t>現場経費</t>
        </is>
      </c>
      <c r="C45" s="204" t="n"/>
      <c r="D45" s="126" t="n">
        <v>1</v>
      </c>
      <c r="E45" s="118" t="n"/>
      <c r="F45" s="120" t="n">
        <v>101247</v>
      </c>
      <c r="G45" s="126">
        <f>'内訳書(空調設備工事)'!E59</f>
        <v>1</v>
      </c>
      <c r="H45" s="118" t="n"/>
      <c r="I45" s="120">
        <f>'内訳書(空調設備工事)'!H59</f>
        <v>101991</v>
      </c>
      <c r="J45" s="120">
        <f>I45-F45</f>
        <v>744</v>
      </c>
      <c r="K45" s="127" t="inlineStr">
        <is>
          <t>基礎額の差による（率はエストと同じ）</t>
        </is>
      </c>
    </row>
    <row r="46">
      <c r="A46" s="203" t="inlineStr">
        <is>
          <t>空調設備工事</t>
        </is>
      </c>
      <c r="B46" s="203" t="inlineStr">
        <is>
          <t>縁石 11.2-16.0</t>
        </is>
      </c>
      <c r="C46" s="40" t="n"/>
      <c r="D46" s="206" t="n">
        <v>1</v>
      </c>
      <c r="E46" s="118" t="n">
        <v>5000</v>
      </c>
      <c r="F46" s="120" t="n">
        <v>5000</v>
      </c>
      <c r="G46" s="40" t="n"/>
      <c r="H46" s="40" t="n"/>
      <c r="I46" s="120" t="n">
        <v>0</v>
      </c>
      <c r="J46" s="120">
        <f>I46-F46</f>
        <v>-5000</v>
      </c>
      <c r="K46" s="205" t="inlineStr">
        <is>
          <t>図面の架台は2基のため計上せず（2段架台用 22.4-28.0×2 に含む）</t>
        </is>
      </c>
    </row>
    <row r="47">
      <c r="A47" s="207" t="inlineStr">
        <is>
          <t>配管設備工事</t>
        </is>
      </c>
      <c r="B47" s="207" t="inlineStr">
        <is>
          <t>調整</t>
        </is>
      </c>
      <c r="C47" s="92" t="n"/>
      <c r="D47" s="208" t="n">
        <v>1</v>
      </c>
      <c r="E47" s="140" t="n"/>
      <c r="F47" s="142" t="n">
        <v>-4</v>
      </c>
      <c r="G47" s="92" t="n"/>
      <c r="H47" s="92" t="n"/>
      <c r="I47" s="142" t="n">
        <v>0</v>
      </c>
      <c r="J47" s="142">
        <f>I47-F47</f>
        <v>4</v>
      </c>
      <c r="K47" s="209" t="inlineStr">
        <is>
          <t>エストの端数調整</t>
        </is>
      </c>
    </row>
    <row r="49">
      <c r="A49" s="210" t="inlineStr">
        <is>
          <t>集計</t>
        </is>
      </c>
    </row>
    <row r="50">
      <c r="A50" s="202" t="inlineStr">
        <is>
          <t>項目</t>
        </is>
      </c>
      <c r="B50" s="111" t="n"/>
      <c r="C50" s="111" t="n"/>
      <c r="D50" s="111" t="n"/>
      <c r="E50" s="111" t="n"/>
      <c r="F50" s="202" t="inlineStr">
        <is>
          <t>エスト</t>
        </is>
      </c>
      <c r="G50" s="111" t="n"/>
      <c r="H50" s="111" t="n"/>
      <c r="I50" s="202" t="inlineStr">
        <is>
          <t>当社</t>
        </is>
      </c>
      <c r="J50" s="202" t="inlineStr">
        <is>
          <t>差額</t>
        </is>
      </c>
    </row>
    <row r="51">
      <c r="A51" s="203" t="inlineStr">
        <is>
          <t>空調設備工事 計</t>
        </is>
      </c>
      <c r="B51" s="40" t="n"/>
      <c r="C51" s="40" t="n"/>
      <c r="D51" s="40" t="n"/>
      <c r="E51" s="40" t="n"/>
      <c r="F51" s="120" t="n">
        <v>174000</v>
      </c>
      <c r="G51" s="40" t="n"/>
      <c r="H51" s="40" t="n"/>
      <c r="I51" s="120">
        <f>'内訳書(空調設備工事)'!H22</f>
        <v>190000</v>
      </c>
      <c r="J51" s="120">
        <f>I51-F51</f>
        <v>16000</v>
      </c>
    </row>
    <row r="52">
      <c r="A52" s="203" t="inlineStr">
        <is>
          <t>配管設備工事 計</t>
        </is>
      </c>
      <c r="B52" s="40" t="n"/>
      <c r="C52" s="40" t="n"/>
      <c r="D52" s="40" t="n"/>
      <c r="E52" s="40" t="n"/>
      <c r="F52" s="120" t="n">
        <v>1112000</v>
      </c>
      <c r="G52" s="40" t="n"/>
      <c r="H52" s="40" t="n"/>
      <c r="I52" s="120">
        <f>'内訳書(空調設備工事)'!H60</f>
        <v>1114000</v>
      </c>
      <c r="J52" s="120">
        <f>I52-F52</f>
        <v>2000</v>
      </c>
    </row>
    <row r="53">
      <c r="A53" s="203" t="inlineStr">
        <is>
          <t>工事諸経費</t>
        </is>
      </c>
      <c r="B53" s="40" t="n"/>
      <c r="C53" s="40" t="n"/>
      <c r="D53" s="40" t="n"/>
      <c r="E53" s="40" t="n"/>
      <c r="F53" s="120" t="n">
        <v>64300</v>
      </c>
      <c r="G53" s="40" t="n"/>
      <c r="H53" s="40" t="n"/>
      <c r="I53" s="120">
        <f>'内訳書(空調設備工事)'!H62</f>
        <v>65200</v>
      </c>
      <c r="J53" s="120">
        <f>I53-F53</f>
        <v>900</v>
      </c>
    </row>
    <row r="54">
      <c r="A54" s="203" t="inlineStr">
        <is>
          <t>小計</t>
        </is>
      </c>
      <c r="B54" s="40" t="n"/>
      <c r="C54" s="40" t="n"/>
      <c r="D54" s="40" t="n"/>
      <c r="E54" s="40" t="n"/>
      <c r="F54" s="120" t="n">
        <v>1350300</v>
      </c>
      <c r="G54" s="40" t="n"/>
      <c r="H54" s="40" t="n"/>
      <c r="I54" s="120">
        <f>'内訳書(空調設備工事)'!H64</f>
        <v>1369200</v>
      </c>
      <c r="J54" s="120">
        <f>I54-F54</f>
        <v>18900</v>
      </c>
    </row>
    <row r="55">
      <c r="A55" s="203" t="inlineStr">
        <is>
          <t>出精値引</t>
        </is>
      </c>
      <c r="B55" s="40" t="n"/>
      <c r="C55" s="40" t="n"/>
      <c r="D55" s="40" t="n"/>
      <c r="E55" s="40" t="n"/>
      <c r="F55" s="120" t="n">
        <v>-250300</v>
      </c>
      <c r="G55" s="40" t="n"/>
      <c r="H55" s="40" t="n"/>
      <c r="I55" s="120">
        <f>'表紙(工事)'!K27</f>
        <v>-79200</v>
      </c>
      <c r="J55" s="120">
        <f>I55-F55</f>
        <v>171100</v>
      </c>
    </row>
    <row r="56">
      <c r="A56" s="211" t="inlineStr">
        <is>
          <t>合計（税別）</t>
        </is>
      </c>
      <c r="B56" s="40" t="n"/>
      <c r="C56" s="40" t="n"/>
      <c r="D56" s="40" t="n"/>
      <c r="E56" s="40" t="n"/>
      <c r="F56" s="120" t="n">
        <v>1100000</v>
      </c>
      <c r="G56" s="40" t="n"/>
      <c r="H56" s="40" t="n"/>
      <c r="I56" s="120">
        <f>'表紙(工事)'!K28</f>
        <v>1290000</v>
      </c>
      <c r="J56" s="120">
        <f>I56-F56</f>
        <v>190000</v>
      </c>
    </row>
    <row r="57">
      <c r="A57" s="203" t="inlineStr">
        <is>
          <t>原価合計（当社原価モデル）</t>
        </is>
      </c>
      <c r="B57" s="40" t="n"/>
      <c r="C57" s="40" t="n"/>
      <c r="D57" s="40" t="n"/>
      <c r="E57" s="40" t="n"/>
      <c r="F57" s="120" t="n"/>
      <c r="G57" s="40" t="n"/>
      <c r="H57" s="40" t="n"/>
      <c r="I57" s="120">
        <f>'表紙(工事)'!O27</f>
        <v>1024103</v>
      </c>
      <c r="J57" s="40" t="n"/>
    </row>
    <row r="58">
      <c r="A58" s="207" t="inlineStr">
        <is>
          <t>粗利率</t>
        </is>
      </c>
      <c r="B58" s="92" t="n"/>
      <c r="C58" s="92" t="n"/>
      <c r="D58" s="92" t="n"/>
      <c r="E58" s="92" t="n"/>
      <c r="F58" s="212">
        <f>IF(I57="","",(F56-I57)/F56)</f>
        <v>0.06899727272727273</v>
      </c>
      <c r="G58" s="92" t="n"/>
      <c r="H58" s="92" t="n"/>
      <c r="I58" s="212">
        <f>'表紙(工事)'!Q28</f>
        <v>0.20612170542635658</v>
      </c>
      <c r="J58" s="92" t="n"/>
      <c r="K58" s="213" t="inlineStr">
        <is>
          <t>エスト側の粗利率はエスト提出額を当社原価（エストと数量が異なる分を含む）で見た目安</t>
        </is>
      </c>
    </row>
    <row r="60">
      <c r="A60" s="214" t="inlineStr">
        <is>
          <t>エストの計算規則（見積金額から逆算し、エスト数量で各計が一致することを data/simulate.py で確認）</t>
        </is>
      </c>
    </row>
    <row r="61">
      <c r="A61" s="213" t="inlineStr">
        <is>
          <t>・冷媒管: 継手類30%・消耗品15%・支持金物40%（管金額比）。塩ビ管: 20%・10%・25%</t>
        </is>
      </c>
    </row>
    <row r="62">
      <c r="A62" s="213" t="inlineStr">
        <is>
          <t>・配管工費＝国交省 公共建築工事標準単価積算基準 R8 の歩掛×33,750円/人。電線材料施工費＝0.017人/m×33,600円/人</t>
        </is>
      </c>
    </row>
    <row r="63">
      <c r="A63" s="213" t="inlineStr">
        <is>
          <t>・部門内経費: 空調 3%→4%→8%、配管 3%→5%→10% を順に積上げ（100円未満切上げ）、計を1,000円未満切上げ</t>
        </is>
      </c>
    </row>
    <row r="64">
      <c r="A64" s="213" t="inlineStr">
        <is>
          <t>・工事諸経費＝（空調＋配管）×5%。提出額は出精値引で調整。法定福利費は工事費に内含して表示</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C18"/>
  <sheetViews>
    <sheetView showGridLines="0" tabSelected="0" workbookViewId="0">
      <selection activeCell="A1" sqref="A1"/>
    </sheetView>
  </sheetViews>
  <sheetFormatPr baseColWidth="8" defaultRowHeight="15"/>
  <cols>
    <col width="30" customWidth="1" min="1" max="1"/>
    <col width="34" customWidth="1" min="2" max="2"/>
    <col width="70" customWidth="1" min="3" max="3"/>
  </cols>
  <sheetData>
    <row r="1">
      <c r="A1" s="170" t="inlineStr">
        <is>
          <t>エスト単価マスタ（参考）　内訳書はエスト見積 6330560-1 の単価を優先し、このマスタの値は内訳書 AA 列に併記</t>
        </is>
      </c>
    </row>
    <row r="2">
      <c r="A2" s="213" t="inlineStr">
        <is>
          <t>見積とマスタで単価が異なる行（据付・基礎）はエスト見積の値を採用。マスタを採用する場合は内訳書 G 列を差し替え</t>
        </is>
      </c>
    </row>
    <row r="4">
      <c r="A4" s="202" t="inlineStr">
        <is>
          <t>区分</t>
        </is>
      </c>
      <c r="B4" s="202" t="inlineStr">
        <is>
          <t>種別</t>
        </is>
      </c>
      <c r="C4" s="202" t="inlineStr">
        <is>
          <t>単価（円）</t>
        </is>
      </c>
    </row>
    <row r="5">
      <c r="A5" s="203" t="inlineStr">
        <is>
          <t>基礎工事 スカイエア</t>
        </is>
      </c>
      <c r="B5" s="203" t="inlineStr">
        <is>
          <t>縁石基礎</t>
        </is>
      </c>
      <c r="C5" s="203" t="inlineStr">
        <is>
          <t>P140 5,000 ／ P160・P180 8,000 ／ P200〜P280 8,000</t>
        </is>
      </c>
    </row>
    <row r="6">
      <c r="A6" s="203" t="inlineStr">
        <is>
          <t>基礎工事 スカイエア</t>
        </is>
      </c>
      <c r="B6" s="203" t="inlineStr">
        <is>
          <t>ベタ基礎</t>
        </is>
      </c>
      <c r="C6" s="203" t="inlineStr">
        <is>
          <t>P140 33,000 ／ P160・P180 39,000 ／ P200〜P280 39,000</t>
        </is>
      </c>
    </row>
    <row r="7">
      <c r="A7" s="203" t="inlineStr">
        <is>
          <t>基礎工事 ルームエアコン</t>
        </is>
      </c>
      <c r="B7" s="203" t="inlineStr">
        <is>
          <t>縁石基礎 ／ ベタ基礎</t>
        </is>
      </c>
      <c r="C7" s="203" t="inlineStr">
        <is>
          <t>P22 5,000 ／ 22,000</t>
        </is>
      </c>
    </row>
    <row r="8">
      <c r="A8" s="203" t="inlineStr">
        <is>
          <t>搬入据付 スカイエア室内機</t>
        </is>
      </c>
      <c r="B8" s="203" t="inlineStr">
        <is>
          <t>天井埋込カセット形</t>
        </is>
      </c>
      <c r="C8" s="203" t="inlineStr">
        <is>
          <t>P140 29,000</t>
        </is>
      </c>
    </row>
    <row r="9">
      <c r="A9" s="203" t="inlineStr">
        <is>
          <t>搬入据付 スカイエア室内機</t>
        </is>
      </c>
      <c r="B9" s="203" t="inlineStr">
        <is>
          <t>ダクト形</t>
        </is>
      </c>
      <c r="C9" s="203" t="inlineStr">
        <is>
          <t>P140 23,000</t>
        </is>
      </c>
    </row>
    <row r="10">
      <c r="A10" s="203" t="inlineStr">
        <is>
          <t>搬入据付 スカイエア室外機</t>
        </is>
      </c>
      <c r="B10" s="203" t="inlineStr">
        <is>
          <t>地上設置 ／ 2F設置 ／ 3F設置</t>
        </is>
      </c>
      <c r="C10" s="203" t="inlineStr">
        <is>
          <t>P140 15,000 ／ 35,000 ／ 50,000</t>
        </is>
      </c>
    </row>
    <row r="11">
      <c r="A11" s="203" t="inlineStr">
        <is>
          <t>搬入据付 ルームエアコン室内機</t>
        </is>
      </c>
      <c r="B11" s="203" t="inlineStr">
        <is>
          <t>壁掛形</t>
        </is>
      </c>
      <c r="C11" s="203" t="inlineStr">
        <is>
          <t>P22 5,000</t>
        </is>
      </c>
    </row>
    <row r="12">
      <c r="A12" s="203" t="inlineStr">
        <is>
          <t>搬入据付 ルームエアコン室外機</t>
        </is>
      </c>
      <c r="B12" s="203" t="inlineStr">
        <is>
          <t>地上設置 ／ 屋根設置 ／ 壁面設置</t>
        </is>
      </c>
      <c r="C12" s="203" t="inlineStr">
        <is>
          <t>P22 2,000 ／ 5,500 ／ 7,000</t>
        </is>
      </c>
    </row>
    <row r="13">
      <c r="A13" s="203" t="inlineStr">
        <is>
          <t>フレキダクト工事 スカイエア</t>
        </is>
      </c>
      <c r="B13" s="203" t="inlineStr">
        <is>
          <t>5m以下 ／ 追加1m ／ 吹出口1ケ</t>
        </is>
      </c>
      <c r="C13" s="203" t="inlineStr">
        <is>
          <t>P140 21,000 ／ 4,200 ／ 6,000</t>
        </is>
      </c>
    </row>
    <row r="14">
      <c r="A14" s="203" t="inlineStr">
        <is>
          <t>冷媒配管（テープ巻き）新築</t>
        </is>
      </c>
      <c r="B14" s="203" t="inlineStr">
        <is>
          <t>φ6.4/9.5 ／ φ9.5/15.9</t>
        </is>
      </c>
      <c r="C14" s="203" t="inlineStr">
        <is>
          <t>5m以下 26,000＋1m追加 5,300 ／ 5m以下 29,500＋1m追加 5,900</t>
        </is>
      </c>
    </row>
    <row r="15">
      <c r="A15" s="203" t="inlineStr">
        <is>
          <t>外装仕上げ スカイダクト</t>
        </is>
      </c>
      <c r="B15" s="203" t="inlineStr">
        <is>
          <t>φ6.4/9.5 ／ φ9.5/15.9</t>
        </is>
      </c>
      <c r="C15" s="203" t="inlineStr">
        <is>
          <t>5m以下 10,500＋1m追加 2,100 ／ 5m以下 15,800＋1m追加 2,600</t>
        </is>
      </c>
    </row>
    <row r="16">
      <c r="A16" s="203" t="inlineStr">
        <is>
          <t>外装仕上げ カラー鉄板ラッキング</t>
        </is>
      </c>
      <c r="B16" s="203" t="inlineStr">
        <is>
          <t>全サイズ</t>
        </is>
      </c>
      <c r="C16" s="203" t="inlineStr">
        <is>
          <t>5m以下 26,300＋1m追加 4,200</t>
        </is>
      </c>
    </row>
    <row r="17">
      <c r="A17" s="203" t="inlineStr">
        <is>
          <t>外装仕上げ SUSラッキング</t>
        </is>
      </c>
      <c r="B17" s="203" t="inlineStr">
        <is>
          <t>全サイズ</t>
        </is>
      </c>
      <c r="C17" s="203" t="inlineStr">
        <is>
          <t>5m以下 31,500＋1m追加 5,300</t>
        </is>
      </c>
    </row>
    <row r="18">
      <c r="A18" s="207" t="inlineStr">
        <is>
          <t>ドレン配管 新築</t>
        </is>
      </c>
      <c r="B18" s="207" t="inlineStr">
        <is>
          <t>φ6.4/9.5 ／ φ9.5/15.9</t>
        </is>
      </c>
      <c r="C18" s="207" t="inlineStr">
        <is>
          <t>5m以下 10,500＋1m追加 2,100 ／ 5m以下 14,200＋1m追加 2,800</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F37"/>
  <sheetViews>
    <sheetView showGridLines="0" tabSelected="0"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70" customWidth="1" min="6" max="6"/>
  </cols>
  <sheetData>
    <row r="1">
      <c r="A1" s="214" t="inlineStr">
        <is>
          <t>数量拾い根拠（内部用）　※空調設備図 F-02-1（A3 1/50）のベクトル線分（黒・線幅0.72pt）を連結し系統別に延長を集計（data/takeoff_f02.py）。「実測」=図面線分の平面延長、「想定」=立上り・立下り等の図面に無い部分</t>
        </is>
      </c>
    </row>
    <row r="2">
      <c r="A2" s="213" t="inlineStr">
        <is>
          <t>縮尺確認: 通り芯 Y6-Y5 910mm＝51.6pt、Y5-Y4 1,820mm＝103.3pt → 1pt＝17.64mm。拾い根拠画像: takeoff_F02_冷媒ドレン.png</t>
        </is>
      </c>
    </row>
    <row r="4">
      <c r="A4" s="210" t="inlineStr">
        <is>
          <t>1. 冷媒配管 系統別（空調設備図 F-02-1 1/50 実測＋想定）</t>
        </is>
      </c>
    </row>
    <row r="5">
      <c r="A5" s="202" t="inlineStr">
        <is>
          <t>系統</t>
        </is>
      </c>
      <c r="B5" s="202" t="inlineStr">
        <is>
          <t>管径</t>
        </is>
      </c>
      <c r="C5" s="202" t="inlineStr">
        <is>
          <t>平面実測(m)</t>
        </is>
      </c>
      <c r="D5" s="202" t="inlineStr">
        <is>
          <t>想定加算(m)</t>
        </is>
      </c>
      <c r="E5" s="202" t="inlineStr">
        <is>
          <t>合計(m)</t>
        </is>
      </c>
      <c r="F5" s="202" t="inlineStr">
        <is>
          <t>想定内容</t>
        </is>
      </c>
    </row>
    <row r="6">
      <c r="A6" s="215" t="inlineStr">
        <is>
          <t>AC-1（客席西 天井カセット）</t>
        </is>
      </c>
      <c r="B6" s="215" t="inlineStr">
        <is>
          <t>φ9.52/15.88</t>
        </is>
      </c>
      <c r="C6" s="216" t="n">
        <v>11.15</v>
      </c>
      <c r="D6" s="216" t="n">
        <v>3</v>
      </c>
      <c r="E6" s="216" t="n">
        <v>14.15</v>
      </c>
      <c r="F6" s="215" t="inlineStr">
        <is>
          <t>架台下段 立上り 2.2m・機器接続 0.3m・余長 0.5m</t>
        </is>
      </c>
    </row>
    <row r="7">
      <c r="A7" s="215" t="inlineStr">
        <is>
          <t>AC-1（客席東 天井カセット）</t>
        </is>
      </c>
      <c r="B7" s="215" t="inlineStr">
        <is>
          <t>φ9.52/15.88</t>
        </is>
      </c>
      <c r="C7" s="216" t="n">
        <v>7.54</v>
      </c>
      <c r="D7" s="216" t="n">
        <v>1.7</v>
      </c>
      <c r="E7" s="216" t="n">
        <v>9.24</v>
      </c>
      <c r="F7" s="215" t="inlineStr">
        <is>
          <t>架台上段 立上り 0.9m・機器接続 0.3m・余長 0.5m</t>
        </is>
      </c>
    </row>
    <row r="8">
      <c r="A8" s="215" t="inlineStr">
        <is>
          <t>AC-2（厨房 天井ビルトイン）</t>
        </is>
      </c>
      <c r="B8" s="215" t="inlineStr">
        <is>
          <t>φ9.52/15.88</t>
        </is>
      </c>
      <c r="C8" s="216" t="n">
        <v>8.08</v>
      </c>
      <c r="D8" s="216" t="n">
        <v>3</v>
      </c>
      <c r="E8" s="216" t="n">
        <v>11.08</v>
      </c>
      <c r="F8" s="215" t="inlineStr">
        <is>
          <t>架台下段 立上り 2.2m・機器接続 0.3m・余長 0.5m</t>
        </is>
      </c>
    </row>
    <row r="9">
      <c r="A9" s="215" t="inlineStr">
        <is>
          <t>RAC（店長室 壁掛）</t>
        </is>
      </c>
      <c r="B9" s="215" t="inlineStr">
        <is>
          <t>φ6.35/9.52</t>
        </is>
      </c>
      <c r="C9" s="216" t="n">
        <v>7.65</v>
      </c>
      <c r="D9" s="216" t="n">
        <v>1.8</v>
      </c>
      <c r="E9" s="216" t="n">
        <v>9.449999999999999</v>
      </c>
      <c r="F9" s="215" t="inlineStr">
        <is>
          <t>架台上段 立上り 0.9m・壁掛機への立下り 0.6m・余長 0.3m</t>
        </is>
      </c>
    </row>
    <row r="10">
      <c r="A10" s="217" t="inlineStr">
        <is>
          <t>合計 → 内訳書</t>
        </is>
      </c>
      <c r="B10" s="217" t="inlineStr"/>
      <c r="C10" s="218" t="n">
        <v>34.42</v>
      </c>
      <c r="D10" s="218" t="n">
        <v>9.5</v>
      </c>
      <c r="E10" s="218" t="n">
        <v>43.92</v>
      </c>
      <c r="F10" s="217" t="inlineStr">
        <is>
          <t>φ9.52/15.88 35m・φ6.35/9.52 10m（切上げ）</t>
        </is>
      </c>
    </row>
    <row r="12">
      <c r="A12" s="210" t="inlineStr">
        <is>
          <t>2. 外部冷媒配管 化粧カバー</t>
        </is>
      </c>
    </row>
    <row r="13">
      <c r="A13" s="202" t="inlineStr">
        <is>
          <t>系統</t>
        </is>
      </c>
      <c r="B13" s="202" t="inlineStr">
        <is>
          <t>屋外平面(m)</t>
        </is>
      </c>
      <c r="C13" s="202" t="inlineStr">
        <is>
          <t>立上り(m)</t>
        </is>
      </c>
      <c r="D13" s="202" t="inlineStr">
        <is>
          <t>合計(m)</t>
        </is>
      </c>
      <c r="E13" s="202" t="inlineStr"/>
      <c r="F13" s="202" t="inlineStr">
        <is>
          <t>備考</t>
        </is>
      </c>
    </row>
    <row r="14">
      <c r="A14" s="215" t="inlineStr">
        <is>
          <t>AC-1（下段）</t>
        </is>
      </c>
      <c r="B14" s="216" t="n">
        <v>0.65</v>
      </c>
      <c r="C14" s="216" t="n">
        <v>2.2</v>
      </c>
      <c r="D14" s="216" t="n">
        <v>2.85</v>
      </c>
      <c r="E14" s="215" t="inlineStr"/>
      <c r="F14" s="215" t="inlineStr">
        <is>
          <t>外壁 Y6 より北の線分を実測</t>
        </is>
      </c>
    </row>
    <row r="15">
      <c r="A15" s="215" t="inlineStr">
        <is>
          <t>AC-1（上段）</t>
        </is>
      </c>
      <c r="B15" s="216" t="n">
        <v>1.27</v>
      </c>
      <c r="C15" s="216" t="n">
        <v>0.9</v>
      </c>
      <c r="D15" s="216" t="n">
        <v>2.17</v>
      </c>
      <c r="E15" s="215" t="inlineStr"/>
      <c r="F15" s="215" t="inlineStr"/>
    </row>
    <row r="16">
      <c r="A16" s="215" t="inlineStr">
        <is>
          <t>AC-2（下段）</t>
        </is>
      </c>
      <c r="B16" s="216" t="n">
        <v>0.68</v>
      </c>
      <c r="C16" s="216" t="n">
        <v>2.2</v>
      </c>
      <c r="D16" s="216" t="n">
        <v>2.88</v>
      </c>
      <c r="E16" s="215" t="inlineStr"/>
      <c r="F16" s="215" t="inlineStr"/>
    </row>
    <row r="17">
      <c r="A17" s="215" t="inlineStr">
        <is>
          <t>RAC（上段）</t>
        </is>
      </c>
      <c r="B17" s="216" t="n">
        <v>1.21</v>
      </c>
      <c r="C17" s="216" t="n">
        <v>0.9</v>
      </c>
      <c r="D17" s="216" t="n">
        <v>2.11</v>
      </c>
      <c r="E17" s="215" t="inlineStr"/>
      <c r="F17" s="215" t="inlineStr"/>
    </row>
    <row r="18">
      <c r="A18" s="217" t="inlineStr">
        <is>
          <t>合計 → 内訳書</t>
        </is>
      </c>
      <c r="B18" s="218" t="n">
        <v>3.81</v>
      </c>
      <c r="C18" s="218" t="n">
        <v>6.2</v>
      </c>
      <c r="D18" s="218" t="n">
        <v>10.01</v>
      </c>
      <c r="E18" s="217" t="inlineStr"/>
      <c r="F18" s="217" t="inlineStr">
        <is>
          <t>9.52+15.88用 8m（7.90）・6.35+9.52用 3m（2.11）</t>
        </is>
      </c>
    </row>
    <row r="20">
      <c r="A20" s="210" t="inlineStr">
        <is>
          <t>3. ドレン配管（空調設備図の口径ラベルで区分）</t>
        </is>
      </c>
    </row>
    <row r="21">
      <c r="A21" s="202" t="inlineStr">
        <is>
          <t>区間</t>
        </is>
      </c>
      <c r="B21" s="202" t="inlineStr">
        <is>
          <t>口径</t>
        </is>
      </c>
      <c r="C21" s="202" t="inlineStr">
        <is>
          <t>平面実測(m)</t>
        </is>
      </c>
      <c r="D21" s="202" t="inlineStr">
        <is>
          <t>想定加算(m)</t>
        </is>
      </c>
      <c r="E21" s="202" t="inlineStr">
        <is>
          <t>合計(m)</t>
        </is>
      </c>
      <c r="F21" s="202" t="inlineStr">
        <is>
          <t>備考</t>
        </is>
      </c>
    </row>
    <row r="22">
      <c r="A22" s="215" t="inlineStr">
        <is>
          <t>主管 接続立上り〜西カセット合流</t>
        </is>
      </c>
      <c r="B22" s="215" t="inlineStr">
        <is>
          <t>40A</t>
        </is>
      </c>
      <c r="C22" s="216" t="n">
        <v>3.29</v>
      </c>
      <c r="D22" s="216" t="n">
        <v>2.45</v>
      </c>
      <c r="E22" s="216" t="n">
        <v>5.74</v>
      </c>
      <c r="F22" s="215" t="inlineStr">
        <is>
          <t>天井内→H=150 立下り 2.45m</t>
        </is>
      </c>
    </row>
    <row r="23">
      <c r="A23" s="215" t="inlineStr">
        <is>
          <t>主管 西カセット合流〜AC-2合流</t>
        </is>
      </c>
      <c r="B23" s="215" t="inlineStr">
        <is>
          <t>30A</t>
        </is>
      </c>
      <c r="C23" s="216" t="n">
        <v>3.41</v>
      </c>
      <c r="D23" s="216" t="n">
        <v>0</v>
      </c>
      <c r="E23" s="216" t="n">
        <v>3.41</v>
      </c>
      <c r="F23" s="215" t="inlineStr"/>
    </row>
    <row r="24">
      <c r="A24" s="215" t="inlineStr">
        <is>
          <t>主管 AC-2合流〜東カセット</t>
        </is>
      </c>
      <c r="B24" s="215" t="inlineStr">
        <is>
          <t>25A</t>
        </is>
      </c>
      <c r="C24" s="216" t="n">
        <v>2.72</v>
      </c>
      <c r="D24" s="216" t="n">
        <v>0.6</v>
      </c>
      <c r="E24" s="216" t="n">
        <v>3.32</v>
      </c>
      <c r="F24" s="215" t="inlineStr">
        <is>
          <t>機器接続・ドレンアップ立上り</t>
        </is>
      </c>
    </row>
    <row r="25">
      <c r="A25" s="215" t="inlineStr">
        <is>
          <t>AC-2 枝</t>
        </is>
      </c>
      <c r="B25" s="215" t="inlineStr">
        <is>
          <t>25A</t>
        </is>
      </c>
      <c r="C25" s="216" t="n">
        <v>1.28</v>
      </c>
      <c r="D25" s="216" t="n">
        <v>0.3</v>
      </c>
      <c r="E25" s="216" t="n">
        <v>1.58</v>
      </c>
      <c r="F25" s="215" t="inlineStr">
        <is>
          <t>ドレンアップ立上り</t>
        </is>
      </c>
    </row>
    <row r="26">
      <c r="A26" s="215" t="inlineStr">
        <is>
          <t>西カセット 枝</t>
        </is>
      </c>
      <c r="B26" s="215" t="inlineStr">
        <is>
          <t>25A</t>
        </is>
      </c>
      <c r="C26" s="216" t="n">
        <v>0.76</v>
      </c>
      <c r="D26" s="216" t="n">
        <v>0.3</v>
      </c>
      <c r="E26" s="216" t="n">
        <v>1.06</v>
      </c>
      <c r="F26" s="215" t="inlineStr">
        <is>
          <t>ドレンアップ立上り</t>
        </is>
      </c>
    </row>
    <row r="27">
      <c r="A27" s="215" t="inlineStr">
        <is>
          <t>RAC</t>
        </is>
      </c>
      <c r="B27" s="215" t="inlineStr">
        <is>
          <t>25A</t>
        </is>
      </c>
      <c r="C27" s="216" t="n">
        <v>0.44</v>
      </c>
      <c r="D27" s="216" t="n">
        <v>1.9</v>
      </c>
      <c r="E27" s="216" t="n">
        <v>2.34</v>
      </c>
      <c r="F27" s="215" t="inlineStr">
        <is>
          <t>壁内 立下り（NDB-20-25 経由で接続）</t>
        </is>
      </c>
    </row>
    <row r="28">
      <c r="A28" s="217" t="inlineStr">
        <is>
          <t>合計 → 内訳書</t>
        </is>
      </c>
      <c r="B28" s="217" t="inlineStr"/>
      <c r="C28" s="218" t="n">
        <v>11.9</v>
      </c>
      <c r="D28" s="218" t="n">
        <v>5.55</v>
      </c>
      <c r="E28" s="218" t="n">
        <v>17.45</v>
      </c>
      <c r="F28" s="217" t="inlineStr">
        <is>
          <t>VP25 9m・VP30 4m・VP40 6m（保温も同長）</t>
        </is>
      </c>
    </row>
    <row r="30">
      <c r="A30" s="210" t="inlineStr">
        <is>
          <t>4. 機器台数（換気空調機器表・室外機設置概要図）</t>
        </is>
      </c>
    </row>
    <row r="31">
      <c r="A31" s="202" t="inlineStr">
        <is>
          <t>記号</t>
        </is>
      </c>
      <c r="B31" s="202" t="inlineStr">
        <is>
          <t>台数</t>
        </is>
      </c>
      <c r="C31" s="202" t="inlineStr">
        <is>
          <t>備考</t>
        </is>
      </c>
    </row>
    <row r="32">
      <c r="A32" s="215" t="inlineStr">
        <is>
          <t>AC-1 天井カセット形 5馬力 SSRC140C</t>
        </is>
      </c>
      <c r="B32" s="215" t="inlineStr">
        <is>
          <t>室内2・室外2</t>
        </is>
      </c>
      <c r="C32" s="215" t="inlineStr">
        <is>
          <t>客席。室外機は架台①の下段・上段</t>
        </is>
      </c>
    </row>
    <row r="33">
      <c r="A33" s="215" t="inlineStr">
        <is>
          <t>AC-2 天井ビルトイン形 5馬力 SSRB140C</t>
        </is>
      </c>
      <c r="B33" s="215" t="inlineStr">
        <is>
          <t>室内1・室外1</t>
        </is>
      </c>
      <c r="C33" s="215" t="inlineStr">
        <is>
          <t>厨房。室外機は架台②の下段。吹出しパンカー×4（支給）・ダクトは範囲外</t>
        </is>
      </c>
    </row>
    <row r="34">
      <c r="A34" s="215" t="inlineStr">
        <is>
          <t>RAC ルームエアコン 2.2kW</t>
        </is>
      </c>
      <c r="B34" s="215" t="inlineStr">
        <is>
          <t>室内1・室外1</t>
        </is>
      </c>
      <c r="C34" s="215" t="inlineStr">
        <is>
          <t>店長室。室外機は架台②の上段</t>
        </is>
      </c>
    </row>
    <row r="35">
      <c r="A35" s="215" t="inlineStr">
        <is>
          <t>鉄骨架台 2段積み</t>
        </is>
      </c>
      <c r="B35" s="215" t="inlineStr">
        <is>
          <t>2基</t>
        </is>
      </c>
      <c r="C35" s="215" t="inlineStr">
        <is>
          <t>特記「空調本工事」。溶融亜鉛メッキ</t>
        </is>
      </c>
    </row>
    <row r="36">
      <c r="A36" s="215" t="inlineStr">
        <is>
          <t>外壁貫通</t>
        </is>
      </c>
      <c r="B36" s="215" t="inlineStr">
        <is>
          <t>4箇所</t>
        </is>
      </c>
      <c r="C36" s="215" t="inlineStr">
        <is>
          <t>冷媒管 4系統の外壁貫通位置（F-02-1）→ エストの「スリーブインサート費 1式」に対応</t>
        </is>
      </c>
    </row>
    <row r="37">
      <c r="A37" s="217" t="inlineStr">
        <is>
          <t>内外連絡線 VVF 2.0-3C</t>
        </is>
      </c>
      <c r="B37" s="217" t="inlineStr">
        <is>
          <t>56m</t>
        </is>
      </c>
      <c r="C37" s="217" t="inlineStr">
        <is>
          <t>図示なし。冷媒配管の系統長＋余長3m/系統（エスト見積 56m と一致）</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C41"/>
  <sheetViews>
    <sheetView showGridLines="0" tabSelected="0" workbookViewId="0">
      <selection activeCell="A1" sqref="A1"/>
    </sheetView>
  </sheetViews>
  <sheetFormatPr baseColWidth="8" defaultRowHeight="15"/>
  <cols>
    <col width="40" customWidth="1" min="1" max="1"/>
    <col width="16" customWidth="1" min="2" max="2"/>
    <col width="90" customWidth="1" min="3" max="3"/>
  </cols>
  <sheetData>
    <row r="1">
      <c r="A1" s="170" t="inlineStr">
        <is>
          <t>原価根拠（内部用）　材料＝建設物価相当、労務＝人工×労務原価日額、法定福利費＝労務原価×事業主負担率</t>
        </is>
      </c>
    </row>
    <row r="3">
      <c r="A3" s="210" t="inlineStr">
        <is>
          <t>出典</t>
        </is>
      </c>
    </row>
    <row r="4" ht="30" customHeight="1">
      <c r="A4" s="214" t="inlineStr">
        <is>
          <t>エスト見積</t>
        </is>
      </c>
      <c r="B4" s="219" t="inlineStr">
        <is>
          <t>見積番号 6330560-1（2026年10月8日、2026/11月からの価格）。単価・経費率・配管工費の算式の基準</t>
        </is>
      </c>
    </row>
    <row r="5" ht="30" customHeight="1">
      <c r="A5" s="214" t="inlineStr">
        <is>
          <t>エスト単価マスタ</t>
        </is>
      </c>
      <c r="B5" s="219" t="inlineStr">
        <is>
          <t>搬入据付・基礎・フレキダクト・冷媒配管/外装仕上げ/ドレン配管（5m以下＋1m追加）。参考列に表示</t>
        </is>
      </c>
    </row>
    <row r="6" ht="30" customHeight="1">
      <c r="A6" s="214" t="inlineStr">
        <is>
          <t>公共工事設計労務単価</t>
        </is>
      </c>
      <c r="B6" s="219" t="inlineStr">
        <is>
          <t>令和8年3月適用（農林水産省・国土交通省）広島県: 配管工 24,700、保温工 25,100、電工 26,300、ダクト工 24,300、普通作業員 22,200 円/日</t>
        </is>
      </c>
    </row>
    <row r="7" ht="30" customHeight="1">
      <c r="A7" s="214" t="inlineStr">
        <is>
          <t>公共建築工事標準単価積算基準</t>
        </is>
      </c>
      <c r="B7" s="219" t="inlineStr">
        <is>
          <t>令和8年改定（国土交通省 官庁営繕部）第4編 機械設備工事 表M1-1-50 冷媒用断熱材被覆銅管、表M1-1-46 硬質ポリ塩化ビニル管（排水・通気）</t>
        </is>
      </c>
    </row>
    <row r="8" ht="30" customHeight="1">
      <c r="A8" s="214" t="inlineStr">
        <is>
          <t>メーカー公表価格</t>
        </is>
      </c>
      <c r="B8" s="219" t="inlineStr">
        <is>
          <t>桃陽電線 冷媒用被覆銅管 標準単価表 2026年2月1日改定版（国交省仕様 10×20mm保温 3分5分 175,400円/20m 等）</t>
        </is>
      </c>
    </row>
    <row r="9" ht="30" customHeight="1">
      <c r="A9" s="214" t="inlineStr">
        <is>
          <t>建設物価</t>
        </is>
      </c>
      <c r="B9" s="219" t="inlineStr">
        <is>
          <t>会員制のため数値未取得。自治体の公表単価表（新潟市・佐賀県・鹿児島県 令和8年度）でも冷媒用被覆銅管・保温は主要資材として非公表。材料原価はエスト材料単価を建設物価相当として仮採用（材料原価率で調整）</t>
        </is>
      </c>
    </row>
    <row r="11">
      <c r="A11" s="210" t="inlineStr">
        <is>
          <t>公共工事設計労務単価（令和8年3月適用・広島県、円/日）</t>
        </is>
      </c>
    </row>
    <row r="12">
      <c r="A12" s="182" t="inlineStr">
        <is>
          <t>配管工</t>
        </is>
      </c>
      <c r="B12" s="220" t="n">
        <v>24700</v>
      </c>
    </row>
    <row r="13">
      <c r="A13" s="182" t="inlineStr">
        <is>
          <t>保温工</t>
        </is>
      </c>
      <c r="B13" s="220" t="n">
        <v>25100</v>
      </c>
    </row>
    <row r="14">
      <c r="A14" s="182" t="inlineStr">
        <is>
          <t>電工</t>
        </is>
      </c>
      <c r="B14" s="220" t="n">
        <v>26300</v>
      </c>
    </row>
    <row r="15">
      <c r="A15" s="182" t="inlineStr">
        <is>
          <t>ダクト工</t>
        </is>
      </c>
      <c r="B15" s="220" t="n">
        <v>24300</v>
      </c>
    </row>
    <row r="16">
      <c r="A16" s="182" t="inlineStr">
        <is>
          <t>普通作業員</t>
        </is>
      </c>
      <c r="B16" s="220" t="n">
        <v>22200</v>
      </c>
    </row>
    <row r="17">
      <c r="A17" s="182" t="inlineStr">
        <is>
          <t>特殊作業員</t>
        </is>
      </c>
      <c r="B17" s="220" t="n">
        <v>25800</v>
      </c>
    </row>
    <row r="18">
      <c r="A18" s="182" t="inlineStr">
        <is>
          <t>設備機械工</t>
        </is>
      </c>
      <c r="B18" s="220" t="n">
        <v>29500</v>
      </c>
    </row>
    <row r="19">
      <c r="A19" s="182" t="inlineStr">
        <is>
          <t>鉄骨工</t>
        </is>
      </c>
      <c r="B19" s="220" t="n">
        <v>27000</v>
      </c>
    </row>
    <row r="20">
      <c r="A20" s="182" t="inlineStr">
        <is>
          <t>溶接工</t>
        </is>
      </c>
      <c r="B20" s="220" t="n">
        <v>27300</v>
      </c>
    </row>
    <row r="21">
      <c r="A21" s="213" t="inlineStr">
        <is>
          <t>※ 設計労務単価は事業主負担の法定福利費等を含まない。当社の労務原価日額（表紙 N6）との比較・感度確認に使用</t>
        </is>
      </c>
    </row>
    <row r="23">
      <c r="A23" s="210" t="inlineStr">
        <is>
          <t>国交省 公共建築工事標準単価積算基準（令和8年改定）配管工 歩掛（人/m）</t>
        </is>
      </c>
    </row>
    <row r="24">
      <c r="A24" s="182" t="inlineStr">
        <is>
          <t>冷媒用断熱材被覆銅管（液10・ガス20）6.35</t>
        </is>
      </c>
      <c r="B24" s="221" t="n">
        <v>0.044</v>
      </c>
    </row>
    <row r="25">
      <c r="A25" s="182" t="inlineStr">
        <is>
          <t>同 9.52</t>
        </is>
      </c>
      <c r="B25" s="221" t="n">
        <v>0.06</v>
      </c>
    </row>
    <row r="26">
      <c r="A26" s="182" t="inlineStr">
        <is>
          <t>同 15.88</t>
        </is>
      </c>
      <c r="B26" s="221" t="n">
        <v>0.09</v>
      </c>
    </row>
    <row r="27">
      <c r="A27" s="182" t="inlineStr">
        <is>
          <t>硬質塩ビ管VP 排水・屋内一般 25</t>
        </is>
      </c>
      <c r="B27" s="221" t="n">
        <v>0.074</v>
      </c>
    </row>
    <row r="28">
      <c r="A28" s="182" t="inlineStr">
        <is>
          <t>同 30</t>
        </is>
      </c>
      <c r="B28" s="221" t="n">
        <v>0.079</v>
      </c>
    </row>
    <row r="29">
      <c r="A29" s="182" t="inlineStr">
        <is>
          <t>同 40</t>
        </is>
      </c>
      <c r="B29" s="221" t="n">
        <v>0.101</v>
      </c>
    </row>
    <row r="30">
      <c r="A30" s="213" t="inlineStr">
        <is>
          <t>※ 被覆銅管は液管・ガス管それぞれの外径の歩掛を合算。継手・接合材 管単価×0.30、支持金物 ×0.40、雑材料 ×0.15、管長 1.05（塩ビ 1.10）</t>
        </is>
      </c>
    </row>
    <row r="32">
      <c r="A32" s="210" t="inlineStr">
        <is>
          <t>メーカー公表価格（参考）</t>
        </is>
      </c>
    </row>
    <row r="33">
      <c r="A33" s="182" t="inlineStr">
        <is>
          <t>桃陽電線 TDS-3520A 3分5分 10×20mm保温 20m巻（2026.2.1）</t>
        </is>
      </c>
      <c r="B33" s="220" t="n">
        <v>175400</v>
      </c>
      <c r="C33" s="213" t="inlineStr">
        <is>
          <t>1mあたり 8,770 円。エスト材料単価はこの約6割（3分5分 5,138円/m＝58.6%、2分3分 3,388円/m＝61.3%）＝実勢価格水準</t>
        </is>
      </c>
    </row>
    <row r="34">
      <c r="A34" s="182" t="inlineStr">
        <is>
          <t>桃陽電線 TDS-2320A 2分3分 10×20mm保温 20m巻（2026.2.1）</t>
        </is>
      </c>
      <c r="B34" s="220" t="n">
        <v>110600</v>
      </c>
      <c r="C34" s="213" t="inlineStr">
        <is>
          <t>1mあたり 5,530 円。エスト材料単価はこの約6割（3分5分 5,138円/m＝58.6%、2分3分 3,388円/m＝61.3%）＝実勢価格水準</t>
        </is>
      </c>
    </row>
    <row r="36">
      <c r="A36" s="210" t="inlineStr">
        <is>
          <t>原価の前提（内訳書 L・M 列の黄セル）</t>
        </is>
      </c>
    </row>
    <row r="37" ht="28" customHeight="1">
      <c r="A37" s="219" t="inlineStr">
        <is>
          <t>・据付の人工: 天井カセット 0.9、天井ビルトイン 1.2、RA室内 0.4、SA室外 下段0.8・上段1.3（揚重）、RA室外 上段0.5 人工/台</t>
        </is>
      </c>
    </row>
    <row r="38" ht="28" customHeight="1">
      <c r="A38" s="219" t="inlineStr">
        <is>
          <t>・縁石: 材料3,000＋0.15人工/台。試運転: SA 材料450＋0.45人工、RA 0.1人工。気密: SA 2,000＋0.45、RA 1,000＋0.2。真空引き: SA 500＋0.15、RA 300＋0.1</t>
        </is>
      </c>
    </row>
    <row r="39" ht="28" customHeight="1">
      <c r="A39" s="219" t="inlineStr">
        <is>
          <t>・化粧カバー: 材料 小径1,800・大径2,400円/m＋0.10人工/m。GW保温: 25A 900＋0.06、30A 1,000＋0.065、40A 1,100＋0.07（市場単価は非公表のため当社想定）</t>
        </is>
      </c>
    </row>
    <row r="40" ht="28" customHeight="1">
      <c r="A40" s="219" t="inlineStr">
        <is>
          <t>・スリーブ: 4箇所×（材料1,500＋0.25人工）。架台: 要見積（概算原価 300,000／250,000、鉄工所またはメーカー見積で差し替え）</t>
        </is>
      </c>
    </row>
    <row r="41" ht="28" customHeight="1">
      <c r="A41" s="219" t="inlineStr">
        <is>
          <t>・材料原価率を下げると（実際の仕入が建設物価より安い場合）提出額は下がる。材料原価率0.8で提出額は約1,180,000円（粗利20%）</t>
        </is>
      </c>
    </row>
  </sheetData>
  <mergeCells count="11">
    <mergeCell ref="B6:C6"/>
    <mergeCell ref="A41:C41"/>
    <mergeCell ref="B7:C7"/>
    <mergeCell ref="A37:C37"/>
    <mergeCell ref="B5:C5"/>
    <mergeCell ref="A40:C40"/>
    <mergeCell ref="A38:C38"/>
    <mergeCell ref="A39:C39"/>
    <mergeCell ref="B9:C9"/>
    <mergeCell ref="B8:C8"/>
    <mergeCell ref="B4:C4"/>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宮地機工株式会社</dc:creator>
  <dc:title xmlns:dc="http://purl.org/dc/elements/1.1/">御見積書 吉野家　呉海岸店　空調設備工事</dc:title>
  <dcterms:created xmlns:dcterms="http://purl.org/dc/terms/" xmlns:xsi="http://www.w3.org/2001/XMLSchema-instance" xsi:type="dcterms:W3CDTF">2026-10-07T20:07:58Z</dcterms:created>
  <dcterms:modified xmlns:dcterms="http://purl.org/dc/terms/" xmlns:xsi="http://www.w3.org/2001/XMLSchema-instance" xsi:type="dcterms:W3CDTF">2026-10-07T20:07:58Z</dcterms:modified>
</cp:coreProperties>
</file>