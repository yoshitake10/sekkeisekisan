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工事)" sheetId="1" state="visible" r:id="rId1"/>
    <sheet name="内訳書(1.空調工事)" sheetId="2" state="visible" r:id="rId2"/>
    <sheet name="内訳書(2.換気工事)" sheetId="3" state="visible" r:id="rId3"/>
    <sheet name="内訳書(3.金額変更案)" sheetId="4" state="visible" r:id="rId4"/>
    <sheet name="法定福利費内訳明細書" sheetId="5" state="visible" r:id="rId5"/>
    <sheet name="御見積条件" sheetId="6" state="visible" r:id="rId6"/>
    <sheet name="数量拾い根拠(内部)" sheetId="7" state="visible" r:id="rId7"/>
  </sheets>
  <definedNames>
    <definedName name="COEF">'表紙(工事)'!$N$4</definedName>
    <definedName name="OVERHEAD_RATE">'表紙(工事)'!$N$5</definedName>
    <definedName name="ROUND_UNIT">'表紙(工事)'!$N$6</definedName>
    <definedName name="WELFARE_RATE">'法定福利費内訳明細書'!$E$27</definedName>
    <definedName name="_xlnm.Print_Area" localSheetId="0">'表紙(工事)'!$A$1:$L$38</definedName>
    <definedName name="_xlnm.Print_Titles" localSheetId="1">'内訳書(1.空調工事)'!$1:$3</definedName>
    <definedName name="_xlnm.Print_Area" localSheetId="1">'内訳書(1.空調工事)'!$A$1:$I$58</definedName>
    <definedName name="_xlnm.Print_Titles" localSheetId="2">'内訳書(2.換気工事)'!$1:$3</definedName>
    <definedName name="_xlnm.Print_Area" localSheetId="2">'内訳書(2.換気工事)'!$A$1:$I$93</definedName>
    <definedName name="_xlnm.Print_Titles" localSheetId="3">'内訳書(3.金額変更案)'!$1:$3</definedName>
    <definedName name="_xlnm.Print_Area" localSheetId="3">'内訳書(3.金額変更案)'!$A$1:$I$48</definedName>
    <definedName name="_xlnm.Print_Area" localSheetId="4">'法定福利費内訳明細書'!$B$1:$G$30</definedName>
    <definedName name="_xlnm.Print_Area" localSheetId="5">'御見積条件'!$A$1:$F$61</definedName>
    <definedName name="_xlnm.Print_Area" localSheetId="6">'数量拾い根拠(内部)'!$A$1:$H$58</definedName>
  </definedNames>
  <calcPr calcId="124519" fullCalcOnLoad="1"/>
</workbook>
</file>

<file path=xl/styles.xml><?xml version="1.0" encoding="utf-8"?>
<styleSheet xmlns="http://schemas.openxmlformats.org/spreadsheetml/2006/main">
  <numFmts count="10">
    <numFmt numFmtId="164" formatCode="#,##0_ ;[Red]-#,##0_ "/>
    <numFmt numFmtId="165" formatCode="#,##0_ "/>
    <numFmt numFmtId="166" formatCode="0.0%"/>
    <numFmt numFmtId="167" formatCode="yyyy&quot;年&quot;m&quot;月&quot;d&quot;日&quot;"/>
    <numFmt numFmtId="168" formatCode="0.000%_ "/>
    <numFmt numFmtId="169" formatCode="yyyy-mm-dd"/>
    <numFmt numFmtId="170" formatCode="0.000%"/>
    <numFmt numFmtId="171" formatCode="&quot;粗利率 &quot;0%"/>
    <numFmt numFmtId="172" formatCode="0.000"/>
    <numFmt numFmtId="173" formatCode="#,##0.0"/>
  </numFmts>
  <fonts count="20">
    <font>
      <name val="ＭＳ Ｐゴシック"/>
      <charset val="128"/>
      <family val="3"/>
      <sz val="11"/>
    </font>
    <font>
      <name val="ＭＳ Ｐゴシック"/>
      <charset val="128"/>
      <family val="3"/>
      <b val="1"/>
      <sz val="16"/>
    </font>
    <font>
      <name val="ＭＳ Ｐゴシック"/>
      <charset val="128"/>
      <family val="3"/>
      <b val="1"/>
      <color rgb="007F7F7F"/>
      <sz val="11"/>
    </font>
    <font>
      <name val="ＭＳ Ｐゴシック"/>
      <charset val="128"/>
      <family val="3"/>
      <color rgb="007F7F7F"/>
      <sz val="9"/>
    </font>
    <font>
      <name val="ＭＳ Ｐゴシック"/>
      <charset val="128"/>
      <family val="3"/>
      <b val="1"/>
      <sz val="11"/>
    </font>
    <font>
      <name val="ＭＳ Ｐゴシック"/>
      <charset val="128"/>
      <family val="3"/>
      <b val="1"/>
      <sz val="10"/>
    </font>
    <font>
      <name val="ＭＳ Ｐゴシック"/>
      <charset val="128"/>
      <family val="3"/>
      <sz val="10"/>
    </font>
    <font>
      <name val="ＭＳ Ｐゴシック"/>
      <charset val="128"/>
      <family val="3"/>
      <sz val="9"/>
    </font>
    <font>
      <name val="ＭＳ Ｐゴシック"/>
      <charset val="128"/>
      <family val="3"/>
      <b val="1"/>
      <color rgb="00C00000"/>
      <sz val="16"/>
    </font>
    <font>
      <name val="ＭＳ Ｐゴシック"/>
      <charset val="128"/>
      <family val="3"/>
      <color rgb="00C00000"/>
      <sz val="11"/>
    </font>
    <font>
      <name val="ＭＳ Ｐゴシック"/>
      <charset val="128"/>
      <family val="3"/>
      <b val="1"/>
      <color rgb="00C00000"/>
      <sz val="11"/>
    </font>
    <font>
      <name val="ＭＳ Ｐゴシック"/>
      <charset val="128"/>
      <family val="3"/>
      <b val="1"/>
      <color rgb="00C00000"/>
      <sz val="10"/>
    </font>
    <font>
      <name val="ＭＳ Ｐゴシック"/>
      <charset val="128"/>
      <family val="3"/>
      <color rgb="00C00000"/>
      <sz val="10"/>
    </font>
    <font>
      <name val="ＭＳ Ｐゴシック"/>
      <charset val="128"/>
      <family val="3"/>
      <b val="1"/>
      <sz val="14"/>
    </font>
    <font>
      <name val="ＭＳ Ｐゴシック"/>
      <charset val="128"/>
      <family val="3"/>
      <b val="1"/>
      <sz val="20"/>
    </font>
    <font>
      <name val="ＭＳ Ｐゴシック"/>
      <charset val="128"/>
      <family val="3"/>
      <sz val="14"/>
    </font>
    <font>
      <name val="ＭＳ Ｐゴシック"/>
      <charset val="128"/>
      <family val="3"/>
      <sz val="12"/>
    </font>
    <font>
      <name val="ＭＳ Ｐゴシック"/>
      <charset val="128"/>
      <family val="3"/>
      <b val="1"/>
      <sz val="12"/>
    </font>
    <font>
      <name val="ＭＳ Ｐゴシック"/>
      <charset val="128"/>
      <family val="3"/>
      <sz val="9.5"/>
    </font>
    <font>
      <name val="ＭＳ Ｐゴシック"/>
      <charset val="128"/>
      <family val="3"/>
      <color rgb="007F7F7F"/>
      <sz val="10"/>
    </font>
  </fonts>
  <fills count="6">
    <fill>
      <patternFill/>
    </fill>
    <fill>
      <patternFill patternType="gray125"/>
    </fill>
    <fill>
      <patternFill patternType="solid">
        <fgColor rgb="00D9D9D9"/>
      </patternFill>
    </fill>
    <fill>
      <patternFill patternType="solid">
        <fgColor rgb="00FFF2CC"/>
      </patternFill>
    </fill>
    <fill>
      <patternFill patternType="solid">
        <fgColor rgb="00FDE9E9"/>
      </patternFill>
    </fill>
    <fill>
      <patternFill patternType="solid">
        <fgColor rgb="00F2F2F2"/>
      </patternFill>
    </fill>
  </fills>
  <borders count="36">
    <border>
      <left/>
      <right/>
      <top/>
      <bottom/>
      <diagonal/>
    </border>
    <border>
      <left style="medium">
        <color rgb="00000000"/>
      </left>
      <right style="thin">
        <color rgb="00000000"/>
      </right>
      <top style="medium">
        <color rgb="00000000"/>
      </top>
      <bottom style="hair">
        <color rgb="00000000"/>
      </bottom>
    </border>
    <border>
      <left style="thin">
        <color rgb="00000000"/>
      </left>
      <right style="thin">
        <color rgb="00000000"/>
      </right>
      <top style="medium">
        <color rgb="00000000"/>
      </top>
      <bottom style="hair">
        <color rgb="00000000"/>
      </bottom>
    </border>
    <border>
      <left style="thin">
        <color rgb="00000000"/>
      </left>
      <right style="medium">
        <color rgb="00000000"/>
      </right>
      <top style="medium">
        <color rgb="00000000"/>
      </top>
      <bottom style="hair">
        <color rgb="00000000"/>
      </bottom>
    </border>
    <border>
      <left style="medium">
        <color rgb="00000000"/>
      </left>
      <right style="thin">
        <color rgb="00000000"/>
      </right>
      <top style="hair">
        <color rgb="00000000"/>
      </top>
      <bottom style="hair">
        <color rgb="00000000"/>
      </bottom>
    </border>
    <border>
      <left style="thin">
        <color rgb="00000000"/>
      </left>
      <right style="thin">
        <color rgb="00000000"/>
      </right>
      <top style="hair">
        <color rgb="00000000"/>
      </top>
      <bottom style="hair">
        <color rgb="00000000"/>
      </bottom>
    </border>
    <border>
      <left style="thin">
        <color rgb="00000000"/>
      </left>
      <right style="medium">
        <color rgb="00000000"/>
      </right>
      <top style="hair">
        <color rgb="00000000"/>
      </top>
      <bottom style="hair">
        <color rgb="00000000"/>
      </bottom>
    </border>
    <border>
      <left style="medium">
        <color rgb="00000000"/>
      </left>
      <right style="thin">
        <color rgb="00000000"/>
      </right>
      <top style="hair">
        <color rgb="00000000"/>
      </top>
      <bottom style="medium">
        <color rgb="00000000"/>
      </bottom>
    </border>
    <border>
      <left style="thin">
        <color rgb="00000000"/>
      </left>
      <right style="thin">
        <color rgb="00000000"/>
      </right>
      <top style="hair">
        <color rgb="00000000"/>
      </top>
      <bottom style="medium">
        <color rgb="00000000"/>
      </bottom>
    </border>
    <border>
      <left style="thin">
        <color rgb="00000000"/>
      </left>
      <right style="medium">
        <color rgb="00000000"/>
      </right>
      <top style="hair">
        <color rgb="00000000"/>
      </top>
      <bottom style="medium">
        <color rgb="00000000"/>
      </bottom>
    </border>
    <border>
      <left style="thin">
        <color rgb="00000000"/>
      </left>
      <right style="thin">
        <color rgb="00000000"/>
      </right>
      <top style="thin">
        <color rgb="00000000"/>
      </top>
      <bottom style="hair">
        <color rgb="00000000"/>
      </bottom>
    </border>
    <border>
      <left style="thin">
        <color rgb="00000000"/>
      </left>
      <right style="thin">
        <color rgb="00000000"/>
      </right>
      <top style="hair">
        <color rgb="00000000"/>
      </top>
      <bottom style="thin">
        <color rgb="00000000"/>
      </bottom>
    </border>
    <border>
      <left style="medium">
        <color rgb="00000000"/>
      </left>
      <right style="thin">
        <color rgb="00000000"/>
      </right>
      <top style="medium">
        <color rgb="00000000"/>
      </top>
      <bottom style="thin">
        <color rgb="00000000"/>
      </bottom>
    </border>
    <border>
      <left style="medium">
        <color rgb="00000000"/>
      </left>
      <right style="thin">
        <color rgb="00000000"/>
      </right>
      <top style="thin">
        <color rgb="00000000"/>
      </top>
      <bottom style="hair">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thin">
        <color rgb="00000000"/>
      </left>
      <right style="medium">
        <color rgb="00000000"/>
      </right>
      <top style="thin">
        <color rgb="00000000"/>
      </top>
      <bottom style="hair">
        <color rgb="00000000"/>
      </bottom>
    </border>
    <border>
      <left style="thin">
        <color rgb="00000000"/>
      </left>
      <right style="thin">
        <color rgb="00000000"/>
      </right>
      <top style="thin">
        <color rgb="00000000"/>
      </top>
      <bottom style="thin">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double">
        <color rgb="00000000"/>
      </top>
      <bottom style="medium">
        <color rgb="00000000"/>
      </bottom>
    </border>
    <border>
      <left style="medium">
        <color rgb="00000000"/>
      </left>
      <right style="thin">
        <color rgb="00000000"/>
      </right>
      <top style="thin">
        <color rgb="00000000"/>
      </top>
      <bottom style="double">
        <color rgb="00000000"/>
      </bottom>
    </border>
    <border>
      <left style="thin">
        <color rgb="00000000"/>
      </left>
      <right style="thin">
        <color rgb="00000000"/>
      </right>
      <top style="double">
        <color rgb="00000000"/>
      </top>
      <bottom style="medium">
        <color rgb="00000000"/>
      </bottom>
    </border>
    <border>
      <left style="thin">
        <color rgb="00000000"/>
      </left>
      <right style="thin">
        <color rgb="00000000"/>
      </right>
      <top style="thin">
        <color rgb="00000000"/>
      </top>
      <bottom style="double">
        <color rgb="00000000"/>
      </bottom>
    </border>
    <border>
      <left style="thin">
        <color rgb="00000000"/>
      </left>
      <right style="medium">
        <color rgb="00000000"/>
      </right>
      <top style="double">
        <color rgb="00000000"/>
      </top>
      <bottom style="medium">
        <color rgb="00000000"/>
      </bottom>
    </border>
    <border>
      <left style="thin">
        <color rgb="00000000"/>
      </left>
      <right style="medium">
        <color rgb="00000000"/>
      </right>
      <top style="thin">
        <color rgb="00000000"/>
      </top>
      <bottom style="double">
        <color rgb="00000000"/>
      </bottom>
    </border>
    <border>
      <left/>
      <right/>
      <top/>
      <bottom style="thin">
        <color rgb="00000000"/>
      </bottom>
    </border>
    <border>
      <left/>
      <right/>
      <top style="thin">
        <color rgb="00000000"/>
      </top>
      <bottom/>
    </border>
    <border>
      <left/>
      <right/>
      <top/>
      <bottom style="double">
        <color rgb="00000000"/>
      </bottom>
    </border>
    <border>
      <left/>
      <right/>
      <top style="double">
        <color rgb="00000000"/>
      </top>
      <bottom/>
    </border>
  </borders>
  <cellStyleXfs count="1">
    <xf numFmtId="0" fontId="0" fillId="0" borderId="0"/>
  </cellStyleXfs>
  <cellXfs count="172">
    <xf numFmtId="0" fontId="0" fillId="0" borderId="0" pivotButton="0" quotePrefix="0" xfId="0"/>
    <xf numFmtId="0" fontId="14"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32" applyAlignment="1" pivotButton="0" quotePrefix="0" xfId="0">
      <alignment horizontal="center" vertical="center"/>
    </xf>
    <xf numFmtId="0" fontId="0" fillId="0" borderId="32" pivotButton="0" quotePrefix="0" xfId="0"/>
    <xf numFmtId="0" fontId="2" fillId="2" borderId="17" applyAlignment="1" pivotButton="0" quotePrefix="0" xfId="0">
      <alignment vertical="center"/>
    </xf>
    <xf numFmtId="0" fontId="0" fillId="2" borderId="17" applyAlignment="1" pivotButton="0" quotePrefix="0" xfId="0">
      <alignment vertical="center"/>
    </xf>
    <xf numFmtId="167" fontId="0" fillId="0" borderId="0" applyAlignment="1" pivotButton="0" quotePrefix="0" xfId="0">
      <alignment horizontal="right" vertical="center"/>
    </xf>
    <xf numFmtId="0" fontId="19" fillId="2" borderId="17" applyAlignment="1" pivotButton="0" quotePrefix="0" xfId="0">
      <alignment vertical="center" shrinkToFit="1"/>
    </xf>
    <xf numFmtId="2" fontId="0" fillId="3" borderId="17" applyAlignment="1" pivotButton="0" quotePrefix="0" xfId="0">
      <alignment horizontal="right" vertical="center"/>
    </xf>
    <xf numFmtId="0" fontId="15" fillId="0" borderId="32" applyAlignment="1" pivotButton="0" quotePrefix="0" xfId="0">
      <alignment horizontal="center" vertical="center"/>
    </xf>
    <xf numFmtId="0" fontId="16" fillId="0" borderId="0" applyAlignment="1" pivotButton="0" quotePrefix="0" xfId="0">
      <alignment horizontal="left" vertical="center"/>
    </xf>
    <xf numFmtId="9" fontId="0" fillId="3" borderId="17" applyAlignment="1" pivotButton="0" quotePrefix="0" xfId="0">
      <alignment horizontal="right" vertical="center"/>
    </xf>
    <xf numFmtId="0" fontId="0" fillId="0" borderId="33" pivotButton="0" quotePrefix="0" xfId="0"/>
    <xf numFmtId="3" fontId="0" fillId="3" borderId="17" applyAlignment="1" pivotButton="0" quotePrefix="0" xfId="0">
      <alignment horizontal="right" vertical="center"/>
    </xf>
    <xf numFmtId="0" fontId="16" fillId="0" borderId="0" applyAlignment="1" pivotButton="0" quotePrefix="0" xfId="0">
      <alignment horizontal="center" vertical="center"/>
    </xf>
    <xf numFmtId="0" fontId="13" fillId="0" borderId="34" applyAlignment="1" pivotButton="0" quotePrefix="0" xfId="0">
      <alignment horizontal="center" vertical="center"/>
    </xf>
    <xf numFmtId="0" fontId="0" fillId="0" borderId="34" pivotButton="0" quotePrefix="0" xfId="0"/>
    <xf numFmtId="0" fontId="0" fillId="0" borderId="0" applyAlignment="1" pivotButton="0" quotePrefix="0" xfId="0">
      <alignment horizontal="left" vertical="center"/>
    </xf>
    <xf numFmtId="0" fontId="17" fillId="0" borderId="0" applyAlignment="1" pivotButton="0" quotePrefix="0" xfId="0">
      <alignment vertical="center"/>
    </xf>
    <xf numFmtId="170" fontId="0" fillId="0" borderId="17" applyAlignment="1" pivotButton="0" quotePrefix="0" xfId="0">
      <alignment horizontal="right" vertical="center"/>
    </xf>
    <xf numFmtId="0" fontId="0" fillId="0" borderId="35" pivotButton="0" quotePrefix="0" xfId="0"/>
    <xf numFmtId="0" fontId="0" fillId="0" borderId="0" applyAlignment="1" pivotButton="0" quotePrefix="0" xfId="0">
      <alignment vertical="center"/>
    </xf>
    <xf numFmtId="0" fontId="3" fillId="0" borderId="0" applyAlignment="1" pivotButton="0" quotePrefix="0" xfId="0">
      <alignment vertical="center"/>
    </xf>
    <xf numFmtId="0" fontId="0" fillId="0" borderId="0" applyAlignment="1" pivotButton="0" quotePrefix="0" xfId="0">
      <alignment horizontal="distributed" vertical="center" indent="1"/>
    </xf>
    <xf numFmtId="0" fontId="0" fillId="0" borderId="0" applyAlignment="1" pivotButton="0" quotePrefix="0" xfId="0">
      <alignment vertical="center" shrinkToFit="1"/>
    </xf>
    <xf numFmtId="0" fontId="6" fillId="0" borderId="0" applyAlignment="1" pivotButton="0" quotePrefix="0" xfId="0">
      <alignment vertical="center" shrinkToFit="1"/>
    </xf>
    <xf numFmtId="0" fontId="6" fillId="2" borderId="12" applyAlignment="1" pivotButton="0" quotePrefix="0" xfId="0">
      <alignment horizontal="center" vertical="center" shrinkToFit="1"/>
    </xf>
    <xf numFmtId="0" fontId="0" fillId="2" borderId="14" applyAlignment="1" pivotButton="0" quotePrefix="0" xfId="0">
      <alignment horizontal="center" vertical="center" shrinkToFit="1"/>
    </xf>
    <xf numFmtId="0" fontId="0" fillId="2" borderId="14" pivotButton="0" quotePrefix="0" xfId="0"/>
    <xf numFmtId="0" fontId="6" fillId="2" borderId="14" applyAlignment="1" pivotButton="0" quotePrefix="0" xfId="0">
      <alignment horizontal="center" vertical="center" shrinkToFit="1"/>
    </xf>
    <xf numFmtId="0" fontId="0" fillId="2" borderId="15" applyAlignment="1" pivotButton="0" quotePrefix="0" xfId="0">
      <alignment horizontal="center" vertical="center" shrinkToFit="1"/>
    </xf>
    <xf numFmtId="0" fontId="19" fillId="2" borderId="17" applyAlignment="1" pivotButton="0" quotePrefix="0" xfId="0">
      <alignment horizontal="center" vertical="center" shrinkToFit="1"/>
    </xf>
    <xf numFmtId="0" fontId="0" fillId="0" borderId="21" pivotButton="0" quotePrefix="0" xfId="0"/>
    <xf numFmtId="0" fontId="0" fillId="0" borderId="17" applyAlignment="1" pivotButton="0" quotePrefix="0" xfId="0">
      <alignment horizontal="left" vertical="center" shrinkToFit="1" indent="1"/>
    </xf>
    <xf numFmtId="0" fontId="0" fillId="0" borderId="17" pivotButton="0" quotePrefix="0" xfId="0"/>
    <xf numFmtId="0" fontId="0" fillId="0" borderId="22" pivotButton="0" quotePrefix="0" xfId="0"/>
    <xf numFmtId="0" fontId="0" fillId="0" borderId="10" pivotButton="0" quotePrefix="0" xfId="0"/>
    <xf numFmtId="0" fontId="6" fillId="0" borderId="17" applyAlignment="1" pivotButton="0" quotePrefix="0" xfId="0">
      <alignment horizontal="left" vertical="center" shrinkToFit="1" indent="1"/>
    </xf>
    <xf numFmtId="0" fontId="0" fillId="0" borderId="5" pivotButton="0" quotePrefix="0" xfId="0"/>
    <xf numFmtId="0" fontId="0" fillId="0" borderId="21" applyAlignment="1" pivotButton="0" quotePrefix="0" xfId="0">
      <alignment horizontal="center" vertical="center"/>
    </xf>
    <xf numFmtId="165" fontId="0" fillId="0" borderId="17" applyAlignment="1" pivotButton="0" quotePrefix="0" xfId="0">
      <alignment horizontal="right" vertical="center"/>
    </xf>
    <xf numFmtId="0" fontId="0" fillId="0" borderId="17" applyAlignment="1" pivotButton="0" quotePrefix="0" xfId="0">
      <alignment horizontal="center" vertical="center"/>
    </xf>
    <xf numFmtId="164" fontId="0" fillId="0" borderId="17" applyAlignment="1" pivotButton="0" quotePrefix="0" xfId="0">
      <alignment horizontal="right" vertical="center"/>
    </xf>
    <xf numFmtId="0" fontId="6" fillId="0" borderId="22" applyAlignment="1" pivotButton="0" quotePrefix="0" xfId="0">
      <alignment horizontal="center" vertical="center" shrinkToFit="1"/>
    </xf>
    <xf numFmtId="0" fontId="6" fillId="0" borderId="5" applyAlignment="1" pivotButton="0" quotePrefix="0" xfId="0">
      <alignment vertical="center"/>
    </xf>
    <xf numFmtId="164" fontId="0" fillId="0" borderId="5" applyAlignment="1" pivotButton="0" quotePrefix="0" xfId="0">
      <alignment horizontal="right" vertical="center"/>
    </xf>
    <xf numFmtId="166" fontId="0" fillId="0" borderId="5" applyAlignment="1" pivotButton="0" quotePrefix="0" xfId="0">
      <alignment horizontal="right" vertical="center"/>
    </xf>
    <xf numFmtId="0" fontId="9" fillId="0" borderId="21" applyAlignment="1" pivotButton="0" quotePrefix="0" xfId="0">
      <alignment horizontal="center" vertical="center"/>
    </xf>
    <xf numFmtId="0" fontId="9" fillId="0" borderId="17" applyAlignment="1" pivotButton="0" quotePrefix="0" xfId="0">
      <alignment horizontal="left" vertical="center" shrinkToFit="1" indent="1"/>
    </xf>
    <xf numFmtId="165" fontId="9" fillId="0" borderId="17" applyAlignment="1" pivotButton="0" quotePrefix="0" xfId="0">
      <alignment horizontal="right" vertical="center"/>
    </xf>
    <xf numFmtId="0" fontId="9" fillId="0" borderId="17" applyAlignment="1" pivotButton="0" quotePrefix="0" xfId="0">
      <alignment horizontal="center" vertical="center"/>
    </xf>
    <xf numFmtId="164" fontId="9" fillId="0" borderId="17" applyAlignment="1" pivotButton="0" quotePrefix="0" xfId="0">
      <alignment horizontal="right" vertical="center"/>
    </xf>
    <xf numFmtId="0" fontId="12" fillId="0" borderId="22" applyAlignment="1" pivotButton="0" quotePrefix="0" xfId="0">
      <alignment horizontal="center" vertical="center" shrinkToFit="1"/>
    </xf>
    <xf numFmtId="0" fontId="6" fillId="0" borderId="5" applyAlignment="1" pivotButton="0" quotePrefix="0" xfId="0">
      <alignment vertical="center" shrinkToFit="1"/>
    </xf>
    <xf numFmtId="165" fontId="0" fillId="0" borderId="5" applyAlignment="1" pivotButton="0" quotePrefix="0" xfId="0">
      <alignment horizontal="right" vertical="center"/>
    </xf>
    <xf numFmtId="0" fontId="0" fillId="0" borderId="27" pivotButton="0" quotePrefix="0" xfId="0"/>
    <xf numFmtId="0" fontId="0" fillId="0" borderId="29" applyAlignment="1" pivotButton="0" quotePrefix="0" xfId="0">
      <alignment horizontal="left" vertical="center" indent="1"/>
    </xf>
    <xf numFmtId="0" fontId="0" fillId="0" borderId="29" pivotButton="0" quotePrefix="0" xfId="0"/>
    <xf numFmtId="164" fontId="0" fillId="0" borderId="29" applyAlignment="1" pivotButton="0" quotePrefix="0" xfId="0">
      <alignment horizontal="right" vertical="center"/>
    </xf>
    <xf numFmtId="0" fontId="6" fillId="0" borderId="31" applyAlignment="1" pivotButton="0" quotePrefix="0" xfId="0">
      <alignment horizontal="center" vertical="center"/>
    </xf>
    <xf numFmtId="0" fontId="6" fillId="0" borderId="11" applyAlignment="1" pivotButton="0" quotePrefix="0" xfId="0">
      <alignment vertical="center" shrinkToFit="1"/>
    </xf>
    <xf numFmtId="165" fontId="0" fillId="0" borderId="11" applyAlignment="1" pivotButton="0" quotePrefix="0" xfId="0">
      <alignment horizontal="right" vertical="center"/>
    </xf>
    <xf numFmtId="0" fontId="0" fillId="0" borderId="11" pivotButton="0" quotePrefix="0" xfId="0"/>
    <xf numFmtId="0" fontId="0" fillId="0" borderId="26" pivotButton="0" quotePrefix="0" xfId="0"/>
    <xf numFmtId="0" fontId="4" fillId="0" borderId="28" applyAlignment="1" pivotButton="0" quotePrefix="0" xfId="0">
      <alignment horizontal="left" vertical="center" indent="1"/>
    </xf>
    <xf numFmtId="0" fontId="0" fillId="0" borderId="28" pivotButton="0" quotePrefix="0" xfId="0"/>
    <xf numFmtId="165" fontId="4" fillId="0" borderId="28" applyAlignment="1" pivotButton="0" quotePrefix="0" xfId="0">
      <alignment horizontal="right" vertical="center"/>
    </xf>
    <xf numFmtId="0" fontId="6" fillId="0" borderId="30" applyAlignment="1" pivotButton="0" quotePrefix="0" xfId="0">
      <alignment horizontal="center" vertical="center"/>
    </xf>
    <xf numFmtId="0" fontId="5" fillId="0" borderId="17" applyAlignment="1" pivotButton="0" quotePrefix="0" xfId="0">
      <alignment vertical="center" shrinkToFit="1"/>
    </xf>
    <xf numFmtId="165" fontId="4" fillId="0" borderId="17" applyAlignment="1" pivotButton="0" quotePrefix="0" xfId="0">
      <alignment horizontal="right" vertical="center"/>
    </xf>
    <xf numFmtId="166" fontId="4" fillId="0" borderId="17" applyAlignment="1" pivotButton="0" quotePrefix="0" xfId="0">
      <alignment horizontal="right" vertical="center"/>
    </xf>
    <xf numFmtId="0" fontId="18" fillId="0" borderId="0" applyAlignment="1" pivotButton="0" quotePrefix="0" xfId="0">
      <alignment horizontal="center" vertical="top"/>
    </xf>
    <xf numFmtId="0" fontId="18" fillId="0" borderId="0" applyAlignment="1" pivotButton="0" quotePrefix="0" xfId="0">
      <alignment vertical="top" wrapText="1"/>
    </xf>
    <xf numFmtId="0" fontId="19" fillId="2" borderId="17" applyAlignment="1" pivotButton="0" quotePrefix="0" xfId="0">
      <alignment horizontal="center" vertical="center"/>
    </xf>
    <xf numFmtId="171" fontId="0" fillId="0" borderId="17" applyAlignment="1" pivotButton="0" quotePrefix="0" xfId="0">
      <alignment horizontal="center" vertical="center"/>
    </xf>
    <xf numFmtId="172" fontId="0" fillId="0" borderId="17" applyAlignment="1" pivotButton="0" quotePrefix="0" xfId="0">
      <alignment horizontal="right" vertical="center"/>
    </xf>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0" fillId="2" borderId="12" applyAlignment="1" pivotButton="0" quotePrefix="0" xfId="0">
      <alignment horizontal="center" vertical="center"/>
    </xf>
    <xf numFmtId="0" fontId="0" fillId="2" borderId="14" applyAlignment="1" pivotButton="0" quotePrefix="0" xfId="0">
      <alignment horizontal="center" vertical="center"/>
    </xf>
    <xf numFmtId="0" fontId="0" fillId="2" borderId="15" applyAlignment="1" pivotButton="0" quotePrefix="0" xfId="0">
      <alignment horizontal="center" vertical="center"/>
    </xf>
    <xf numFmtId="0" fontId="3" fillId="2" borderId="17" applyAlignment="1" pivotButton="0" quotePrefix="0" xfId="0">
      <alignment horizontal="center" vertical="center" shrinkToFit="1"/>
    </xf>
    <xf numFmtId="0" fontId="4" fillId="0" borderId="13" applyAlignment="1" pivotButton="0" quotePrefix="0" xfId="0">
      <alignment vertical="center" shrinkToFit="1"/>
    </xf>
    <xf numFmtId="0" fontId="0" fillId="0" borderId="16" pivotButton="0" quotePrefix="0" xfId="0"/>
    <xf numFmtId="0" fontId="0" fillId="0" borderId="4" pivotButton="0" quotePrefix="0" xfId="0"/>
    <xf numFmtId="0" fontId="0" fillId="0" borderId="6" pivotButton="0" quotePrefix="0" xfId="0"/>
    <xf numFmtId="0" fontId="5" fillId="0" borderId="4" applyAlignment="1" pivotButton="0" quotePrefix="0" xfId="0">
      <alignment vertical="center" shrinkToFit="1"/>
    </xf>
    <xf numFmtId="0" fontId="6" fillId="0" borderId="4" applyAlignment="1" pivotButton="0" quotePrefix="0" xfId="0">
      <alignment vertical="center" shrinkToFit="1"/>
    </xf>
    <xf numFmtId="0" fontId="6" fillId="0" borderId="5" applyAlignment="1" pivotButton="0" quotePrefix="0" xfId="0">
      <alignment horizontal="left" vertical="center" shrinkToFit="1" indent="1"/>
    </xf>
    <xf numFmtId="164" fontId="6" fillId="0" borderId="5" applyAlignment="1" pivotButton="0" quotePrefix="0" xfId="0">
      <alignment horizontal="right" vertical="center"/>
    </xf>
    <xf numFmtId="0" fontId="6" fillId="0" borderId="5" applyAlignment="1" pivotButton="0" quotePrefix="0" xfId="0">
      <alignment horizontal="center" vertical="center"/>
    </xf>
    <xf numFmtId="165" fontId="6" fillId="0" borderId="5" applyAlignment="1" pivotButton="0" quotePrefix="0" xfId="0">
      <alignment horizontal="right" vertical="center"/>
    </xf>
    <xf numFmtId="0" fontId="6" fillId="0" borderId="6" applyAlignment="1" pivotButton="0" quotePrefix="0" xfId="0">
      <alignment horizontal="center" vertical="center" shrinkToFit="1"/>
    </xf>
    <xf numFmtId="165" fontId="6" fillId="3" borderId="5" applyAlignment="1" pivotButton="0" quotePrefix="0" xfId="0">
      <alignment horizontal="right" vertical="center"/>
    </xf>
    <xf numFmtId="2" fontId="6" fillId="3" borderId="5" applyAlignment="1" pivotButton="0" quotePrefix="0" xfId="0">
      <alignment horizontal="center" vertical="center"/>
    </xf>
    <xf numFmtId="0" fontId="7" fillId="0" borderId="5" applyAlignment="1" pivotButton="0" quotePrefix="0" xfId="0">
      <alignment horizontal="center" vertical="center" shrinkToFit="1"/>
    </xf>
    <xf numFmtId="166" fontId="6" fillId="0" borderId="5" applyAlignment="1" pivotButton="0" quotePrefix="0" xfId="0">
      <alignment horizontal="right" vertical="center"/>
    </xf>
    <xf numFmtId="0" fontId="7" fillId="0" borderId="5" applyAlignment="1" pivotButton="0" quotePrefix="0" xfId="0">
      <alignment vertical="center"/>
    </xf>
    <xf numFmtId="0" fontId="7" fillId="4" borderId="5" applyAlignment="1" pivotButton="0" quotePrefix="0" xfId="0">
      <alignment horizontal="center" vertical="center" shrinkToFit="1"/>
    </xf>
    <xf numFmtId="0" fontId="6" fillId="0" borderId="4" applyAlignment="1" pivotButton="0" quotePrefix="0" xfId="0">
      <alignment vertical="center" wrapText="1"/>
    </xf>
    <xf numFmtId="0" fontId="0" fillId="0" borderId="7" pivotButton="0" quotePrefix="0" xfId="0"/>
    <xf numFmtId="0" fontId="0" fillId="0" borderId="8" pivotButton="0" quotePrefix="0" xfId="0"/>
    <xf numFmtId="0" fontId="0" fillId="0" borderId="9" pivotButton="0" quotePrefix="0" xfId="0"/>
    <xf numFmtId="0" fontId="4" fillId="0" borderId="18" applyAlignment="1" pivotButton="0" quotePrefix="0" xfId="0">
      <alignment horizontal="center" vertical="center"/>
    </xf>
    <xf numFmtId="0" fontId="0" fillId="0" borderId="19" pivotButton="0" quotePrefix="0" xfId="0"/>
    <xf numFmtId="164" fontId="4" fillId="0" borderId="19" applyAlignment="1" pivotButton="0" quotePrefix="0" xfId="0">
      <alignment horizontal="right" vertical="center"/>
    </xf>
    <xf numFmtId="0" fontId="0" fillId="0" borderId="20" pivotButton="0" quotePrefix="0" xfId="0"/>
    <xf numFmtId="0" fontId="0" fillId="0" borderId="14" pivotButton="0" quotePrefix="0" xfId="0"/>
    <xf numFmtId="164" fontId="4" fillId="0" borderId="14" applyAlignment="1" pivotButton="0" quotePrefix="0" xfId="0">
      <alignment horizontal="right" vertical="center"/>
    </xf>
    <xf numFmtId="166" fontId="4" fillId="0" borderId="14" applyAlignment="1" pivotButton="0" quotePrefix="0" xfId="0">
      <alignment horizontal="right" vertical="center"/>
    </xf>
    <xf numFmtId="0" fontId="8" fillId="0" borderId="0" applyAlignment="1" pivotButton="0" quotePrefix="0" xfId="0">
      <alignment horizontal="center" vertical="center"/>
    </xf>
    <xf numFmtId="0" fontId="9" fillId="0" borderId="0" applyAlignment="1" pivotButton="0" quotePrefix="0" xfId="0">
      <alignment vertical="center"/>
    </xf>
    <xf numFmtId="0" fontId="9" fillId="0" borderId="0" applyAlignment="1" pivotButton="0" quotePrefix="0" xfId="0">
      <alignment horizontal="right" vertical="center"/>
    </xf>
    <xf numFmtId="0" fontId="10" fillId="0" borderId="13" applyAlignment="1" pivotButton="0" quotePrefix="0" xfId="0">
      <alignment vertical="center" shrinkToFit="1"/>
    </xf>
    <xf numFmtId="0" fontId="11" fillId="0" borderId="4" applyAlignment="1" pivotButton="0" quotePrefix="0" xfId="0">
      <alignment vertical="center" shrinkToFit="1"/>
    </xf>
    <xf numFmtId="0" fontId="12" fillId="0" borderId="4" applyAlignment="1" pivotButton="0" quotePrefix="0" xfId="0">
      <alignment vertical="center" shrinkToFit="1"/>
    </xf>
    <xf numFmtId="0" fontId="12" fillId="0" borderId="5" applyAlignment="1" pivotButton="0" quotePrefix="0" xfId="0">
      <alignment horizontal="left" vertical="center" shrinkToFit="1" indent="1"/>
    </xf>
    <xf numFmtId="164" fontId="12" fillId="0" borderId="5" applyAlignment="1" pivotButton="0" quotePrefix="0" xfId="0">
      <alignment horizontal="right" vertical="center"/>
    </xf>
    <xf numFmtId="0" fontId="12" fillId="0" borderId="5" applyAlignment="1" pivotButton="0" quotePrefix="0" xfId="0">
      <alignment horizontal="center" vertical="center"/>
    </xf>
    <xf numFmtId="165" fontId="12" fillId="0" borderId="5" applyAlignment="1" pivotButton="0" quotePrefix="0" xfId="0">
      <alignment horizontal="right" vertical="center"/>
    </xf>
    <xf numFmtId="0" fontId="12" fillId="0" borderId="6" applyAlignment="1" pivotButton="0" quotePrefix="0" xfId="0">
      <alignment horizontal="center" vertical="center" shrinkToFit="1"/>
    </xf>
    <xf numFmtId="0" fontId="10" fillId="0" borderId="18" applyAlignment="1" pivotButton="0" quotePrefix="0" xfId="0">
      <alignment horizontal="center" vertical="center"/>
    </xf>
    <xf numFmtId="164" fontId="10" fillId="0" borderId="19" applyAlignment="1" pivotButton="0" quotePrefix="0" xfId="0">
      <alignment horizontal="right" vertical="center"/>
    </xf>
    <xf numFmtId="0" fontId="13" fillId="0" borderId="0" applyAlignment="1" pivotButton="0" quotePrefix="0" xfId="0">
      <alignment horizontal="center" vertical="center"/>
    </xf>
    <xf numFmtId="0" fontId="6" fillId="0" borderId="0" applyAlignment="1" pivotButton="0" quotePrefix="0" xfId="0">
      <alignment horizontal="center" vertical="center"/>
    </xf>
    <xf numFmtId="0" fontId="0" fillId="5" borderId="17" applyAlignment="1" pivotButton="0" quotePrefix="0" xfId="0">
      <alignment horizontal="left" vertical="center" indent="1"/>
    </xf>
    <xf numFmtId="167" fontId="0" fillId="0" borderId="17" applyAlignment="1" pivotButton="0" quotePrefix="0" xfId="0">
      <alignment horizontal="left" vertical="center" indent="1"/>
    </xf>
    <xf numFmtId="0" fontId="0" fillId="0" borderId="17" applyAlignment="1" pivotButton="0" quotePrefix="0" xfId="0">
      <alignment horizontal="left" vertical="center" indent="1"/>
    </xf>
    <xf numFmtId="0" fontId="4" fillId="0" borderId="0" applyAlignment="1" pivotButton="0" quotePrefix="0" xfId="0">
      <alignment vertical="center"/>
    </xf>
    <xf numFmtId="0" fontId="6" fillId="0" borderId="0" applyAlignment="1" pivotButton="0" quotePrefix="0" xfId="0">
      <alignment vertical="center" wrapText="1"/>
    </xf>
    <xf numFmtId="0" fontId="0" fillId="2" borderId="15" pivotButton="0" quotePrefix="0" xfId="0"/>
    <xf numFmtId="0" fontId="0" fillId="0" borderId="21" applyAlignment="1" pivotButton="0" quotePrefix="0" xfId="0">
      <alignment horizontal="left" vertical="center" indent="1"/>
    </xf>
    <xf numFmtId="0" fontId="6" fillId="0" borderId="17" applyAlignment="1" pivotButton="0" quotePrefix="0" xfId="0">
      <alignment horizontal="left" vertical="center" indent="1"/>
    </xf>
    <xf numFmtId="0" fontId="0" fillId="0" borderId="27" applyAlignment="1" pivotButton="0" quotePrefix="0" xfId="0">
      <alignment horizontal="left" vertical="center" indent="1"/>
    </xf>
    <xf numFmtId="165" fontId="0" fillId="0" borderId="29" applyAlignment="1" pivotButton="0" quotePrefix="0" xfId="0">
      <alignment horizontal="right" vertical="center"/>
    </xf>
    <xf numFmtId="0" fontId="6" fillId="0" borderId="29" applyAlignment="1" pivotButton="0" quotePrefix="0" xfId="0">
      <alignment horizontal="left" vertical="center" indent="1"/>
    </xf>
    <xf numFmtId="0" fontId="0" fillId="0" borderId="31" pivotButton="0" quotePrefix="0" xfId="0"/>
    <xf numFmtId="0" fontId="4" fillId="0" borderId="26" applyAlignment="1" pivotButton="0" quotePrefix="0" xfId="0">
      <alignment horizontal="center" vertical="center"/>
    </xf>
    <xf numFmtId="0" fontId="5" fillId="0" borderId="28" applyAlignment="1" pivotButton="0" quotePrefix="0" xfId="0">
      <alignment horizontal="left" vertical="center" indent="1"/>
    </xf>
    <xf numFmtId="0" fontId="0" fillId="0" borderId="30" pivotButton="0" quotePrefix="0" xfId="0"/>
    <xf numFmtId="0" fontId="6" fillId="0" borderId="0" applyAlignment="1" pivotButton="0" quotePrefix="0" xfId="0">
      <alignment vertical="center"/>
    </xf>
    <xf numFmtId="0" fontId="6" fillId="2" borderId="14" applyAlignment="1" pivotButton="0" quotePrefix="0" xfId="0">
      <alignment horizontal="center" vertical="center"/>
    </xf>
    <xf numFmtId="168" fontId="0" fillId="0" borderId="17" applyAlignment="1" pivotButton="0" quotePrefix="0" xfId="0">
      <alignment horizontal="right" vertical="center"/>
    </xf>
    <xf numFmtId="0" fontId="7" fillId="0" borderId="22" applyAlignment="1" pivotButton="0" quotePrefix="0" xfId="0">
      <alignment vertical="center" wrapText="1"/>
    </xf>
    <xf numFmtId="168" fontId="0" fillId="0" borderId="29" applyAlignment="1" pivotButton="0" quotePrefix="0" xfId="0">
      <alignment horizontal="right" vertical="center"/>
    </xf>
    <xf numFmtId="0" fontId="7" fillId="0" borderId="31" applyAlignment="1" pivotButton="0" quotePrefix="0" xfId="0">
      <alignment vertical="center" wrapText="1"/>
    </xf>
    <xf numFmtId="168" fontId="4" fillId="0" borderId="28" applyAlignment="1" pivotButton="0" quotePrefix="0" xfId="0">
      <alignment horizontal="right" vertical="center"/>
    </xf>
    <xf numFmtId="0" fontId="13" fillId="0" borderId="0" applyAlignment="1" pivotButton="0" quotePrefix="0" xfId="0">
      <alignment vertical="center"/>
    </xf>
    <xf numFmtId="0" fontId="0" fillId="0" borderId="0" applyAlignment="1" pivotButton="0" quotePrefix="0" xfId="0">
      <alignment horizontal="right" vertical="top"/>
    </xf>
    <xf numFmtId="0" fontId="0" fillId="0" borderId="0" applyAlignment="1" pivotButton="0" quotePrefix="0" xfId="0">
      <alignment vertical="top" wrapText="1"/>
    </xf>
    <xf numFmtId="0" fontId="6" fillId="2" borderId="12" applyAlignment="1" pivotButton="0" quotePrefix="0" xfId="0">
      <alignment horizontal="center" vertical="center"/>
    </xf>
    <xf numFmtId="0" fontId="6" fillId="2" borderId="15" applyAlignment="1" pivotButton="0" quotePrefix="0" xfId="0">
      <alignment horizontal="center" vertical="center"/>
    </xf>
    <xf numFmtId="0" fontId="6" fillId="0" borderId="21" applyAlignment="1" pivotButton="0" quotePrefix="0" xfId="0">
      <alignment horizontal="center" vertical="center"/>
    </xf>
    <xf numFmtId="0" fontId="6" fillId="0" borderId="17" applyAlignment="1" pivotButton="0" quotePrefix="0" xfId="0">
      <alignment horizontal="center" vertical="center"/>
    </xf>
    <xf numFmtId="0" fontId="6" fillId="0" borderId="17" applyAlignment="1" pivotButton="0" quotePrefix="0" xfId="0">
      <alignment horizontal="left" vertical="center" wrapText="1" indent="1"/>
    </xf>
    <xf numFmtId="0" fontId="6" fillId="0" borderId="22" applyAlignment="1" pivotButton="0" quotePrefix="0" xfId="0">
      <alignment horizontal="center" vertical="center" wrapText="1"/>
    </xf>
    <xf numFmtId="0" fontId="6" fillId="0" borderId="23" applyAlignment="1" pivotButton="0" quotePrefix="0" xfId="0">
      <alignment horizontal="center" vertical="center"/>
    </xf>
    <xf numFmtId="0" fontId="6" fillId="0" borderId="24" applyAlignment="1" pivotButton="0" quotePrefix="0" xfId="0">
      <alignment horizontal="center" vertical="center"/>
    </xf>
    <xf numFmtId="0" fontId="6" fillId="0" borderId="24" applyAlignment="1" pivotButton="0" quotePrefix="0" xfId="0">
      <alignment horizontal="left" vertical="center" wrapText="1" indent="1"/>
    </xf>
    <xf numFmtId="0" fontId="0" fillId="0" borderId="24" pivotButton="0" quotePrefix="0" xfId="0"/>
    <xf numFmtId="0" fontId="6" fillId="0" borderId="25" applyAlignment="1" pivotButton="0" quotePrefix="0" xfId="0">
      <alignment horizontal="center" vertical="center" wrapText="1"/>
    </xf>
    <xf numFmtId="0" fontId="5" fillId="0" borderId="0" applyAlignment="1" pivotButton="0" quotePrefix="0" xfId="0">
      <alignment vertical="center"/>
    </xf>
    <xf numFmtId="0" fontId="4" fillId="5" borderId="0" applyAlignment="1" pivotButton="0" quotePrefix="0" xfId="0">
      <alignment vertical="center"/>
    </xf>
    <xf numFmtId="0" fontId="5" fillId="2" borderId="10" applyAlignment="1" pivotButton="0" quotePrefix="0" xfId="0">
      <alignment horizontal="center" vertical="center"/>
    </xf>
    <xf numFmtId="0" fontId="6" fillId="0" borderId="5" applyAlignment="1" pivotButton="0" quotePrefix="0" xfId="0">
      <alignment horizontal="left" vertical="center"/>
    </xf>
    <xf numFmtId="173" fontId="6" fillId="0" borderId="5" applyAlignment="1" pivotButton="0" quotePrefix="0" xfId="0">
      <alignment horizontal="right" vertical="center"/>
    </xf>
    <xf numFmtId="0" fontId="6" fillId="0" borderId="11" applyAlignment="1" pivotButton="0" quotePrefix="0" xfId="0">
      <alignment horizontal="left" vertical="center"/>
    </xf>
    <xf numFmtId="173" fontId="6" fillId="0" borderId="11" applyAlignment="1" pivotButton="0" quotePrefix="0" xfId="0">
      <alignment horizontal="right" vertical="center"/>
    </xf>
    <xf numFmtId="0" fontId="6" fillId="0" borderId="5" applyAlignment="1" pivotButton="0" quotePrefix="0" xfId="0">
      <alignment horizontal="right" vertical="center"/>
    </xf>
    <xf numFmtId="0" fontId="6" fillId="0" borderId="1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38"/>
  <sheetViews>
    <sheetView showGridLines="0" tabSelected="1" workbookViewId="0">
      <selection activeCell="A1" sqref="A1"/>
    </sheetView>
  </sheetViews>
  <sheetFormatPr baseColWidth="8" defaultRowHeight="15"/>
  <cols>
    <col width="6" customWidth="1" min="1" max="1"/>
    <col width="8" customWidth="1" min="2" max="2"/>
    <col width="3" customWidth="1" min="3" max="3"/>
    <col width="15" customWidth="1" min="4" max="4"/>
    <col width="9" customWidth="1" min="5" max="5"/>
    <col width="9" customWidth="1" min="6" max="6"/>
    <col width="7" customWidth="1" min="7" max="7"/>
    <col width="5" customWidth="1" min="8" max="8"/>
    <col width="7" customWidth="1" min="9" max="9"/>
    <col width="7" customWidth="1" min="10" max="10"/>
    <col width="14" customWidth="1" min="11" max="11"/>
    <col width="12" customWidth="1" min="12" max="12"/>
    <col width="26" customWidth="1" min="13" max="13"/>
    <col width="12" customWidth="1" min="14" max="14"/>
    <col width="12" customWidth="1" min="15" max="15"/>
    <col width="12" customWidth="1" min="16" max="16"/>
    <col width="9" customWidth="1" min="17" max="17"/>
    <col width="12" customWidth="1" min="18" max="18"/>
    <col width="12" customWidth="1" min="19" max="19"/>
  </cols>
  <sheetData>
    <row r="1" ht="22" customHeight="1">
      <c r="A1" s="1" t="inlineStr">
        <is>
          <t>御　見　積　書</t>
        </is>
      </c>
    </row>
    <row r="2" ht="22" customHeight="1"/>
    <row r="3" ht="20" customHeight="1">
      <c r="J3" s="2" t="inlineStr">
        <is>
          <t>No.</t>
        </is>
      </c>
      <c r="K3" s="3" t="n"/>
      <c r="L3" s="4" t="n"/>
      <c r="M3" s="5" t="inlineStr">
        <is>
          <t>【設定・内部用】（印刷範囲外）</t>
        </is>
      </c>
      <c r="N3" s="6" t="n"/>
    </row>
    <row r="4" ht="20" customHeight="1">
      <c r="J4" s="7" t="n">
        <v>46300</v>
      </c>
      <c r="M4" s="8" t="inlineStr">
        <is>
          <t>提出係数（基準原価→提出単価）</t>
        </is>
      </c>
      <c r="N4" s="9" t="n">
        <v>1.1</v>
      </c>
    </row>
    <row r="5" ht="26" customHeight="1">
      <c r="A5" s="10" t="inlineStr">
        <is>
          <t>株式会社共栄店舗</t>
        </is>
      </c>
      <c r="B5" s="4" t="n"/>
      <c r="C5" s="4" t="n"/>
      <c r="D5" s="4" t="n"/>
      <c r="E5" s="4" t="n"/>
      <c r="F5" s="4" t="n"/>
      <c r="G5" s="11" t="inlineStr">
        <is>
          <t>御中</t>
        </is>
      </c>
      <c r="M5" s="8" t="inlineStr">
        <is>
          <t>諸経費率</t>
        </is>
      </c>
      <c r="N5" s="12" t="n">
        <v>0.08</v>
      </c>
    </row>
    <row r="6" ht="12" customHeight="1">
      <c r="A6" s="13" t="n"/>
      <c r="B6" s="13" t="n"/>
      <c r="C6" s="13" t="n"/>
      <c r="D6" s="13" t="n"/>
      <c r="E6" s="13" t="n"/>
      <c r="F6" s="13" t="n"/>
      <c r="M6" s="8" t="inlineStr">
        <is>
          <t>端数処理単位</t>
        </is>
      </c>
      <c r="N6" s="14" t="n">
        <v>10000</v>
      </c>
    </row>
    <row r="7" ht="28" customHeight="1">
      <c r="A7" s="15" t="inlineStr">
        <is>
          <t>金額</t>
        </is>
      </c>
      <c r="B7" s="16" t="str">
        <f>"¥"&amp;TEXT(K29,"#,##0")&amp;"-"</f>
        <v>¥30,810,000-</v>
      </c>
      <c r="C7" s="17" t="n"/>
      <c r="D7" s="17" t="n"/>
      <c r="E7" s="17" t="n"/>
      <c r="F7" s="18" t="inlineStr">
        <is>
          <t>（税別）</t>
        </is>
      </c>
      <c r="H7" s="19" t="inlineStr">
        <is>
          <t>宮地機工株式会社</t>
        </is>
      </c>
      <c r="M7" s="8" t="inlineStr">
        <is>
          <t>法定福利費率（労務費比）</t>
        </is>
      </c>
      <c r="N7" s="20">
        <f>WELFARE_RATE</f>
        <v>0.16375</v>
      </c>
    </row>
    <row r="8" ht="10" customHeight="1">
      <c r="B8" s="21" t="n"/>
      <c r="C8" s="21" t="n"/>
      <c r="D8" s="21" t="n"/>
      <c r="E8" s="21" t="n"/>
      <c r="M8" s="8" t="inlineStr">
        <is>
          <t>参考：労務単価（円/人工）</t>
        </is>
      </c>
      <c r="N8" s="14" t="n">
        <v>27000</v>
      </c>
    </row>
    <row r="9" ht="19" customHeight="1">
      <c r="A9" s="18" t="inlineStr">
        <is>
          <t>上記の通り御見積申し上げます。</t>
        </is>
      </c>
      <c r="H9" s="22" t="inlineStr">
        <is>
          <t>代表取締役　濱本　義樹</t>
        </is>
      </c>
      <c r="M9" s="23" t="inlineStr">
        <is>
          <t>※ 粗利率を変えたい場合は提出係数 N4 を変更（例 1.25 → 粗利率 20%）。行ごとに変える場合は内訳書の M列</t>
        </is>
      </c>
    </row>
    <row r="10" ht="19" customHeight="1">
      <c r="A10" s="22" t="inlineStr">
        <is>
          <t>何卒ご用命賜わりますようお願い申し上げます。</t>
        </is>
      </c>
    </row>
    <row r="11" ht="19" customHeight="1">
      <c r="H11" s="22" t="inlineStr">
        <is>
          <t>〒722-0051</t>
        </is>
      </c>
    </row>
    <row r="12" ht="19" customHeight="1">
      <c r="A12" s="24" t="inlineStr">
        <is>
          <t>工事名</t>
        </is>
      </c>
      <c r="D12" s="25" t="inlineStr">
        <is>
          <t>（仮称）サンフレッチェ広島　三矢寮新築工事</t>
        </is>
      </c>
      <c r="H12" s="22" t="inlineStr">
        <is>
          <t>広島県尾道市東尾道9-9</t>
        </is>
      </c>
    </row>
    <row r="13" ht="19" customHeight="1">
      <c r="D13" s="25" t="inlineStr">
        <is>
          <t>空調設備工事（空調・換気／図面06ベース・金額変更案08）</t>
        </is>
      </c>
      <c r="H13" s="22" t="inlineStr">
        <is>
          <t>TEL.0848-20-2121</t>
        </is>
      </c>
      <c r="K13" s="22" t="inlineStr">
        <is>
          <t>FAX.0848-20-2126</t>
        </is>
      </c>
    </row>
    <row r="14" ht="22" customHeight="1">
      <c r="A14" s="24" t="inlineStr">
        <is>
          <t>施工場所</t>
        </is>
      </c>
      <c r="D14" s="26" t="inlineStr">
        <is>
          <t>広島県安芸高田市吉田町西浦字日南山835-27</t>
        </is>
      </c>
      <c r="H14" s="22" t="inlineStr">
        <is>
          <t>担当者</t>
        </is>
      </c>
      <c r="J14" s="22" t="inlineStr">
        <is>
          <t>濱本　義武</t>
        </is>
      </c>
    </row>
    <row r="15" ht="19" customHeight="1">
      <c r="A15" s="24" t="inlineStr">
        <is>
          <t>工事期限</t>
        </is>
      </c>
      <c r="D15" s="25" t="inlineStr">
        <is>
          <t>全体工期 2026年5月1日～2027年2月15日（空調工事は工程表による・別途お打ち合わせ）</t>
        </is>
      </c>
    </row>
    <row r="16" ht="19" customHeight="1">
      <c r="A16" s="24" t="inlineStr">
        <is>
          <t>御支払条件</t>
        </is>
      </c>
      <c r="D16" s="25" t="inlineStr">
        <is>
          <t>別途お打ち合わせ</t>
        </is>
      </c>
    </row>
    <row r="17" ht="19" customHeight="1">
      <c r="A17" s="24" t="inlineStr">
        <is>
          <t>有効期限</t>
        </is>
      </c>
      <c r="D17" s="25" t="inlineStr">
        <is>
          <t>発行後3ヶ月</t>
        </is>
      </c>
    </row>
    <row r="18" ht="12" customHeight="1"/>
    <row r="19" ht="24" customHeight="1">
      <c r="A19" s="27" t="inlineStr">
        <is>
          <t>項　目</t>
        </is>
      </c>
      <c r="B19" s="28" t="inlineStr">
        <is>
          <t>内　　　容</t>
        </is>
      </c>
      <c r="C19" s="29" t="n"/>
      <c r="D19" s="29" t="n"/>
      <c r="E19" s="29" t="n"/>
      <c r="F19" s="29" t="n"/>
      <c r="G19" s="28" t="inlineStr">
        <is>
          <t>数 量</t>
        </is>
      </c>
      <c r="H19" s="30" t="inlineStr">
        <is>
          <t>単位</t>
        </is>
      </c>
      <c r="I19" s="28" t="inlineStr">
        <is>
          <t>単  価</t>
        </is>
      </c>
      <c r="J19" s="29" t="n"/>
      <c r="K19" s="28" t="inlineStr">
        <is>
          <t>金　　額</t>
        </is>
      </c>
      <c r="L19" s="31" t="inlineStr">
        <is>
          <t>備　考</t>
        </is>
      </c>
      <c r="M19" s="32" t="inlineStr">
        <is>
          <t>内部集計（原価・粗利）</t>
        </is>
      </c>
      <c r="N19" s="32" t="inlineStr">
        <is>
          <t>基準原価</t>
        </is>
      </c>
      <c r="O19" s="32" t="inlineStr">
        <is>
          <t>労務費(提出)</t>
        </is>
      </c>
      <c r="P19" s="32" t="inlineStr">
        <is>
          <t>粗利</t>
        </is>
      </c>
      <c r="Q19" s="32" t="inlineStr">
        <is>
          <t>粗利率</t>
        </is>
      </c>
    </row>
    <row r="20" ht="22" customHeight="1">
      <c r="A20" s="33" t="n"/>
      <c r="B20" s="34" t="inlineStr">
        <is>
          <t>【（仮称）サンフレッチェ広島　三矢寮新築工事　空調設備工事】</t>
        </is>
      </c>
      <c r="C20" s="35" t="n"/>
      <c r="D20" s="35" t="n"/>
      <c r="E20" s="35" t="n"/>
      <c r="F20" s="35" t="n"/>
      <c r="G20" s="35" t="n"/>
      <c r="H20" s="35" t="n"/>
      <c r="I20" s="35" t="n"/>
      <c r="J20" s="35" t="n"/>
      <c r="K20" s="35" t="n"/>
      <c r="L20" s="36" t="n"/>
      <c r="M20" s="37" t="n"/>
      <c r="N20" s="37" t="n"/>
      <c r="O20" s="37" t="n"/>
      <c r="P20" s="37" t="n"/>
      <c r="Q20" s="37" t="n"/>
    </row>
    <row r="21" ht="20" customHeight="1">
      <c r="A21" s="33" t="n"/>
      <c r="B21" s="38" t="inlineStr">
        <is>
          <t>［機器（空調機器表・換気機器表記載分）は元請様手配、電気工事・建築工事・自動制御は含まず］</t>
        </is>
      </c>
      <c r="C21" s="35" t="n"/>
      <c r="D21" s="35" t="n"/>
      <c r="E21" s="35" t="n"/>
      <c r="F21" s="35" t="n"/>
      <c r="G21" s="35" t="n"/>
      <c r="H21" s="35" t="n"/>
      <c r="I21" s="35" t="n"/>
      <c r="J21" s="35" t="n"/>
      <c r="K21" s="35" t="n"/>
      <c r="L21" s="36" t="n"/>
      <c r="M21" s="39" t="n"/>
      <c r="N21" s="39" t="n"/>
      <c r="O21" s="39" t="n"/>
      <c r="P21" s="39" t="n"/>
      <c r="Q21" s="39" t="n"/>
    </row>
    <row r="22" ht="24" customHeight="1">
      <c r="A22" s="40" t="inlineStr">
        <is>
          <t>①</t>
        </is>
      </c>
      <c r="B22" s="34" t="inlineStr">
        <is>
          <t>空調工事（機械設備図 06）</t>
        </is>
      </c>
      <c r="C22" s="35" t="n"/>
      <c r="D22" s="35" t="n"/>
      <c r="E22" s="35" t="n"/>
      <c r="F22" s="35" t="n"/>
      <c r="G22" s="41" t="n">
        <v>1</v>
      </c>
      <c r="H22" s="42" t="inlineStr">
        <is>
          <t>式</t>
        </is>
      </c>
      <c r="I22" s="43">
        <f>K22</f>
        <v>10880980</v>
      </c>
      <c r="J22" s="35" t="n"/>
      <c r="K22" s="43">
        <f>'内訳書(1.空調工事)'!H58</f>
        <v>10880980</v>
      </c>
      <c r="L22" s="44" t="inlineStr">
        <is>
          <t>内訳書 No.1</t>
        </is>
      </c>
      <c r="M22" s="45" t="inlineStr">
        <is>
          <t>①空調工事</t>
        </is>
      </c>
      <c r="N22" s="46">
        <f>'内訳書(1.空調工事)'!N58</f>
        <v>9891800</v>
      </c>
      <c r="O22" s="46">
        <f>'内訳書(1.空調工事)'!O58</f>
        <v>6749050</v>
      </c>
      <c r="P22" s="46">
        <f>K22-N22</f>
        <v>989180</v>
      </c>
      <c r="Q22" s="47">
        <f>IF(K22=0,"",P22/K22)</f>
        <v>0.09090909090909091</v>
      </c>
    </row>
    <row r="23" ht="24" customHeight="1">
      <c r="A23" s="40" t="inlineStr">
        <is>
          <t>②</t>
        </is>
      </c>
      <c r="B23" s="34" t="inlineStr">
        <is>
          <t>換気工事（機械設備図 06）</t>
        </is>
      </c>
      <c r="C23" s="35" t="n"/>
      <c r="D23" s="35" t="n"/>
      <c r="E23" s="35" t="n"/>
      <c r="F23" s="35" t="n"/>
      <c r="G23" s="41" t="n">
        <v>1</v>
      </c>
      <c r="H23" s="42" t="inlineStr">
        <is>
          <t>式</t>
        </is>
      </c>
      <c r="I23" s="43">
        <f>K23</f>
        <v>9971500</v>
      </c>
      <c r="J23" s="35" t="n"/>
      <c r="K23" s="43">
        <f>'内訳書(2.換気工事)'!H93</f>
        <v>9971500</v>
      </c>
      <c r="L23" s="44" t="inlineStr">
        <is>
          <t>内訳書 No.2</t>
        </is>
      </c>
      <c r="M23" s="45" t="inlineStr">
        <is>
          <t>②換気工事</t>
        </is>
      </c>
      <c r="N23" s="46">
        <f>'内訳書(2.換気工事)'!N93</f>
        <v>9065000</v>
      </c>
      <c r="O23" s="46">
        <f>'内訳書(2.換気工事)'!O93</f>
        <v>6356460</v>
      </c>
      <c r="P23" s="46">
        <f>K23-N23</f>
        <v>906500</v>
      </c>
      <c r="Q23" s="47">
        <f>IF(K23=0,"",P23/K23)</f>
        <v>0.09090909090909091</v>
      </c>
    </row>
    <row r="24" ht="24" customHeight="1">
      <c r="A24" s="48" t="inlineStr">
        <is>
          <t>③</t>
        </is>
      </c>
      <c r="B24" s="49" t="inlineStr">
        <is>
          <t>金額変更案（検討図 08　No3・4 ロスナイ中止／No5・6 空調追加）</t>
        </is>
      </c>
      <c r="C24" s="35" t="n"/>
      <c r="D24" s="35" t="n"/>
      <c r="E24" s="35" t="n"/>
      <c r="F24" s="35" t="n"/>
      <c r="G24" s="50" t="n">
        <v>1</v>
      </c>
      <c r="H24" s="51" t="inlineStr">
        <is>
          <t>式</t>
        </is>
      </c>
      <c r="I24" s="52">
        <f>K24</f>
        <v>5262950</v>
      </c>
      <c r="J24" s="35" t="n"/>
      <c r="K24" s="52">
        <f>'内訳書(3.金額変更案)'!H48</f>
        <v>5262950</v>
      </c>
      <c r="L24" s="53" t="inlineStr">
        <is>
          <t>内訳書 No.3</t>
        </is>
      </c>
      <c r="M24" s="45" t="inlineStr">
        <is>
          <t>③金額変更案</t>
        </is>
      </c>
      <c r="N24" s="46">
        <f>'内訳書(3.金額変更案)'!N48</f>
        <v>4784500</v>
      </c>
      <c r="O24" s="46">
        <f>'内訳書(3.金額変更案)'!O48</f>
        <v>2863960</v>
      </c>
      <c r="P24" s="46">
        <f>K24-N24</f>
        <v>478450</v>
      </c>
      <c r="Q24" s="47">
        <f>IF(K24=0,"",P24/K24)</f>
        <v>0.09090909090909091</v>
      </c>
    </row>
    <row r="25" ht="24" customHeight="1">
      <c r="A25" s="40" t="inlineStr">
        <is>
          <t>④</t>
        </is>
      </c>
      <c r="B25" s="34" t="inlineStr">
        <is>
          <t>法定福利費（労務費に係る事業主負担分）</t>
        </is>
      </c>
      <c r="C25" s="35" t="n"/>
      <c r="D25" s="35" t="n"/>
      <c r="E25" s="35" t="n"/>
      <c r="F25" s="35" t="n"/>
      <c r="G25" s="41" t="n">
        <v>1</v>
      </c>
      <c r="H25" s="42" t="inlineStr">
        <is>
          <t>式</t>
        </is>
      </c>
      <c r="I25" s="43">
        <f>K25</f>
        <v>2614998</v>
      </c>
      <c r="J25" s="35" t="n"/>
      <c r="K25" s="43">
        <f>'法定福利費内訳明細書'!F27</f>
        <v>2614998</v>
      </c>
      <c r="L25" s="44" t="inlineStr">
        <is>
          <t>別紙明細書</t>
        </is>
      </c>
      <c r="M25" s="54" t="inlineStr">
        <is>
          <t>④法定福利費（原価＝提出値）</t>
        </is>
      </c>
      <c r="N25" s="55">
        <f>K25</f>
        <v>2614998</v>
      </c>
      <c r="O25" s="39" t="n"/>
      <c r="P25" s="39" t="n"/>
      <c r="Q25" s="39" t="n"/>
    </row>
    <row r="26" ht="24" customHeight="1">
      <c r="A26" s="40" t="inlineStr">
        <is>
          <t>⑤</t>
        </is>
      </c>
      <c r="B26" s="34" t="inlineStr">
        <is>
          <t>諸経費</t>
        </is>
      </c>
      <c r="C26" s="35" t="n"/>
      <c r="D26" s="35" t="n"/>
      <c r="E26" s="35" t="n"/>
      <c r="F26" s="35" t="n"/>
      <c r="G26" s="41" t="n">
        <v>1</v>
      </c>
      <c r="H26" s="42" t="inlineStr">
        <is>
          <t>式</t>
        </is>
      </c>
      <c r="I26" s="43">
        <f>K26</f>
        <v>2089000</v>
      </c>
      <c r="J26" s="35" t="n"/>
      <c r="K26" s="43">
        <f>ROUND((K22+K23+K24)*OVERHEAD_RATE,-3)</f>
        <v>2089000</v>
      </c>
      <c r="L26" s="44" t="str">
        <f>"①〜③計の"&amp;TEXT(OVERHEAD_RATE,"0%")</f>
        <v>①〜③計の8%</v>
      </c>
      <c r="M26" s="54" t="inlineStr">
        <is>
          <t>⑤諸経費（原価計上なし）</t>
        </is>
      </c>
      <c r="N26" s="55" t="n">
        <v>0</v>
      </c>
      <c r="O26" s="39" t="n"/>
      <c r="P26" s="39" t="n"/>
      <c r="Q26" s="39" t="n"/>
    </row>
    <row r="27" ht="24" customHeight="1">
      <c r="A27" s="33" t="n"/>
      <c r="B27" s="35" t="n"/>
      <c r="C27" s="35" t="n"/>
      <c r="D27" s="35" t="n"/>
      <c r="E27" s="35" t="n"/>
      <c r="F27" s="35" t="n"/>
      <c r="G27" s="35" t="n"/>
      <c r="H27" s="35" t="n"/>
      <c r="I27" s="35" t="n"/>
      <c r="J27" s="35" t="n"/>
      <c r="K27" s="35" t="n"/>
      <c r="L27" s="36" t="n"/>
      <c r="M27" s="39" t="n"/>
      <c r="N27" s="39" t="n"/>
      <c r="O27" s="39" t="n"/>
      <c r="P27" s="39" t="n"/>
      <c r="Q27" s="39" t="n"/>
    </row>
    <row r="28" ht="24" customHeight="1">
      <c r="A28" s="56" t="n"/>
      <c r="B28" s="57" t="inlineStr">
        <is>
          <t>出精値引き</t>
        </is>
      </c>
      <c r="C28" s="58" t="n"/>
      <c r="D28" s="58" t="n"/>
      <c r="E28" s="58" t="n"/>
      <c r="F28" s="58" t="n"/>
      <c r="G28" s="58" t="n"/>
      <c r="H28" s="58" t="n"/>
      <c r="I28" s="58" t="n"/>
      <c r="J28" s="58" t="n"/>
      <c r="K28" s="59">
        <f>FLOOR(SUM(K22:K26),ROUND_UNIT)-SUM(K22:K26)</f>
        <v>-9428</v>
      </c>
      <c r="L28" s="60" t="inlineStr">
        <is>
          <t>端数調整</t>
        </is>
      </c>
      <c r="M28" s="61" t="inlineStr">
        <is>
          <t>出精値引き（粗利から控除）</t>
        </is>
      </c>
      <c r="N28" s="62" t="n">
        <v>0</v>
      </c>
      <c r="O28" s="63" t="n"/>
      <c r="P28" s="63" t="n"/>
      <c r="Q28" s="63" t="n"/>
    </row>
    <row r="29" ht="24" customHeight="1">
      <c r="A29" s="64" t="n"/>
      <c r="B29" s="65" t="inlineStr">
        <is>
          <t xml:space="preserve">　合　　計</t>
        </is>
      </c>
      <c r="C29" s="66" t="n"/>
      <c r="D29" s="66" t="n"/>
      <c r="E29" s="66" t="n"/>
      <c r="F29" s="66" t="n"/>
      <c r="G29" s="66" t="n"/>
      <c r="H29" s="66" t="n"/>
      <c r="I29" s="66" t="n"/>
      <c r="J29" s="66" t="n"/>
      <c r="K29" s="67">
        <f>SUM(K22:K28)</f>
        <v>30810000</v>
      </c>
      <c r="L29" s="68" t="inlineStr">
        <is>
          <t>（税別）</t>
        </is>
      </c>
      <c r="M29" s="69" t="inlineStr">
        <is>
          <t>合計（原価合計／粗利／粗利率）</t>
        </is>
      </c>
      <c r="N29" s="70">
        <f>SUM(N22:N28)</f>
        <v>26356298</v>
      </c>
      <c r="O29" s="41">
        <f>SUM(O22:O28)</f>
        <v>15969470</v>
      </c>
      <c r="P29" s="70">
        <f>K29-N29</f>
        <v>4453702</v>
      </c>
      <c r="Q29" s="71">
        <f>IF(K29=0,"",P29/K29)</f>
        <v>0.14455378123985718</v>
      </c>
    </row>
    <row r="30" ht="12" customHeight="1"/>
    <row r="31" ht="38.6" customHeight="1">
      <c r="A31" s="72" t="inlineStr">
        <is>
          <t>※</t>
        </is>
      </c>
      <c r="B31" s="73" t="inlineStr">
        <is>
          <t>本見積は機械設備図（図面No.06 若本建築事務所 '26.1.31）に基づき当社にて数量を拾い出して積算しております。金額変更案検討図（図面No.08）による追加・変更は内訳書 No.3（朱書き）に計上しています。実施数量との差異は別途精算とさせていただきます。</t>
        </is>
      </c>
    </row>
    <row r="32" ht="26.8" customHeight="1">
      <c r="A32" s="72" t="inlineStr">
        <is>
          <t>※</t>
        </is>
      </c>
      <c r="B32" s="73" t="inlineStr">
        <is>
          <t>空調機器・換気機器（室内機・室外機・リモコン・換気扇・全熱交換器・屋外機架台・ドレンアップ等 機器表記載の本体および付属品）は元請様手配のため含みません（据付・取付費のみ計上）。</t>
        </is>
      </c>
      <c r="M32" s="8" t="inlineStr">
        <is>
          <t>粗利率別 参考提出額（税別・万円未満切上げ）</t>
        </is>
      </c>
      <c r="N32" s="74" t="inlineStr">
        <is>
          <t>参考提出額</t>
        </is>
      </c>
      <c r="O32" s="74" t="inlineStr">
        <is>
          <t>必要提出係数</t>
        </is>
      </c>
    </row>
    <row r="33" ht="26.8" customHeight="1">
      <c r="A33" s="72" t="inlineStr">
        <is>
          <t>※</t>
        </is>
      </c>
      <c r="B33" s="73" t="inlineStr">
        <is>
          <t>機器の電源供給・接地等の電気工事、基礎・躯体貫通穴明け・スリーブ穴埋め・天井点検口等の建築工事、衛生・消火・ガス・浄化槽設備、自動制御設備は含みません。</t>
        </is>
      </c>
      <c r="M33" s="75" t="n">
        <v>0.1</v>
      </c>
      <c r="N33" s="41">
        <f>ROUNDUP($N$29/(1-M33),-4)</f>
        <v>29290000</v>
      </c>
      <c r="O33" s="76">
        <f>IF(SUM($N$22:$N$24)=0,"",ROUND(($N$29/(1-M33)-$N$25-$K$26)/SUM($N$22:$N$24),3))</f>
        <v>1.035</v>
      </c>
    </row>
    <row r="34" ht="14.9" customHeight="1">
      <c r="A34" s="72" t="inlineStr">
        <is>
          <t>※</t>
        </is>
      </c>
      <c r="B34" s="73" t="inlineStr">
        <is>
          <t>機器・資材の揚重機（クレーン・レッカー等）、仮設設備、産業廃棄物の処分は元請様にてご手配・ご負担願います。</t>
        </is>
      </c>
      <c r="M34" s="75" t="n">
        <v>0.15</v>
      </c>
      <c r="N34" s="41">
        <f>ROUNDUP($N$29/(1-M34),-4)</f>
        <v>31010000</v>
      </c>
      <c r="O34" s="76">
        <f>IF(SUM($N$22:$N$24)=0,"",ROUND(($N$29/(1-M34)-$N$25-$K$26)/SUM($N$22:$N$24),3))</f>
        <v>1.108</v>
      </c>
    </row>
    <row r="35" ht="26.8" customHeight="1">
      <c r="A35" s="72" t="inlineStr">
        <is>
          <t>※</t>
        </is>
      </c>
      <c r="B35" s="73" t="inlineStr">
        <is>
          <t>一式計上および想定数量の項目は別紙「御見積条件」記載の前提にて計上しており、実数量確定後に精算させていただきます。</t>
        </is>
      </c>
      <c r="M35" s="75" t="n">
        <v>0.2</v>
      </c>
      <c r="N35" s="41">
        <f>ROUNDUP($N$29/(1-M35),-4)</f>
        <v>32950000</v>
      </c>
      <c r="O35" s="76">
        <f>IF(SUM($N$22:$N$24)=0,"",ROUND(($N$29/(1-M35)-$N$25-$K$26)/SUM($N$22:$N$24),3))</f>
        <v>1.19</v>
      </c>
    </row>
    <row r="36" ht="14.9" customHeight="1">
      <c r="A36" s="72" t="inlineStr">
        <is>
          <t>※</t>
        </is>
      </c>
      <c r="B36" s="73" t="inlineStr">
        <is>
          <t>本見積書に記載なき事項については別途とさせて頂きます。工事に係る電気・水道は無償支給願います。</t>
        </is>
      </c>
      <c r="M36" s="75" t="n">
        <v>0.25</v>
      </c>
      <c r="N36" s="41">
        <f>ROUNDUP($N$29/(1-M36),-4)</f>
        <v>35150000</v>
      </c>
      <c r="O36" s="76">
        <f>IF(SUM($N$22:$N$24)=0,"",ROUND(($N$29/(1-M36)-$N$25-$K$26)/SUM($N$22:$N$24),3))</f>
        <v>1.282</v>
      </c>
    </row>
    <row r="37" ht="26.8" customHeight="1">
      <c r="A37" s="72" t="inlineStr">
        <is>
          <t>※</t>
        </is>
      </c>
      <c r="B37" s="73" t="inlineStr">
        <is>
          <t>本見積金額には消費税は含まれておりません。有効期限内でも銅管・鋼材等の市況が著しく変動した場合は再見積をさせていただくことがあります。</t>
        </is>
      </c>
      <c r="M37" s="75" t="n">
        <v>0.3</v>
      </c>
      <c r="N37" s="41">
        <f>ROUNDUP($N$29/(1-M37),-4)</f>
        <v>37660000</v>
      </c>
      <c r="O37" s="76">
        <f>IF(SUM($N$22:$N$24)=0,"",ROUND(($N$29/(1-M37)-$N$25-$K$26)/SUM($N$22:$N$24),3))</f>
        <v>1.388</v>
      </c>
    </row>
    <row r="38" ht="14.9" customHeight="1">
      <c r="A38" s="72" t="inlineStr">
        <is>
          <t>※</t>
        </is>
      </c>
      <c r="B38" s="73" t="inlineStr">
        <is>
          <t>詳細条件は別紙「御見積条件」をご参照ください。</t>
        </is>
      </c>
      <c r="M38" s="23" t="inlineStr">
        <is>
          <t>※ 必要提出係数は諸経費を現状額に固定した場合の目安</t>
        </is>
      </c>
    </row>
  </sheetData>
  <mergeCells count="45">
    <mergeCell ref="B35:L35"/>
    <mergeCell ref="A15:B15"/>
    <mergeCell ref="D12:G12"/>
    <mergeCell ref="B25:F25"/>
    <mergeCell ref="I27:J27"/>
    <mergeCell ref="D17:L17"/>
    <mergeCell ref="J4:L4"/>
    <mergeCell ref="B22:F22"/>
    <mergeCell ref="I26:J26"/>
    <mergeCell ref="B27:F27"/>
    <mergeCell ref="D16:L16"/>
    <mergeCell ref="D14:G14"/>
    <mergeCell ref="B31:L31"/>
    <mergeCell ref="A16:B16"/>
    <mergeCell ref="B21:L21"/>
    <mergeCell ref="A5:F5"/>
    <mergeCell ref="I25:J25"/>
    <mergeCell ref="A1:L2"/>
    <mergeCell ref="B7:E7"/>
    <mergeCell ref="B23:F23"/>
    <mergeCell ref="I22:J22"/>
    <mergeCell ref="I28:J28"/>
    <mergeCell ref="A12:B12"/>
    <mergeCell ref="D15:L15"/>
    <mergeCell ref="B29:F29"/>
    <mergeCell ref="B38:L38"/>
    <mergeCell ref="I24:J24"/>
    <mergeCell ref="B28:F28"/>
    <mergeCell ref="A9:F9"/>
    <mergeCell ref="B19:F19"/>
    <mergeCell ref="B34:L34"/>
    <mergeCell ref="B37:L37"/>
    <mergeCell ref="A14:B14"/>
    <mergeCell ref="I23:J23"/>
    <mergeCell ref="D13:G13"/>
    <mergeCell ref="A17:B17"/>
    <mergeCell ref="I29:J29"/>
    <mergeCell ref="B24:F24"/>
    <mergeCell ref="B33:L33"/>
    <mergeCell ref="I19:J19"/>
    <mergeCell ref="B20:L20"/>
    <mergeCell ref="B36:L36"/>
    <mergeCell ref="B32:L32"/>
    <mergeCell ref="B26:F26"/>
    <mergeCell ref="K3:L3"/>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S58"/>
  <sheetViews>
    <sheetView showGridLines="0" tabSelected="0" workbookViewId="0">
      <selection activeCell="A1" sqref="A1"/>
    </sheetView>
  </sheetViews>
  <sheetFormatPr baseColWidth="8" defaultRowHeight="15"/>
  <cols>
    <col width="4" customWidth="1" min="1" max="1"/>
    <col width="27" customWidth="1" min="2" max="2"/>
    <col width="24" customWidth="1" min="3" max="3"/>
    <col width="4" customWidth="1" min="4" max="4"/>
    <col width="8" customWidth="1" min="5" max="5"/>
    <col width="5" customWidth="1" min="6" max="6"/>
    <col width="10" customWidth="1" min="7" max="7"/>
    <col width="13" customWidth="1" min="8" max="8"/>
    <col width="15" customWidth="1" min="9" max="9"/>
    <col width="10" customWidth="1" min="10" max="10"/>
    <col width="10" customWidth="1" min="11" max="11"/>
    <col width="10" customWidth="1" min="12" max="12"/>
    <col width="7" customWidth="1" min="13" max="13"/>
    <col width="12" customWidth="1" min="14" max="14"/>
    <col width="12" customWidth="1" min="15" max="15"/>
    <col width="8" customWidth="1" min="16" max="16"/>
    <col width="12" customWidth="1" min="17" max="17"/>
    <col width="8" customWidth="1" min="18" max="18"/>
    <col width="40" customWidth="1" min="19" max="19"/>
  </cols>
  <sheetData>
    <row r="1" ht="26" customHeight="1">
      <c r="A1" s="77" t="inlineStr">
        <is>
          <t>内　訳　書</t>
        </is>
      </c>
      <c r="J1" s="78" t="inlineStr">
        <is>
          <t>原　価　内　訳　書（内部用・印刷範囲外）</t>
        </is>
      </c>
      <c r="K1" s="79" t="n"/>
      <c r="L1" s="79" t="n"/>
      <c r="M1" s="79" t="n"/>
      <c r="N1" s="79" t="n"/>
      <c r="O1" s="79" t="n"/>
      <c r="P1" s="79" t="n"/>
      <c r="Q1" s="79" t="n"/>
      <c r="R1" s="79" t="n"/>
      <c r="S1" s="79" t="n"/>
    </row>
    <row r="2" ht="18" customHeight="1">
      <c r="A2" s="22" t="inlineStr">
        <is>
          <t>工事名：（仮称）サンフレッチェ広島　三矢寮新築工事　空調設備工事</t>
        </is>
      </c>
      <c r="I2" s="2" t="inlineStr">
        <is>
          <t>内訳書 No.1</t>
        </is>
      </c>
    </row>
    <row r="3" ht="20" customHeight="1">
      <c r="A3" s="80" t="inlineStr">
        <is>
          <t>名　　称</t>
        </is>
      </c>
      <c r="B3" s="29" t="n"/>
      <c r="C3" s="81" t="inlineStr">
        <is>
          <t>規格・寸法</t>
        </is>
      </c>
      <c r="D3" s="29" t="n"/>
      <c r="E3" s="81" t="inlineStr">
        <is>
          <t>数 量</t>
        </is>
      </c>
      <c r="F3" s="81" t="inlineStr">
        <is>
          <t>単位</t>
        </is>
      </c>
      <c r="G3" s="81" t="inlineStr">
        <is>
          <t>単　価</t>
        </is>
      </c>
      <c r="H3" s="81" t="inlineStr">
        <is>
          <t>金　　額</t>
        </is>
      </c>
      <c r="I3" s="82" t="inlineStr">
        <is>
          <t>備　考</t>
        </is>
      </c>
      <c r="J3" s="83" t="inlineStr">
        <is>
          <t>材料単価</t>
        </is>
      </c>
      <c r="K3" s="83" t="inlineStr">
        <is>
          <t>労務単価</t>
        </is>
      </c>
      <c r="L3" s="83" t="inlineStr">
        <is>
          <t>基準単価</t>
        </is>
      </c>
      <c r="M3" s="83" t="inlineStr">
        <is>
          <t>提出係数</t>
        </is>
      </c>
      <c r="N3" s="83" t="inlineStr">
        <is>
          <t>基準原価</t>
        </is>
      </c>
      <c r="O3" s="83" t="inlineStr">
        <is>
          <t>労務費(提出)</t>
        </is>
      </c>
      <c r="P3" s="83" t="inlineStr">
        <is>
          <t>数量根拠</t>
        </is>
      </c>
      <c r="Q3" s="83" t="inlineStr">
        <is>
          <t>粗利</t>
        </is>
      </c>
      <c r="R3" s="83" t="inlineStr">
        <is>
          <t>粗利率</t>
        </is>
      </c>
      <c r="S3" s="83" t="inlineStr">
        <is>
          <t>前提・メモ（内部）</t>
        </is>
      </c>
    </row>
    <row r="4" ht="18" customHeight="1">
      <c r="A4" s="84" t="inlineStr">
        <is>
          <t>１．空調工事（機械設備図 06）</t>
        </is>
      </c>
      <c r="B4" s="37" t="n"/>
      <c r="C4" s="37" t="n"/>
      <c r="D4" s="37" t="n"/>
      <c r="E4" s="37" t="n"/>
      <c r="F4" s="37" t="n"/>
      <c r="G4" s="37" t="n"/>
      <c r="H4" s="37" t="n"/>
      <c r="I4" s="85" t="n"/>
      <c r="J4" s="37" t="n"/>
      <c r="K4" s="37" t="n"/>
      <c r="L4" s="37" t="n"/>
      <c r="M4" s="37" t="n"/>
      <c r="N4" s="37" t="n"/>
      <c r="O4" s="37" t="n"/>
      <c r="P4" s="37" t="n"/>
      <c r="Q4" s="37" t="n"/>
      <c r="R4" s="37" t="n"/>
      <c r="S4" s="37" t="n"/>
    </row>
    <row r="5" ht="18" customHeight="1">
      <c r="A5" s="86" t="n"/>
      <c r="B5" s="39" t="n"/>
      <c r="C5" s="39" t="n"/>
      <c r="D5" s="39" t="n"/>
      <c r="E5" s="39" t="n"/>
      <c r="F5" s="39" t="n"/>
      <c r="G5" s="39" t="n"/>
      <c r="H5" s="39" t="n"/>
      <c r="I5" s="87" t="n"/>
      <c r="J5" s="39" t="n"/>
      <c r="K5" s="39" t="n"/>
      <c r="L5" s="39" t="n"/>
      <c r="M5" s="39" t="n"/>
      <c r="N5" s="39" t="n"/>
      <c r="O5" s="39" t="n"/>
      <c r="P5" s="39" t="n"/>
      <c r="Q5" s="39" t="n"/>
      <c r="R5" s="39" t="n"/>
      <c r="S5" s="39" t="n"/>
    </row>
    <row r="6" ht="18" customHeight="1">
      <c r="A6" s="88" t="inlineStr">
        <is>
          <t>（1）空調機器据付（機器は元請様支給）</t>
        </is>
      </c>
      <c r="B6" s="39" t="n"/>
      <c r="C6" s="39" t="n"/>
      <c r="D6" s="39" t="n"/>
      <c r="E6" s="39" t="n"/>
      <c r="F6" s="39" t="n"/>
      <c r="G6" s="39" t="n"/>
      <c r="H6" s="39" t="n"/>
      <c r="I6" s="87" t="n"/>
      <c r="J6" s="39" t="n"/>
      <c r="K6" s="39" t="n"/>
      <c r="L6" s="39" t="n"/>
      <c r="M6" s="39" t="n"/>
      <c r="N6" s="39" t="n"/>
      <c r="O6" s="39" t="n"/>
      <c r="P6" s="39" t="n"/>
      <c r="Q6" s="39" t="n"/>
      <c r="R6" s="39" t="n"/>
      <c r="S6" s="39" t="n"/>
    </row>
    <row r="7" ht="18" customHeight="1">
      <c r="A7" s="89" t="inlineStr">
        <is>
          <t xml:space="preserve">　AC-1 室内機 据付</t>
        </is>
      </c>
      <c r="B7" s="39" t="n"/>
      <c r="C7" s="90" t="inlineStr">
        <is>
          <t>4方向天井カセット ツイン子機 PA-P280U7HDNB(10HP) 1F食堂・ﾐｰﾃｨﾝｸﾞ・ﾄﾚｰﾆﾝｸﾞ・ﾎｰﾙ</t>
        </is>
      </c>
      <c r="D7" s="39" t="n"/>
      <c r="E7" s="91" t="n">
        <v>8</v>
      </c>
      <c r="F7" s="92" t="inlineStr">
        <is>
          <t>台</t>
        </is>
      </c>
      <c r="G7" s="93">
        <f>IF(L7="","",ROUND(L7*M7,-1))</f>
        <v>60500</v>
      </c>
      <c r="H7" s="91">
        <f>IF(G7="","",ROUND(E7*G7,0))</f>
        <v>484000</v>
      </c>
      <c r="I7" s="94" t="inlineStr">
        <is>
          <t>本体は元請様支給</t>
        </is>
      </c>
      <c r="J7" s="95" t="n">
        <v>8200</v>
      </c>
      <c r="K7" s="95" t="n">
        <v>46800</v>
      </c>
      <c r="L7" s="93">
        <f>J7+K7</f>
        <v>55000</v>
      </c>
      <c r="M7" s="96">
        <f>COEF</f>
        <v>1.1</v>
      </c>
      <c r="N7" s="91">
        <f>E7*L7</f>
        <v>440000</v>
      </c>
      <c r="O7" s="91">
        <f>ROUND(E7*K7*M7,0)</f>
        <v>411840</v>
      </c>
      <c r="P7" s="97" t="inlineStr">
        <is>
          <t>図面カウント</t>
        </is>
      </c>
      <c r="Q7" s="91">
        <f>IF(H7="","",H7-N7)</f>
        <v>44000</v>
      </c>
      <c r="R7" s="98">
        <f>IF(OR(H7="",H7=0),"",Q7/H7)</f>
        <v>0.09090909090909091</v>
      </c>
      <c r="S7" s="99" t="inlineStr">
        <is>
          <t>4系統×2台 空調平面図1F</t>
        </is>
      </c>
    </row>
    <row r="8" ht="18" customHeight="1">
      <c r="A8" s="89" t="inlineStr">
        <is>
          <t xml:space="preserve">　AC-1 室外機 据付</t>
        </is>
      </c>
      <c r="B8" s="39" t="n"/>
      <c r="C8" s="90" t="inlineStr">
        <is>
          <t>10HP 屋外機架台(支給)上 1F地上</t>
        </is>
      </c>
      <c r="D8" s="39" t="n"/>
      <c r="E8" s="91" t="n">
        <v>4</v>
      </c>
      <c r="F8" s="92" t="inlineStr">
        <is>
          <t>台</t>
        </is>
      </c>
      <c r="G8" s="93">
        <f>IF(L8="","",ROUND(L8*M8,-1))</f>
        <v>55000</v>
      </c>
      <c r="H8" s="91">
        <f>IF(G8="","",ROUND(E8*G8,0))</f>
        <v>220000</v>
      </c>
      <c r="I8" s="94" t="inlineStr">
        <is>
          <t>本体は元請様支給</t>
        </is>
      </c>
      <c r="J8" s="95" t="n">
        <v>7500</v>
      </c>
      <c r="K8" s="95" t="n">
        <v>42500</v>
      </c>
      <c r="L8" s="93">
        <f>J8+K8</f>
        <v>50000</v>
      </c>
      <c r="M8" s="96">
        <f>COEF</f>
        <v>1.1</v>
      </c>
      <c r="N8" s="91">
        <f>E8*L8</f>
        <v>200000</v>
      </c>
      <c r="O8" s="91">
        <f>ROUND(E8*K8*M8,0)</f>
        <v>187000</v>
      </c>
      <c r="P8" s="97" t="inlineStr">
        <is>
          <t>図面カウント</t>
        </is>
      </c>
      <c r="Q8" s="91">
        <f>IF(H8="","",H8-N8)</f>
        <v>20000</v>
      </c>
      <c r="R8" s="98">
        <f>IF(OR(H8="",H8=0),"",Q8/H8)</f>
        <v>0.09090909090909091</v>
      </c>
      <c r="S8" s="99" t="inlineStr">
        <is>
          <t>基礎は建築工事</t>
        </is>
      </c>
    </row>
    <row r="9" ht="18" customHeight="1">
      <c r="A9" s="89" t="inlineStr">
        <is>
          <t xml:space="preserve">　AC-2 室内機 据付</t>
        </is>
      </c>
      <c r="B9" s="39" t="n"/>
      <c r="C9" s="90" t="inlineStr">
        <is>
          <t>4方向天井カセット ツイン子機 PA-P224U7HDNB(8HP) コーチルーム</t>
        </is>
      </c>
      <c r="D9" s="39" t="n"/>
      <c r="E9" s="91" t="n">
        <v>2</v>
      </c>
      <c r="F9" s="92" t="inlineStr">
        <is>
          <t>台</t>
        </is>
      </c>
      <c r="G9" s="93">
        <f>IF(L9="","",ROUND(L9*M9,-1))</f>
        <v>60500</v>
      </c>
      <c r="H9" s="91">
        <f>IF(G9="","",ROUND(E9*G9,0))</f>
        <v>121000</v>
      </c>
      <c r="I9" s="94" t="inlineStr">
        <is>
          <t>本体は元請様支給</t>
        </is>
      </c>
      <c r="J9" s="95" t="n">
        <v>8200</v>
      </c>
      <c r="K9" s="95" t="n">
        <v>46800</v>
      </c>
      <c r="L9" s="93">
        <f>J9+K9</f>
        <v>55000</v>
      </c>
      <c r="M9" s="96">
        <f>COEF</f>
        <v>1.1</v>
      </c>
      <c r="N9" s="91">
        <f>E9*L9</f>
        <v>110000</v>
      </c>
      <c r="O9" s="91">
        <f>ROUND(E9*K9*M9,0)</f>
        <v>102960</v>
      </c>
      <c r="P9" s="97" t="inlineStr">
        <is>
          <t>図面カウント</t>
        </is>
      </c>
      <c r="Q9" s="91">
        <f>IF(H9="","",H9-N9)</f>
        <v>11000</v>
      </c>
      <c r="R9" s="98">
        <f>IF(OR(H9="",H9=0),"",Q9/H9)</f>
        <v>0.09090909090909091</v>
      </c>
      <c r="S9" s="99" t="n"/>
    </row>
    <row r="10" ht="18" customHeight="1">
      <c r="A10" s="89" t="inlineStr">
        <is>
          <t xml:space="preserve">　AC-2 室外機 据付</t>
        </is>
      </c>
      <c r="B10" s="39" t="n"/>
      <c r="C10" s="90" t="inlineStr">
        <is>
          <t>8HP</t>
        </is>
      </c>
      <c r="D10" s="39" t="n"/>
      <c r="E10" s="91" t="n">
        <v>1</v>
      </c>
      <c r="F10" s="92" t="inlineStr">
        <is>
          <t>台</t>
        </is>
      </c>
      <c r="G10" s="93">
        <f>IF(L10="","",ROUND(L10*M10,-1))</f>
        <v>55000</v>
      </c>
      <c r="H10" s="91">
        <f>IF(G10="","",ROUND(E10*G10,0))</f>
        <v>55000</v>
      </c>
      <c r="I10" s="94" t="inlineStr">
        <is>
          <t>本体は元請様支給</t>
        </is>
      </c>
      <c r="J10" s="95" t="n">
        <v>7500</v>
      </c>
      <c r="K10" s="95" t="n">
        <v>42500</v>
      </c>
      <c r="L10" s="93">
        <f>J10+K10</f>
        <v>50000</v>
      </c>
      <c r="M10" s="96">
        <f>COEF</f>
        <v>1.1</v>
      </c>
      <c r="N10" s="91">
        <f>E10*L10</f>
        <v>50000</v>
      </c>
      <c r="O10" s="91">
        <f>ROUND(E10*K10*M10,0)</f>
        <v>46750</v>
      </c>
      <c r="P10" s="97" t="inlineStr">
        <is>
          <t>図面カウント</t>
        </is>
      </c>
      <c r="Q10" s="91">
        <f>IF(H10="","",H10-N10)</f>
        <v>5000</v>
      </c>
      <c r="R10" s="98">
        <f>IF(OR(H10="",H10=0),"",Q10/H10)</f>
        <v>0.09090909090909091</v>
      </c>
      <c r="S10" s="99" t="n"/>
    </row>
    <row r="11" ht="18" customHeight="1">
      <c r="A11" s="89" t="inlineStr">
        <is>
          <t xml:space="preserve">　AC-3 室内機 据付</t>
        </is>
      </c>
      <c r="B11" s="39" t="n"/>
      <c r="C11" s="90" t="inlineStr">
        <is>
          <t>4方向天井カセット ツイン子機 (4HP) 脱衣室</t>
        </is>
      </c>
      <c r="D11" s="39" t="n"/>
      <c r="E11" s="91" t="n">
        <v>2</v>
      </c>
      <c r="F11" s="92" t="inlineStr">
        <is>
          <t>台</t>
        </is>
      </c>
      <c r="G11" s="93">
        <f>IF(L11="","",ROUND(L11*M11,-1))</f>
        <v>49500</v>
      </c>
      <c r="H11" s="91">
        <f>IF(G11="","",ROUND(E11*G11,0))</f>
        <v>99000</v>
      </c>
      <c r="I11" s="94" t="inlineStr">
        <is>
          <t>本体は元請様支給</t>
        </is>
      </c>
      <c r="J11" s="95" t="n">
        <v>6800</v>
      </c>
      <c r="K11" s="95" t="n">
        <v>38200</v>
      </c>
      <c r="L11" s="93">
        <f>J11+K11</f>
        <v>45000</v>
      </c>
      <c r="M11" s="96">
        <f>COEF</f>
        <v>1.1</v>
      </c>
      <c r="N11" s="91">
        <f>E11*L11</f>
        <v>90000</v>
      </c>
      <c r="O11" s="91">
        <f>ROUND(E11*K11*M11,0)</f>
        <v>84040</v>
      </c>
      <c r="P11" s="97" t="inlineStr">
        <is>
          <t>図面カウント</t>
        </is>
      </c>
      <c r="Q11" s="91">
        <f>IF(H11="","",H11-N11)</f>
        <v>9000</v>
      </c>
      <c r="R11" s="98">
        <f>IF(OR(H11="",H11=0),"",Q11/H11)</f>
        <v>0.09090909090909091</v>
      </c>
      <c r="S11" s="99" t="n"/>
    </row>
    <row r="12" ht="18" customHeight="1">
      <c r="A12" s="89" t="inlineStr">
        <is>
          <t xml:space="preserve">　AC-3 室外機 据付</t>
        </is>
      </c>
      <c r="B12" s="39" t="n"/>
      <c r="C12" s="90" t="inlineStr">
        <is>
          <t>4HP 物干場側</t>
        </is>
      </c>
      <c r="D12" s="39" t="n"/>
      <c r="E12" s="91" t="n">
        <v>1</v>
      </c>
      <c r="F12" s="92" t="inlineStr">
        <is>
          <t>台</t>
        </is>
      </c>
      <c r="G12" s="93">
        <f>IF(L12="","",ROUND(L12*M12,-1))</f>
        <v>38500</v>
      </c>
      <c r="H12" s="91">
        <f>IF(G12="","",ROUND(E12*G12,0))</f>
        <v>38500</v>
      </c>
      <c r="I12" s="94" t="inlineStr">
        <is>
          <t>本体は元請様支給</t>
        </is>
      </c>
      <c r="J12" s="95" t="n">
        <v>5200</v>
      </c>
      <c r="K12" s="95" t="n">
        <v>29800</v>
      </c>
      <c r="L12" s="93">
        <f>J12+K12</f>
        <v>35000</v>
      </c>
      <c r="M12" s="96">
        <f>COEF</f>
        <v>1.1</v>
      </c>
      <c r="N12" s="91">
        <f>E12*L12</f>
        <v>35000</v>
      </c>
      <c r="O12" s="91">
        <f>ROUND(E12*K12*M12,0)</f>
        <v>32780</v>
      </c>
      <c r="P12" s="97" t="inlineStr">
        <is>
          <t>図面カウント</t>
        </is>
      </c>
      <c r="Q12" s="91">
        <f>IF(H12="","",H12-N12)</f>
        <v>3500</v>
      </c>
      <c r="R12" s="98">
        <f>IF(OR(H12="",H12=0),"",Q12/H12)</f>
        <v>0.09090909090909091</v>
      </c>
      <c r="S12" s="99" t="n"/>
    </row>
    <row r="13" ht="18" customHeight="1">
      <c r="A13" s="89" t="inlineStr">
        <is>
          <t xml:space="preserve">　AC-5 室内機 据付</t>
        </is>
      </c>
      <c r="B13" s="39" t="n"/>
      <c r="C13" s="90" t="inlineStr">
        <is>
          <t>4方向天井カセット PA-P56U7HNB(2HP) ケア室・管理人室</t>
        </is>
      </c>
      <c r="D13" s="39" t="n"/>
      <c r="E13" s="91" t="n">
        <v>2</v>
      </c>
      <c r="F13" s="92" t="inlineStr">
        <is>
          <t>台</t>
        </is>
      </c>
      <c r="G13" s="93">
        <f>IF(L13="","",ROUND(L13*M13,-1))</f>
        <v>49500</v>
      </c>
      <c r="H13" s="91">
        <f>IF(G13="","",ROUND(E13*G13,0))</f>
        <v>99000</v>
      </c>
      <c r="I13" s="94" t="inlineStr">
        <is>
          <t>本体は元請様支給</t>
        </is>
      </c>
      <c r="J13" s="95" t="n">
        <v>6800</v>
      </c>
      <c r="K13" s="95" t="n">
        <v>38200</v>
      </c>
      <c r="L13" s="93">
        <f>J13+K13</f>
        <v>45000</v>
      </c>
      <c r="M13" s="96">
        <f>COEF</f>
        <v>1.1</v>
      </c>
      <c r="N13" s="91">
        <f>E13*L13</f>
        <v>90000</v>
      </c>
      <c r="O13" s="91">
        <f>ROUND(E13*K13*M13,0)</f>
        <v>84040</v>
      </c>
      <c r="P13" s="97" t="inlineStr">
        <is>
          <t>図面カウント</t>
        </is>
      </c>
      <c r="Q13" s="91">
        <f>IF(H13="","",H13-N13)</f>
        <v>9000</v>
      </c>
      <c r="R13" s="98">
        <f>IF(OR(H13="",H13=0),"",Q13/H13)</f>
        <v>0.09090909090909091</v>
      </c>
      <c r="S13" s="99" t="n"/>
    </row>
    <row r="14" ht="18" customHeight="1">
      <c r="A14" s="89" t="inlineStr">
        <is>
          <t xml:space="preserve">　AC-5 室外機 据付</t>
        </is>
      </c>
      <c r="B14" s="39" t="n"/>
      <c r="C14" s="90" t="inlineStr">
        <is>
          <t>2HP</t>
        </is>
      </c>
      <c r="D14" s="39" t="n"/>
      <c r="E14" s="91" t="n">
        <v>2</v>
      </c>
      <c r="F14" s="92" t="inlineStr">
        <is>
          <t>台</t>
        </is>
      </c>
      <c r="G14" s="93">
        <f>IF(L14="","",ROUND(L14*M14,-1))</f>
        <v>38500</v>
      </c>
      <c r="H14" s="91">
        <f>IF(G14="","",ROUND(E14*G14,0))</f>
        <v>77000</v>
      </c>
      <c r="I14" s="94" t="inlineStr">
        <is>
          <t>本体は元請様支給</t>
        </is>
      </c>
      <c r="J14" s="95" t="n">
        <v>5200</v>
      </c>
      <c r="K14" s="95" t="n">
        <v>29800</v>
      </c>
      <c r="L14" s="93">
        <f>J14+K14</f>
        <v>35000</v>
      </c>
      <c r="M14" s="96">
        <f>COEF</f>
        <v>1.1</v>
      </c>
      <c r="N14" s="91">
        <f>E14*L14</f>
        <v>70000</v>
      </c>
      <c r="O14" s="91">
        <f>ROUND(E14*K14*M14,0)</f>
        <v>65560</v>
      </c>
      <c r="P14" s="97" t="inlineStr">
        <is>
          <t>図面カウント</t>
        </is>
      </c>
      <c r="Q14" s="91">
        <f>IF(H14="","",H14-N14)</f>
        <v>7000</v>
      </c>
      <c r="R14" s="98">
        <f>IF(OR(H14="",H14=0),"",Q14/H14)</f>
        <v>0.09090909090909091</v>
      </c>
      <c r="S14" s="99" t="n"/>
    </row>
    <row r="15" ht="18" customHeight="1">
      <c r="A15" s="89" t="inlineStr">
        <is>
          <t xml:space="preserve">　AC-6 室内機 据付</t>
        </is>
      </c>
      <c r="B15" s="39" t="n"/>
      <c r="C15" s="90" t="inlineStr">
        <is>
          <t>天吊形厨房用 PA-P140V7HNB(5HP) 厨房</t>
        </is>
      </c>
      <c r="D15" s="39" t="n"/>
      <c r="E15" s="91" t="n">
        <v>1</v>
      </c>
      <c r="F15" s="92" t="inlineStr">
        <is>
          <t>台</t>
        </is>
      </c>
      <c r="G15" s="93">
        <f>IF(L15="","",ROUND(L15*M15,-1))</f>
        <v>55000</v>
      </c>
      <c r="H15" s="91">
        <f>IF(G15="","",ROUND(E15*G15,0))</f>
        <v>55000</v>
      </c>
      <c r="I15" s="94" t="inlineStr">
        <is>
          <t>本体は元請様支給</t>
        </is>
      </c>
      <c r="J15" s="95" t="n">
        <v>7500</v>
      </c>
      <c r="K15" s="95" t="n">
        <v>42500</v>
      </c>
      <c r="L15" s="93">
        <f>J15+K15</f>
        <v>50000</v>
      </c>
      <c r="M15" s="96">
        <f>COEF</f>
        <v>1.1</v>
      </c>
      <c r="N15" s="91">
        <f>E15*L15</f>
        <v>50000</v>
      </c>
      <c r="O15" s="91">
        <f>ROUND(E15*K15*M15,0)</f>
        <v>46750</v>
      </c>
      <c r="P15" s="97" t="inlineStr">
        <is>
          <t>図面カウント</t>
        </is>
      </c>
      <c r="Q15" s="91">
        <f>IF(H15="","",H15-N15)</f>
        <v>5000</v>
      </c>
      <c r="R15" s="98">
        <f>IF(OR(H15="",H15=0),"",Q15/H15)</f>
        <v>0.09090909090909091</v>
      </c>
      <c r="S15" s="99" t="n"/>
    </row>
    <row r="16" ht="18" customHeight="1">
      <c r="A16" s="89" t="inlineStr">
        <is>
          <t xml:space="preserve">　AC-6 室外機 据付</t>
        </is>
      </c>
      <c r="B16" s="39" t="n"/>
      <c r="C16" s="90" t="inlineStr">
        <is>
          <t>5HP</t>
        </is>
      </c>
      <c r="D16" s="39" t="n"/>
      <c r="E16" s="91" t="n">
        <v>1</v>
      </c>
      <c r="F16" s="92" t="inlineStr">
        <is>
          <t>台</t>
        </is>
      </c>
      <c r="G16" s="93">
        <f>IF(L16="","",ROUND(L16*M16,-1))</f>
        <v>38500</v>
      </c>
      <c r="H16" s="91">
        <f>IF(G16="","",ROUND(E16*G16,0))</f>
        <v>38500</v>
      </c>
      <c r="I16" s="94" t="inlineStr">
        <is>
          <t>本体は元請様支給</t>
        </is>
      </c>
      <c r="J16" s="95" t="n">
        <v>5200</v>
      </c>
      <c r="K16" s="95" t="n">
        <v>29800</v>
      </c>
      <c r="L16" s="93">
        <f>J16+K16</f>
        <v>35000</v>
      </c>
      <c r="M16" s="96">
        <f>COEF</f>
        <v>1.1</v>
      </c>
      <c r="N16" s="91">
        <f>E16*L16</f>
        <v>35000</v>
      </c>
      <c r="O16" s="91">
        <f>ROUND(E16*K16*M16,0)</f>
        <v>32780</v>
      </c>
      <c r="P16" s="97" t="inlineStr">
        <is>
          <t>図面カウント</t>
        </is>
      </c>
      <c r="Q16" s="91">
        <f>IF(H16="","",H16-N16)</f>
        <v>3500</v>
      </c>
      <c r="R16" s="98">
        <f>IF(OR(H16="",H16=0),"",Q16/H16)</f>
        <v>0.09090909090909091</v>
      </c>
      <c r="S16" s="99" t="n"/>
    </row>
    <row r="17" ht="18" customHeight="1">
      <c r="A17" s="89" t="inlineStr">
        <is>
          <t xml:space="preserve">　AC-7 室内機 据付</t>
        </is>
      </c>
      <c r="B17" s="39" t="n"/>
      <c r="C17" s="90" t="inlineStr">
        <is>
          <t>2方向天井カセット PA-P50L7HNB(1.8HP) 面談室</t>
        </is>
      </c>
      <c r="D17" s="39" t="n"/>
      <c r="E17" s="91" t="n">
        <v>1</v>
      </c>
      <c r="F17" s="92" t="inlineStr">
        <is>
          <t>台</t>
        </is>
      </c>
      <c r="G17" s="93">
        <f>IF(L17="","",ROUND(L17*M17,-1))</f>
        <v>49500</v>
      </c>
      <c r="H17" s="91">
        <f>IF(G17="","",ROUND(E17*G17,0))</f>
        <v>49500</v>
      </c>
      <c r="I17" s="94" t="inlineStr">
        <is>
          <t>本体は元請様支給</t>
        </is>
      </c>
      <c r="J17" s="95" t="n">
        <v>6800</v>
      </c>
      <c r="K17" s="95" t="n">
        <v>38200</v>
      </c>
      <c r="L17" s="93">
        <f>J17+K17</f>
        <v>45000</v>
      </c>
      <c r="M17" s="96">
        <f>COEF</f>
        <v>1.1</v>
      </c>
      <c r="N17" s="91">
        <f>E17*L17</f>
        <v>45000</v>
      </c>
      <c r="O17" s="91">
        <f>ROUND(E17*K17*M17,0)</f>
        <v>42020</v>
      </c>
      <c r="P17" s="97" t="inlineStr">
        <is>
          <t>図面カウント</t>
        </is>
      </c>
      <c r="Q17" s="91">
        <f>IF(H17="","",H17-N17)</f>
        <v>4500</v>
      </c>
      <c r="R17" s="98">
        <f>IF(OR(H17="",H17=0),"",Q17/H17)</f>
        <v>0.09090909090909091</v>
      </c>
      <c r="S17" s="99" t="n"/>
    </row>
    <row r="18" ht="18" customHeight="1">
      <c r="A18" s="89" t="inlineStr">
        <is>
          <t xml:space="preserve">　AC-7 室外機 据付</t>
        </is>
      </c>
      <c r="B18" s="39" t="n"/>
      <c r="C18" s="90" t="inlineStr">
        <is>
          <t>1.8HP</t>
        </is>
      </c>
      <c r="D18" s="39" t="n"/>
      <c r="E18" s="91" t="n">
        <v>1</v>
      </c>
      <c r="F18" s="92" t="inlineStr">
        <is>
          <t>台</t>
        </is>
      </c>
      <c r="G18" s="93">
        <f>IF(L18="","",ROUND(L18*M18,-1))</f>
        <v>38500</v>
      </c>
      <c r="H18" s="91">
        <f>IF(G18="","",ROUND(E18*G18,0))</f>
        <v>38500</v>
      </c>
      <c r="I18" s="94" t="inlineStr">
        <is>
          <t>本体は元請様支給</t>
        </is>
      </c>
      <c r="J18" s="95" t="n">
        <v>5200</v>
      </c>
      <c r="K18" s="95" t="n">
        <v>29800</v>
      </c>
      <c r="L18" s="93">
        <f>J18+K18</f>
        <v>35000</v>
      </c>
      <c r="M18" s="96">
        <f>COEF</f>
        <v>1.1</v>
      </c>
      <c r="N18" s="91">
        <f>E18*L18</f>
        <v>35000</v>
      </c>
      <c r="O18" s="91">
        <f>ROUND(E18*K18*M18,0)</f>
        <v>32780</v>
      </c>
      <c r="P18" s="97" t="inlineStr">
        <is>
          <t>図面カウント</t>
        </is>
      </c>
      <c r="Q18" s="91">
        <f>IF(H18="","",H18-N18)</f>
        <v>3500</v>
      </c>
      <c r="R18" s="98">
        <f>IF(OR(H18="",H18=0),"",Q18/H18)</f>
        <v>0.09090909090909091</v>
      </c>
      <c r="S18" s="99" t="n"/>
    </row>
    <row r="19" ht="18" customHeight="1">
      <c r="A19" s="89" t="inlineStr">
        <is>
          <t xml:space="preserve">　AC-8 室内機 据付</t>
        </is>
      </c>
      <c r="B19" s="39" t="n"/>
      <c r="C19" s="90" t="inlineStr">
        <is>
          <t>ビルトインダクト PA-P56FE7HNBC(2HP) 厨房</t>
        </is>
      </c>
      <c r="D19" s="39" t="n"/>
      <c r="E19" s="91" t="n">
        <v>1</v>
      </c>
      <c r="F19" s="92" t="inlineStr">
        <is>
          <t>台</t>
        </is>
      </c>
      <c r="G19" s="93">
        <f>IF(L19="","",ROUND(L19*M19,-1))</f>
        <v>55000</v>
      </c>
      <c r="H19" s="91">
        <f>IF(G19="","",ROUND(E19*G19,0))</f>
        <v>55000</v>
      </c>
      <c r="I19" s="94" t="inlineStr">
        <is>
          <t>本体は元請様支給</t>
        </is>
      </c>
      <c r="J19" s="95" t="n">
        <v>7500</v>
      </c>
      <c r="K19" s="95" t="n">
        <v>42500</v>
      </c>
      <c r="L19" s="93">
        <f>J19+K19</f>
        <v>50000</v>
      </c>
      <c r="M19" s="96">
        <f>COEF</f>
        <v>1.1</v>
      </c>
      <c r="N19" s="91">
        <f>E19*L19</f>
        <v>50000</v>
      </c>
      <c r="O19" s="91">
        <f>ROUND(E19*K19*M19,0)</f>
        <v>46750</v>
      </c>
      <c r="P19" s="97" t="inlineStr">
        <is>
          <t>図面カウント</t>
        </is>
      </c>
      <c r="Q19" s="91">
        <f>IF(H19="","",H19-N19)</f>
        <v>5000</v>
      </c>
      <c r="R19" s="98">
        <f>IF(OR(H19="",H19=0),"",Q19/H19)</f>
        <v>0.09090909090909091</v>
      </c>
      <c r="S19" s="99" t="inlineStr">
        <is>
          <t>ダクト・制気口は A-4 に計上</t>
        </is>
      </c>
    </row>
    <row r="20" ht="18" customHeight="1">
      <c r="A20" s="89" t="inlineStr">
        <is>
          <t xml:space="preserve">　AC-8 室外機 据付</t>
        </is>
      </c>
      <c r="B20" s="39" t="n"/>
      <c r="C20" s="90" t="inlineStr">
        <is>
          <t>2HP</t>
        </is>
      </c>
      <c r="D20" s="39" t="n"/>
      <c r="E20" s="91" t="n">
        <v>1</v>
      </c>
      <c r="F20" s="92" t="inlineStr">
        <is>
          <t>台</t>
        </is>
      </c>
      <c r="G20" s="93">
        <f>IF(L20="","",ROUND(L20*M20,-1))</f>
        <v>38500</v>
      </c>
      <c r="H20" s="91">
        <f>IF(G20="","",ROUND(E20*G20,0))</f>
        <v>38500</v>
      </c>
      <c r="I20" s="94" t="inlineStr">
        <is>
          <t>本体は元請様支給</t>
        </is>
      </c>
      <c r="J20" s="95" t="n">
        <v>5200</v>
      </c>
      <c r="K20" s="95" t="n">
        <v>29800</v>
      </c>
      <c r="L20" s="93">
        <f>J20+K20</f>
        <v>35000</v>
      </c>
      <c r="M20" s="96">
        <f>COEF</f>
        <v>1.1</v>
      </c>
      <c r="N20" s="91">
        <f>E20*L20</f>
        <v>35000</v>
      </c>
      <c r="O20" s="91">
        <f>ROUND(E20*K20*M20,0)</f>
        <v>32780</v>
      </c>
      <c r="P20" s="97" t="inlineStr">
        <is>
          <t>図面カウント</t>
        </is>
      </c>
      <c r="Q20" s="91">
        <f>IF(H20="","",H20-N20)</f>
        <v>3500</v>
      </c>
      <c r="R20" s="98">
        <f>IF(OR(H20="",H20=0),"",Q20/H20)</f>
        <v>0.09090909090909091</v>
      </c>
      <c r="S20" s="99" t="n"/>
    </row>
    <row r="21" ht="18" customHeight="1">
      <c r="A21" s="89" t="inlineStr">
        <is>
          <t xml:space="preserve">　AC-9 室内機 据付</t>
        </is>
      </c>
      <c r="B21" s="39" t="n"/>
      <c r="C21" s="90" t="inlineStr">
        <is>
          <t>天吊形厨房用 PA-P80V7HNB(3HP) 弁当室</t>
        </is>
      </c>
      <c r="D21" s="39" t="n"/>
      <c r="E21" s="91" t="n">
        <v>1</v>
      </c>
      <c r="F21" s="92" t="inlineStr">
        <is>
          <t>台</t>
        </is>
      </c>
      <c r="G21" s="93">
        <f>IF(L21="","",ROUND(L21*M21,-1))</f>
        <v>55000</v>
      </c>
      <c r="H21" s="91">
        <f>IF(G21="","",ROUND(E21*G21,0))</f>
        <v>55000</v>
      </c>
      <c r="I21" s="94" t="inlineStr">
        <is>
          <t>本体は元請様支給</t>
        </is>
      </c>
      <c r="J21" s="95" t="n">
        <v>7500</v>
      </c>
      <c r="K21" s="95" t="n">
        <v>42500</v>
      </c>
      <c r="L21" s="93">
        <f>J21+K21</f>
        <v>50000</v>
      </c>
      <c r="M21" s="96">
        <f>COEF</f>
        <v>1.1</v>
      </c>
      <c r="N21" s="91">
        <f>E21*L21</f>
        <v>50000</v>
      </c>
      <c r="O21" s="91">
        <f>ROUND(E21*K21*M21,0)</f>
        <v>46750</v>
      </c>
      <c r="P21" s="97" t="inlineStr">
        <is>
          <t>図面カウント</t>
        </is>
      </c>
      <c r="Q21" s="91">
        <f>IF(H21="","",H21-N21)</f>
        <v>5000</v>
      </c>
      <c r="R21" s="98">
        <f>IF(OR(H21="",H21=0),"",Q21/H21)</f>
        <v>0.09090909090909091</v>
      </c>
      <c r="S21" s="99" t="n"/>
    </row>
    <row r="22" ht="18" customHeight="1">
      <c r="A22" s="89" t="inlineStr">
        <is>
          <t xml:space="preserve">　AC-9 室外機 据付</t>
        </is>
      </c>
      <c r="B22" s="39" t="n"/>
      <c r="C22" s="90" t="inlineStr">
        <is>
          <t>3HP</t>
        </is>
      </c>
      <c r="D22" s="39" t="n"/>
      <c r="E22" s="91" t="n">
        <v>1</v>
      </c>
      <c r="F22" s="92" t="inlineStr">
        <is>
          <t>台</t>
        </is>
      </c>
      <c r="G22" s="93">
        <f>IF(L22="","",ROUND(L22*M22,-1))</f>
        <v>38500</v>
      </c>
      <c r="H22" s="91">
        <f>IF(G22="","",ROUND(E22*G22,0))</f>
        <v>38500</v>
      </c>
      <c r="I22" s="94" t="inlineStr">
        <is>
          <t>本体は元請様支給</t>
        </is>
      </c>
      <c r="J22" s="95" t="n">
        <v>5200</v>
      </c>
      <c r="K22" s="95" t="n">
        <v>29800</v>
      </c>
      <c r="L22" s="93">
        <f>J22+K22</f>
        <v>35000</v>
      </c>
      <c r="M22" s="96">
        <f>COEF</f>
        <v>1.1</v>
      </c>
      <c r="N22" s="91">
        <f>E22*L22</f>
        <v>35000</v>
      </c>
      <c r="O22" s="91">
        <f>ROUND(E22*K22*M22,0)</f>
        <v>32780</v>
      </c>
      <c r="P22" s="97" t="inlineStr">
        <is>
          <t>図面カウント</t>
        </is>
      </c>
      <c r="Q22" s="91">
        <f>IF(H22="","",H22-N22)</f>
        <v>3500</v>
      </c>
      <c r="R22" s="98">
        <f>IF(OR(H22="",H22=0),"",Q22/H22)</f>
        <v>0.09090909090909091</v>
      </c>
      <c r="S22" s="99" t="n"/>
    </row>
    <row r="23" ht="18" customHeight="1">
      <c r="A23" s="89" t="inlineStr">
        <is>
          <t xml:space="preserve">　AC-10 室内機 据付</t>
        </is>
      </c>
      <c r="B23" s="39" t="n"/>
      <c r="C23" s="90" t="inlineStr">
        <is>
          <t>4方向天井カセット PA-P140U7HNB(5HP) 2F多目的スペース</t>
        </is>
      </c>
      <c r="D23" s="39" t="n"/>
      <c r="E23" s="91" t="n">
        <v>1</v>
      </c>
      <c r="F23" s="92" t="inlineStr">
        <is>
          <t>台</t>
        </is>
      </c>
      <c r="G23" s="93">
        <f>IF(L23="","",ROUND(L23*M23,-1))</f>
        <v>49500</v>
      </c>
      <c r="H23" s="91">
        <f>IF(G23="","",ROUND(E23*G23,0))</f>
        <v>49500</v>
      </c>
      <c r="I23" s="94" t="inlineStr">
        <is>
          <t>本体は元請様支給</t>
        </is>
      </c>
      <c r="J23" s="95" t="n">
        <v>6800</v>
      </c>
      <c r="K23" s="95" t="n">
        <v>38200</v>
      </c>
      <c r="L23" s="93">
        <f>J23+K23</f>
        <v>45000</v>
      </c>
      <c r="M23" s="96">
        <f>COEF</f>
        <v>1.1</v>
      </c>
      <c r="N23" s="91">
        <f>E23*L23</f>
        <v>45000</v>
      </c>
      <c r="O23" s="91">
        <f>ROUND(E23*K23*M23,0)</f>
        <v>42020</v>
      </c>
      <c r="P23" s="97" t="inlineStr">
        <is>
          <t>図面カウント</t>
        </is>
      </c>
      <c r="Q23" s="91">
        <f>IF(H23="","",H23-N23)</f>
        <v>4500</v>
      </c>
      <c r="R23" s="98">
        <f>IF(OR(H23="",H23=0),"",Q23/H23)</f>
        <v>0.09090909090909091</v>
      </c>
      <c r="S23" s="99" t="n"/>
    </row>
    <row r="24" ht="18" customHeight="1">
      <c r="A24" s="89" t="inlineStr">
        <is>
          <t xml:space="preserve">　AC-10 室外機 据付</t>
        </is>
      </c>
      <c r="B24" s="39" t="n"/>
      <c r="C24" s="90" t="inlineStr">
        <is>
          <t>5HP 1F地上(中庭2西側)</t>
        </is>
      </c>
      <c r="D24" s="39" t="n"/>
      <c r="E24" s="91" t="n">
        <v>1</v>
      </c>
      <c r="F24" s="92" t="inlineStr">
        <is>
          <t>台</t>
        </is>
      </c>
      <c r="G24" s="93">
        <f>IF(L24="","",ROUND(L24*M24,-1))</f>
        <v>38500</v>
      </c>
      <c r="H24" s="91">
        <f>IF(G24="","",ROUND(E24*G24,0))</f>
        <v>38500</v>
      </c>
      <c r="I24" s="94" t="inlineStr">
        <is>
          <t>本体は元請様支給</t>
        </is>
      </c>
      <c r="J24" s="95" t="n">
        <v>5200</v>
      </c>
      <c r="K24" s="95" t="n">
        <v>29800</v>
      </c>
      <c r="L24" s="93">
        <f>J24+K24</f>
        <v>35000</v>
      </c>
      <c r="M24" s="96">
        <f>COEF</f>
        <v>1.1</v>
      </c>
      <c r="N24" s="91">
        <f>E24*L24</f>
        <v>35000</v>
      </c>
      <c r="O24" s="91">
        <f>ROUND(E24*K24*M24,0)</f>
        <v>32780</v>
      </c>
      <c r="P24" s="97" t="inlineStr">
        <is>
          <t>図面カウント</t>
        </is>
      </c>
      <c r="Q24" s="91">
        <f>IF(H24="","",H24-N24)</f>
        <v>3500</v>
      </c>
      <c r="R24" s="98">
        <f>IF(OR(H24="",H24=0),"",Q24/H24)</f>
        <v>0.09090909090909091</v>
      </c>
      <c r="S24" s="99" t="n"/>
    </row>
    <row r="25" ht="18" customHeight="1">
      <c r="A25" s="89" t="inlineStr">
        <is>
          <t xml:space="preserve">　RAC-1 据付</t>
        </is>
      </c>
      <c r="B25" s="39" t="n"/>
      <c r="C25" s="90" t="inlineStr">
        <is>
          <t>壁掛ルームエアコン XCS-255DGX-W 内外機・ドレンアップ共 洗浄室・休憩室</t>
        </is>
      </c>
      <c r="D25" s="39" t="n"/>
      <c r="E25" s="91" t="n">
        <v>2</v>
      </c>
      <c r="F25" s="92" t="inlineStr">
        <is>
          <t>組</t>
        </is>
      </c>
      <c r="G25" s="93">
        <f>IF(L25="","",ROUND(L25*M25,-1))</f>
        <v>30800</v>
      </c>
      <c r="H25" s="91">
        <f>IF(G25="","",ROUND(E25*G25,0))</f>
        <v>61600</v>
      </c>
      <c r="I25" s="94" t="inlineStr">
        <is>
          <t>本体は元請様支給</t>
        </is>
      </c>
      <c r="J25" s="95" t="n">
        <v>4200</v>
      </c>
      <c r="K25" s="95" t="n">
        <v>23800</v>
      </c>
      <c r="L25" s="93">
        <f>J25+K25</f>
        <v>28000</v>
      </c>
      <c r="M25" s="96">
        <f>COEF</f>
        <v>1.1</v>
      </c>
      <c r="N25" s="91">
        <f>E25*L25</f>
        <v>56000</v>
      </c>
      <c r="O25" s="91">
        <f>ROUND(E25*K25*M25,0)</f>
        <v>52360</v>
      </c>
      <c r="P25" s="97" t="inlineStr">
        <is>
          <t>図面カウント</t>
        </is>
      </c>
      <c r="Q25" s="91">
        <f>IF(H25="","",H25-N25)</f>
        <v>5600</v>
      </c>
      <c r="R25" s="98">
        <f>IF(OR(H25="",H25=0),"",Q25/H25)</f>
        <v>0.09090909090909091</v>
      </c>
      <c r="S25" s="99" t="inlineStr">
        <is>
          <t>屋外機架台支給</t>
        </is>
      </c>
    </row>
    <row r="26" ht="18" customHeight="1">
      <c r="A26" s="89" t="inlineStr">
        <is>
          <t xml:space="preserve">　RAC-2 据付</t>
        </is>
      </c>
      <c r="B26" s="39" t="n"/>
      <c r="C26" s="90" t="inlineStr">
        <is>
          <t>壁掛ルームエアコン XCS-405DGX-W 内外機・ドレンアップ共 来客室・和室・洋室・DK</t>
        </is>
      </c>
      <c r="D26" s="39" t="n"/>
      <c r="E26" s="91" t="n">
        <v>8</v>
      </c>
      <c r="F26" s="92" t="inlineStr">
        <is>
          <t>組</t>
        </is>
      </c>
      <c r="G26" s="93">
        <f>IF(L26="","",ROUND(L26*M26,-1))</f>
        <v>30800</v>
      </c>
      <c r="H26" s="91">
        <f>IF(G26="","",ROUND(E26*G26,0))</f>
        <v>246400</v>
      </c>
      <c r="I26" s="94" t="inlineStr">
        <is>
          <t>本体は元請様支給</t>
        </is>
      </c>
      <c r="J26" s="95" t="n">
        <v>4200</v>
      </c>
      <c r="K26" s="95" t="n">
        <v>23800</v>
      </c>
      <c r="L26" s="93">
        <f>J26+K26</f>
        <v>28000</v>
      </c>
      <c r="M26" s="96">
        <f>COEF</f>
        <v>1.1</v>
      </c>
      <c r="N26" s="91">
        <f>E26*L26</f>
        <v>224000</v>
      </c>
      <c r="O26" s="91">
        <f>ROUND(E26*K26*M26,0)</f>
        <v>209440</v>
      </c>
      <c r="P26" s="97" t="inlineStr">
        <is>
          <t>図面カウント</t>
        </is>
      </c>
      <c r="Q26" s="91">
        <f>IF(H26="","",H26-N26)</f>
        <v>22400</v>
      </c>
      <c r="R26" s="98">
        <f>IF(OR(H26="",H26=0),"",Q26/H26)</f>
        <v>0.09090909090909091</v>
      </c>
      <c r="S26" s="99" t="inlineStr">
        <is>
          <t>屋外機架台(2段)支給</t>
        </is>
      </c>
    </row>
    <row r="27" ht="18" customHeight="1">
      <c r="A27" s="89" t="inlineStr">
        <is>
          <t xml:space="preserve">　RAC-3 据付</t>
        </is>
      </c>
      <c r="B27" s="39" t="n"/>
      <c r="C27" s="90" t="inlineStr">
        <is>
          <t>壁掛ルームエアコン XCS-405DGX2-W 内外機 2F寮室・予備室・コーチ宿泊室</t>
        </is>
      </c>
      <c r="D27" s="39" t="n"/>
      <c r="E27" s="91" t="n">
        <v>66</v>
      </c>
      <c r="F27" s="92" t="inlineStr">
        <is>
          <t>組</t>
        </is>
      </c>
      <c r="G27" s="93">
        <f>IF(L27="","",ROUND(L27*M27,-1))</f>
        <v>27500</v>
      </c>
      <c r="H27" s="91">
        <f>IF(G27="","",ROUND(E27*G27,0))</f>
        <v>1815000</v>
      </c>
      <c r="I27" s="94" t="inlineStr">
        <is>
          <t>本体は元請様支給</t>
        </is>
      </c>
      <c r="J27" s="95" t="n">
        <v>3800</v>
      </c>
      <c r="K27" s="95" t="n">
        <v>21200</v>
      </c>
      <c r="L27" s="93">
        <f>J27+K27</f>
        <v>25000</v>
      </c>
      <c r="M27" s="96">
        <f>COEF</f>
        <v>1.1</v>
      </c>
      <c r="N27" s="91">
        <f>E27*L27</f>
        <v>1650000</v>
      </c>
      <c r="O27" s="91">
        <f>ROUND(E27*K27*M27,0)</f>
        <v>1539120</v>
      </c>
      <c r="P27" s="97" t="inlineStr">
        <is>
          <t>図面カウント</t>
        </is>
      </c>
      <c r="Q27" s="91">
        <f>IF(H27="","",H27-N27)</f>
        <v>165000</v>
      </c>
      <c r="R27" s="98">
        <f>IF(OR(H27="",H27=0),"",Q27/H27)</f>
        <v>0.09090909090909091</v>
      </c>
      <c r="S27" s="99" t="inlineStr">
        <is>
          <t>屋外機はバルコニー2段架台(支給)</t>
        </is>
      </c>
    </row>
    <row r="28" ht="18" customHeight="1">
      <c r="A28" s="89" t="inlineStr">
        <is>
          <t xml:space="preserve">　RAC-4 据付</t>
        </is>
      </c>
      <c r="B28" s="39" t="n"/>
      <c r="C28" s="90" t="inlineStr">
        <is>
          <t>壁掛ルームエアコン XCS-635DGX2-W 内外機 2F寮務スタッフ室</t>
        </is>
      </c>
      <c r="D28" s="39" t="n"/>
      <c r="E28" s="91" t="n">
        <v>1</v>
      </c>
      <c r="F28" s="92" t="inlineStr">
        <is>
          <t>組</t>
        </is>
      </c>
      <c r="G28" s="93">
        <f>IF(L28="","",ROUND(L28*M28,-1))</f>
        <v>30800</v>
      </c>
      <c r="H28" s="91">
        <f>IF(G28="","",ROUND(E28*G28,0))</f>
        <v>30800</v>
      </c>
      <c r="I28" s="94" t="inlineStr">
        <is>
          <t>本体は元請様支給</t>
        </is>
      </c>
      <c r="J28" s="95" t="n">
        <v>4200</v>
      </c>
      <c r="K28" s="95" t="n">
        <v>23800</v>
      </c>
      <c r="L28" s="93">
        <f>J28+K28</f>
        <v>28000</v>
      </c>
      <c r="M28" s="96">
        <f>COEF</f>
        <v>1.1</v>
      </c>
      <c r="N28" s="91">
        <f>E28*L28</f>
        <v>28000</v>
      </c>
      <c r="O28" s="91">
        <f>ROUND(E28*K28*M28,0)</f>
        <v>26180</v>
      </c>
      <c r="P28" s="97" t="inlineStr">
        <is>
          <t>図面カウント</t>
        </is>
      </c>
      <c r="Q28" s="91">
        <f>IF(H28="","",H28-N28)</f>
        <v>2800</v>
      </c>
      <c r="R28" s="98">
        <f>IF(OR(H28="",H28=0),"",Q28/H28)</f>
        <v>0.09090909090909091</v>
      </c>
      <c r="S28" s="99" t="n"/>
    </row>
    <row r="29" ht="18" customHeight="1">
      <c r="A29" s="89" t="inlineStr">
        <is>
          <t xml:space="preserve">　CR-1 集中リモコン 取付</t>
        </is>
      </c>
      <c r="B29" s="39" t="n"/>
      <c r="C29" s="90" t="inlineStr">
        <is>
          <t>CZ-10ESM5・CZ-10ESW4 管理人室</t>
        </is>
      </c>
      <c r="D29" s="39" t="n"/>
      <c r="E29" s="91" t="n">
        <v>1</v>
      </c>
      <c r="F29" s="92" t="inlineStr">
        <is>
          <t>台</t>
        </is>
      </c>
      <c r="G29" s="93">
        <f>IF(L29="","",ROUND(L29*M29,-1))</f>
        <v>16500</v>
      </c>
      <c r="H29" s="91">
        <f>IF(G29="","",ROUND(E29*G29,0))</f>
        <v>16500</v>
      </c>
      <c r="I29" s="94" t="n"/>
      <c r="J29" s="95" t="n">
        <v>6000</v>
      </c>
      <c r="K29" s="95" t="n">
        <v>9000</v>
      </c>
      <c r="L29" s="93">
        <f>J29+K29</f>
        <v>15000</v>
      </c>
      <c r="M29" s="96">
        <f>COEF</f>
        <v>1.1</v>
      </c>
      <c r="N29" s="91">
        <f>E29*L29</f>
        <v>15000</v>
      </c>
      <c r="O29" s="91">
        <f>ROUND(E29*K29*M29,0)</f>
        <v>9900</v>
      </c>
      <c r="P29" s="97" t="inlineStr">
        <is>
          <t>図面カウント</t>
        </is>
      </c>
      <c r="Q29" s="91">
        <f>IF(H29="","",H29-N29)</f>
        <v>1500</v>
      </c>
      <c r="R29" s="98">
        <f>IF(OR(H29="",H29=0),"",Q29/H29)</f>
        <v>0.09090909090909091</v>
      </c>
      <c r="S29" s="99" t="inlineStr">
        <is>
          <t>配線は A-4</t>
        </is>
      </c>
    </row>
    <row r="30" ht="18" customHeight="1">
      <c r="A30" s="89" t="inlineStr">
        <is>
          <t xml:space="preserve">　機器搬入・揚重・養生</t>
        </is>
      </c>
      <c r="B30" s="39" t="n"/>
      <c r="C30" s="90" t="inlineStr">
        <is>
          <t>PAC 32台・RAC 154台分</t>
        </is>
      </c>
      <c r="D30" s="39" t="n"/>
      <c r="E30" s="91" t="n">
        <v>1</v>
      </c>
      <c r="F30" s="92" t="inlineStr">
        <is>
          <t>式</t>
        </is>
      </c>
      <c r="G30" s="93">
        <f>IF(L30="","",ROUND(L30*M30,-1))</f>
        <v>275000</v>
      </c>
      <c r="H30" s="91">
        <f>IF(G30="","",ROUND(E30*G30,0))</f>
        <v>275000</v>
      </c>
      <c r="I30" s="94" t="inlineStr">
        <is>
          <t>想定数量（別紙条件書）</t>
        </is>
      </c>
      <c r="J30" s="95" t="n">
        <v>25000</v>
      </c>
      <c r="K30" s="95" t="n">
        <v>225000</v>
      </c>
      <c r="L30" s="93">
        <f>J30+K30</f>
        <v>250000</v>
      </c>
      <c r="M30" s="96">
        <f>COEF</f>
        <v>1.1</v>
      </c>
      <c r="N30" s="91">
        <f>E30*L30</f>
        <v>250000</v>
      </c>
      <c r="O30" s="91">
        <f>ROUND(E30*K30*M30,0)</f>
        <v>247500</v>
      </c>
      <c r="P30" s="100" t="inlineStr">
        <is>
          <t>推測</t>
        </is>
      </c>
      <c r="Q30" s="91">
        <f>IF(H30="","",H30-N30)</f>
        <v>25000</v>
      </c>
      <c r="R30" s="98">
        <f>IF(OR(H30="",H30=0),"",Q30/H30)</f>
        <v>0.09090909090909091</v>
      </c>
      <c r="S30" s="99" t="n"/>
    </row>
    <row r="31" ht="18" customHeight="1">
      <c r="A31" s="88" t="inlineStr">
        <is>
          <t>（2）冷媒配管</t>
        </is>
      </c>
      <c r="B31" s="39" t="n"/>
      <c r="C31" s="39" t="n"/>
      <c r="D31" s="39" t="n"/>
      <c r="E31" s="39" t="n"/>
      <c r="F31" s="39" t="n"/>
      <c r="G31" s="39" t="n"/>
      <c r="H31" s="39" t="n"/>
      <c r="I31" s="87" t="n"/>
      <c r="J31" s="39" t="n"/>
      <c r="K31" s="39" t="n"/>
      <c r="L31" s="39" t="n"/>
      <c r="M31" s="39" t="n"/>
      <c r="N31" s="39" t="n"/>
      <c r="O31" s="39" t="n"/>
      <c r="P31" s="39" t="n"/>
      <c r="Q31" s="39" t="n"/>
      <c r="R31" s="39" t="n"/>
      <c r="S31" s="39" t="n"/>
    </row>
    <row r="32" ht="18" customHeight="1">
      <c r="A32" s="89" t="inlineStr">
        <is>
          <t xml:space="preserve">　冷媒配管 ①</t>
        </is>
      </c>
      <c r="B32" s="39" t="n"/>
      <c r="C32" s="90" t="inlineStr">
        <is>
          <t>被覆銅管 9.52/6.35 (RAC-1,2 1F 及び RAC-3 2F)</t>
        </is>
      </c>
      <c r="D32" s="39" t="n"/>
      <c r="E32" s="91" t="n">
        <v>360</v>
      </c>
      <c r="F32" s="92" t="inlineStr">
        <is>
          <t>m</t>
        </is>
      </c>
      <c r="G32" s="93">
        <f>IF(L32="","",ROUND(L32*M32,-1))</f>
        <v>4950</v>
      </c>
      <c r="H32" s="91">
        <f>IF(G32="","",ROUND(E32*G32,0))</f>
        <v>1782000</v>
      </c>
      <c r="I32" s="94" t="inlineStr">
        <is>
          <t>図面実測＋想定（別紙）</t>
        </is>
      </c>
      <c r="J32" s="95" t="n">
        <v>2500</v>
      </c>
      <c r="K32" s="95" t="n">
        <v>2000</v>
      </c>
      <c r="L32" s="93">
        <f>J32+K32</f>
        <v>4500</v>
      </c>
      <c r="M32" s="96">
        <f>COEF</f>
        <v>1.1</v>
      </c>
      <c r="N32" s="91">
        <f>E32*L32</f>
        <v>1620000</v>
      </c>
      <c r="O32" s="91">
        <f>ROUND(E32*K32*M32,0)</f>
        <v>792000</v>
      </c>
      <c r="P32" s="97" t="inlineStr">
        <is>
          <t>実測+推測</t>
        </is>
      </c>
      <c r="Q32" s="91">
        <f>IF(H32="","",H32-N32)</f>
        <v>162000</v>
      </c>
      <c r="R32" s="98">
        <f>IF(OR(H32="",H32=0),"",Q32/H32)</f>
        <v>0.09090909090909091</v>
      </c>
      <c r="S32" s="99" t="inlineStr">
        <is>
          <t>平面実測34.3m＋推測(RAC-3 66台×4m、来客室RAC-2 5台×4m、RAC-1補正8m、立上り10台×3m)</t>
        </is>
      </c>
    </row>
    <row r="33" ht="18" customHeight="1">
      <c r="A33" s="89" t="inlineStr">
        <is>
          <t xml:space="preserve">　冷媒配管 ②</t>
        </is>
      </c>
      <c r="B33" s="39" t="n"/>
      <c r="C33" s="90" t="inlineStr">
        <is>
          <t>被覆銅管 12.7/6.35 (AC-5,7,8 AC-3枝 RAC-4)</t>
        </is>
      </c>
      <c r="D33" s="39" t="n"/>
      <c r="E33" s="91" t="n">
        <v>77</v>
      </c>
      <c r="F33" s="92" t="inlineStr">
        <is>
          <t>m</t>
        </is>
      </c>
      <c r="G33" s="93">
        <f>IF(L33="","",ROUND(L33*M33,-1))</f>
        <v>5720</v>
      </c>
      <c r="H33" s="91">
        <f>IF(G33="","",ROUND(E33*G33,0))</f>
        <v>440440</v>
      </c>
      <c r="I33" s="94" t="inlineStr">
        <is>
          <t>図面実測＋想定（別紙）</t>
        </is>
      </c>
      <c r="J33" s="95" t="n">
        <v>2900</v>
      </c>
      <c r="K33" s="95" t="n">
        <v>2300</v>
      </c>
      <c r="L33" s="93">
        <f>J33+K33</f>
        <v>5200</v>
      </c>
      <c r="M33" s="96">
        <f>COEF</f>
        <v>1.1</v>
      </c>
      <c r="N33" s="91">
        <f>E33*L33</f>
        <v>400400</v>
      </c>
      <c r="O33" s="91">
        <f>ROUND(E33*K33*M33,0)</f>
        <v>194810</v>
      </c>
      <c r="P33" s="97" t="inlineStr">
        <is>
          <t>実測+推測</t>
        </is>
      </c>
      <c r="Q33" s="91">
        <f>IF(H33="","",H33-N33)</f>
        <v>40040</v>
      </c>
      <c r="R33" s="98">
        <f>IF(OR(H33="",H33=0),"",Q33/H33)</f>
        <v>0.09090909090909091</v>
      </c>
      <c r="S33" s="99" t="inlineStr">
        <is>
          <t>平面実測56m＋推測(立上り4系統×4m、RAC-4 5m)</t>
        </is>
      </c>
    </row>
    <row r="34" ht="18" customHeight="1">
      <c r="A34" s="89" t="inlineStr">
        <is>
          <t xml:space="preserve">　冷媒配管 ③</t>
        </is>
      </c>
      <c r="B34" s="39" t="n"/>
      <c r="C34" s="90" t="inlineStr">
        <is>
          <t>被覆銅管 15.88/9.52 (AC-1/2枝 AC-3主 AC-6,9,10)</t>
        </is>
      </c>
      <c r="D34" s="39" t="n"/>
      <c r="E34" s="91" t="n">
        <v>96</v>
      </c>
      <c r="F34" s="92" t="inlineStr">
        <is>
          <t>m</t>
        </is>
      </c>
      <c r="G34" s="93">
        <f>IF(L34="","",ROUND(L34*M34,-1))</f>
        <v>7150</v>
      </c>
      <c r="H34" s="91">
        <f>IF(G34="","",ROUND(E34*G34,0))</f>
        <v>686400</v>
      </c>
      <c r="I34" s="94" t="inlineStr">
        <is>
          <t>図面実測＋想定（別紙）</t>
        </is>
      </c>
      <c r="J34" s="95" t="n">
        <v>3600</v>
      </c>
      <c r="K34" s="95" t="n">
        <v>2900</v>
      </c>
      <c r="L34" s="93">
        <f>J34+K34</f>
        <v>6500</v>
      </c>
      <c r="M34" s="96">
        <f>COEF</f>
        <v>1.1</v>
      </c>
      <c r="N34" s="91">
        <f>E34*L34</f>
        <v>624000</v>
      </c>
      <c r="O34" s="91">
        <f>ROUND(E34*K34*M34,0)</f>
        <v>306240</v>
      </c>
      <c r="P34" s="97" t="inlineStr">
        <is>
          <t>実測+推測</t>
        </is>
      </c>
      <c r="Q34" s="91">
        <f>IF(H34="","",H34-N34)</f>
        <v>62400</v>
      </c>
      <c r="R34" s="98">
        <f>IF(OR(H34="",H34=0),"",Q34/H34)</f>
        <v>0.09090909090909091</v>
      </c>
      <c r="S34" s="99" t="inlineStr">
        <is>
          <t>平面実測72.2m＋推測(立上り3系統×4m、AC-10 2F分3.5m＋立管8m)</t>
        </is>
      </c>
    </row>
    <row r="35" ht="18" customHeight="1">
      <c r="A35" s="89" t="inlineStr">
        <is>
          <t xml:space="preserve">　冷媒配管 ⑥</t>
        </is>
      </c>
      <c r="B35" s="39" t="n"/>
      <c r="C35" s="90" t="inlineStr">
        <is>
          <t>被覆銅管 25.4/9.52 (AC-2主管)</t>
        </is>
      </c>
      <c r="D35" s="39" t="n"/>
      <c r="E35" s="91" t="n">
        <v>9</v>
      </c>
      <c r="F35" s="92" t="inlineStr">
        <is>
          <t>m</t>
        </is>
      </c>
      <c r="G35" s="93">
        <f>IF(L35="","",ROUND(L35*M35,-1))</f>
        <v>10450</v>
      </c>
      <c r="H35" s="91">
        <f>IF(G35="","",ROUND(E35*G35,0))</f>
        <v>94050</v>
      </c>
      <c r="I35" s="94" t="inlineStr">
        <is>
          <t>図面実測＋想定（別紙）</t>
        </is>
      </c>
      <c r="J35" s="95" t="n">
        <v>5200</v>
      </c>
      <c r="K35" s="95" t="n">
        <v>4300</v>
      </c>
      <c r="L35" s="93">
        <f>J35+K35</f>
        <v>9500</v>
      </c>
      <c r="M35" s="96">
        <f>COEF</f>
        <v>1.1</v>
      </c>
      <c r="N35" s="91">
        <f>E35*L35</f>
        <v>85500</v>
      </c>
      <c r="O35" s="91">
        <f>ROUND(E35*K35*M35,0)</f>
        <v>42570</v>
      </c>
      <c r="P35" s="97" t="inlineStr">
        <is>
          <t>実測+推測</t>
        </is>
      </c>
      <c r="Q35" s="91">
        <f>IF(H35="","",H35-N35)</f>
        <v>8550</v>
      </c>
      <c r="R35" s="98">
        <f>IF(OR(H35="",H35=0),"",Q35/H35)</f>
        <v>0.09090909090909091</v>
      </c>
      <c r="S35" s="99" t="inlineStr">
        <is>
          <t>平面実測5m＋立上り4m</t>
        </is>
      </c>
    </row>
    <row r="36" ht="18" customHeight="1">
      <c r="A36" s="89" t="inlineStr">
        <is>
          <t xml:space="preserve">　冷媒配管 ⑦</t>
        </is>
      </c>
      <c r="B36" s="39" t="n"/>
      <c r="C36" s="90" t="inlineStr">
        <is>
          <t>被覆銅管 25.4/12.7 (AC-1主管 4系統)</t>
        </is>
      </c>
      <c r="D36" s="39" t="n"/>
      <c r="E36" s="91" t="n">
        <v>57</v>
      </c>
      <c r="F36" s="92" t="inlineStr">
        <is>
          <t>m</t>
        </is>
      </c>
      <c r="G36" s="93">
        <f>IF(L36="","",ROUND(L36*M36,-1))</f>
        <v>11550</v>
      </c>
      <c r="H36" s="91">
        <f>IF(G36="","",ROUND(E36*G36,0))</f>
        <v>658350</v>
      </c>
      <c r="I36" s="94" t="inlineStr">
        <is>
          <t>図面実測＋想定（別紙）</t>
        </is>
      </c>
      <c r="J36" s="95" t="n">
        <v>5800</v>
      </c>
      <c r="K36" s="95" t="n">
        <v>4700</v>
      </c>
      <c r="L36" s="93">
        <f>J36+K36</f>
        <v>10500</v>
      </c>
      <c r="M36" s="96">
        <f>COEF</f>
        <v>1.1</v>
      </c>
      <c r="N36" s="91">
        <f>E36*L36</f>
        <v>598500</v>
      </c>
      <c r="O36" s="91">
        <f>ROUND(E36*K36*M36,0)</f>
        <v>294690</v>
      </c>
      <c r="P36" s="97" t="inlineStr">
        <is>
          <t>実測+推測</t>
        </is>
      </c>
      <c r="Q36" s="91">
        <f>IF(H36="","",H36-N36)</f>
        <v>59850</v>
      </c>
      <c r="R36" s="98">
        <f>IF(OR(H36="",H36=0),"",Q36/H36)</f>
        <v>0.09090909090909091</v>
      </c>
      <c r="S36" s="99" t="inlineStr">
        <is>
          <t>平面実測41m＋立上り4系統×4m</t>
        </is>
      </c>
    </row>
    <row r="37" ht="18" customHeight="1">
      <c r="A37" s="89" t="inlineStr">
        <is>
          <t xml:space="preserve">　冷媒配管 化粧ケース</t>
        </is>
      </c>
      <c r="B37" s="39" t="n"/>
      <c r="C37" s="90" t="inlineStr">
        <is>
          <t>屋外・屋内露出部 (管種凡例: 露出管は化粧ケース仕上)</t>
        </is>
      </c>
      <c r="D37" s="39" t="n"/>
      <c r="E37" s="91" t="n">
        <v>125</v>
      </c>
      <c r="F37" s="92" t="inlineStr">
        <is>
          <t>m</t>
        </is>
      </c>
      <c r="G37" s="93">
        <f>IF(L37="","",ROUND(L37*M37,-1))</f>
        <v>3300</v>
      </c>
      <c r="H37" s="91">
        <f>IF(G37="","",ROUND(E37*G37,0))</f>
        <v>412500</v>
      </c>
      <c r="I37" s="94" t="inlineStr">
        <is>
          <t>想定数量（別紙条件書）</t>
        </is>
      </c>
      <c r="J37" s="95" t="n">
        <v>1800</v>
      </c>
      <c r="K37" s="95" t="n">
        <v>1200</v>
      </c>
      <c r="L37" s="93">
        <f>J37+K37</f>
        <v>3000</v>
      </c>
      <c r="M37" s="96">
        <f>COEF</f>
        <v>1.1</v>
      </c>
      <c r="N37" s="91">
        <f>E37*L37</f>
        <v>375000</v>
      </c>
      <c r="O37" s="91">
        <f>ROUND(E37*K37*M37,0)</f>
        <v>165000</v>
      </c>
      <c r="P37" s="100" t="inlineStr">
        <is>
          <t>推測</t>
        </is>
      </c>
      <c r="Q37" s="91">
        <f>IF(H37="","",H37-N37)</f>
        <v>37500</v>
      </c>
      <c r="R37" s="98">
        <f>IF(OR(H37="",H37=0),"",Q37/H37)</f>
        <v>0.09090909090909091</v>
      </c>
      <c r="S37" s="99" t="inlineStr">
        <is>
          <t>PAC13+RAC1F10箇所×2.5m、RAC-3/4 67台×1.0m</t>
        </is>
      </c>
    </row>
    <row r="38" ht="18" customHeight="1">
      <c r="A38" s="89" t="inlineStr">
        <is>
          <t xml:space="preserve">　外壁貫通スリーブ材</t>
        </is>
      </c>
      <c r="B38" s="39" t="n"/>
      <c r="C38" s="90" t="inlineStr">
        <is>
          <t>VP100 冷媒・ドレン用 (穴明けは建築工事)</t>
        </is>
      </c>
      <c r="D38" s="39" t="n"/>
      <c r="E38" s="91" t="n">
        <v>90</v>
      </c>
      <c r="F38" s="92" t="inlineStr">
        <is>
          <t>箇所</t>
        </is>
      </c>
      <c r="G38" s="93">
        <f>IF(L38="","",ROUND(L38*M38,-1))</f>
        <v>2750</v>
      </c>
      <c r="H38" s="91">
        <f>IF(G38="","",ROUND(E38*G38,0))</f>
        <v>247500</v>
      </c>
      <c r="I38" s="94" t="inlineStr">
        <is>
          <t>想定数量（別紙条件書）</t>
        </is>
      </c>
      <c r="J38" s="95" t="n">
        <v>1300</v>
      </c>
      <c r="K38" s="95" t="n">
        <v>1200</v>
      </c>
      <c r="L38" s="93">
        <f>J38+K38</f>
        <v>2500</v>
      </c>
      <c r="M38" s="96">
        <f>COEF</f>
        <v>1.1</v>
      </c>
      <c r="N38" s="91">
        <f>E38*L38</f>
        <v>225000</v>
      </c>
      <c r="O38" s="91">
        <f>ROUND(E38*K38*M38,0)</f>
        <v>118800</v>
      </c>
      <c r="P38" s="100" t="inlineStr">
        <is>
          <t>推測</t>
        </is>
      </c>
      <c r="Q38" s="91">
        <f>IF(H38="","",H38-N38)</f>
        <v>22500</v>
      </c>
      <c r="R38" s="98">
        <f>IF(OR(H38="",H38=0),"",Q38/H38)</f>
        <v>0.09090909090909091</v>
      </c>
      <c r="S38" s="99" t="inlineStr">
        <is>
          <t>RAC77＋PAC13</t>
        </is>
      </c>
    </row>
    <row r="39" ht="18" customHeight="1">
      <c r="A39" s="89" t="inlineStr">
        <is>
          <t xml:space="preserve">　区画貫通処理</t>
        </is>
      </c>
      <c r="B39" s="39" t="n"/>
      <c r="C39" s="90" t="inlineStr">
        <is>
          <t>冷媒管 フィブロック(認定工法)</t>
        </is>
      </c>
      <c r="D39" s="39" t="n"/>
      <c r="E39" s="91" t="n">
        <v>2</v>
      </c>
      <c r="F39" s="92" t="inlineStr">
        <is>
          <t>箇所</t>
        </is>
      </c>
      <c r="G39" s="93">
        <f>IF(L39="","",ROUND(L39*M39,-1))</f>
        <v>13200</v>
      </c>
      <c r="H39" s="91">
        <f>IF(G39="","",ROUND(E39*G39,0))</f>
        <v>26400</v>
      </c>
      <c r="I39" s="94" t="inlineStr">
        <is>
          <t>図面実測数量</t>
        </is>
      </c>
      <c r="J39" s="95" t="n">
        <v>6000</v>
      </c>
      <c r="K39" s="95" t="n">
        <v>6000</v>
      </c>
      <c r="L39" s="93">
        <f>J39+K39</f>
        <v>12000</v>
      </c>
      <c r="M39" s="96">
        <f>COEF</f>
        <v>1.1</v>
      </c>
      <c r="N39" s="91">
        <f>E39*L39</f>
        <v>24000</v>
      </c>
      <c r="O39" s="91">
        <f>ROUND(E39*K39*M39,0)</f>
        <v>13200</v>
      </c>
      <c r="P39" s="97" t="inlineStr">
        <is>
          <t>実測</t>
        </is>
      </c>
      <c r="Q39" s="91">
        <f>IF(H39="","",H39-N39)</f>
        <v>2400</v>
      </c>
      <c r="R39" s="98">
        <f>IF(OR(H39="",H39=0),"",Q39/H39)</f>
        <v>0.09090909090909091</v>
      </c>
      <c r="S39" s="99" t="inlineStr">
        <is>
          <t>空調平面図1F ●区画貫通部 2箇所</t>
        </is>
      </c>
    </row>
    <row r="40" ht="18" customHeight="1">
      <c r="A40" s="89" t="inlineStr">
        <is>
          <t xml:space="preserve">　気密試験・真空引き・冷媒追加充填 作業</t>
        </is>
      </c>
      <c r="B40" s="39" t="n"/>
      <c r="C40" s="90" t="inlineStr">
        <is>
          <t>PAC 系統毎</t>
        </is>
      </c>
      <c r="D40" s="39" t="n"/>
      <c r="E40" s="91" t="n">
        <v>13</v>
      </c>
      <c r="F40" s="92" t="inlineStr">
        <is>
          <t>系統</t>
        </is>
      </c>
      <c r="G40" s="93">
        <f>IF(L40="","",ROUND(L40*M40,-1))</f>
        <v>16500</v>
      </c>
      <c r="H40" s="91">
        <f>IF(G40="","",ROUND(E40*G40,0))</f>
        <v>214500</v>
      </c>
      <c r="I40" s="94" t="n"/>
      <c r="J40" s="95" t="n">
        <v>13500</v>
      </c>
      <c r="K40" s="95" t="n">
        <v>1500</v>
      </c>
      <c r="L40" s="93">
        <f>J40+K40</f>
        <v>15000</v>
      </c>
      <c r="M40" s="96">
        <f>COEF</f>
        <v>1.1</v>
      </c>
      <c r="N40" s="91">
        <f>E40*L40</f>
        <v>195000</v>
      </c>
      <c r="O40" s="91">
        <f>ROUND(E40*K40*M40,0)</f>
        <v>21450</v>
      </c>
      <c r="P40" s="97" t="inlineStr">
        <is>
          <t>図面カウント</t>
        </is>
      </c>
      <c r="Q40" s="91">
        <f>IF(H40="","",H40-N40)</f>
        <v>19500</v>
      </c>
      <c r="R40" s="98">
        <f>IF(OR(H40="",H40=0),"",Q40/H40)</f>
        <v>0.09090909090909091</v>
      </c>
      <c r="S40" s="99" t="n"/>
    </row>
    <row r="41" ht="18" customHeight="1">
      <c r="A41" s="89" t="inlineStr">
        <is>
          <t xml:space="preserve">　冷媒追加充填 (冷媒代)</t>
        </is>
      </c>
      <c r="B41" s="39" t="n"/>
      <c r="C41" s="90" t="inlineStr">
        <is>
          <t>R32/R410A</t>
        </is>
      </c>
      <c r="D41" s="39" t="n"/>
      <c r="E41" s="91" t="n">
        <v>8</v>
      </c>
      <c r="F41" s="92" t="inlineStr">
        <is>
          <t>kg</t>
        </is>
      </c>
      <c r="G41" s="93">
        <f>IF(L41="","",ROUND(L41*M41,-1))</f>
        <v>6600</v>
      </c>
      <c r="H41" s="91">
        <f>IF(G41="","",ROUND(E41*G41,0))</f>
        <v>52800</v>
      </c>
      <c r="I41" s="94" t="inlineStr">
        <is>
          <t>想定数量（別紙条件書）</t>
        </is>
      </c>
      <c r="J41" s="95" t="n">
        <v>5400</v>
      </c>
      <c r="K41" s="95" t="n">
        <v>600</v>
      </c>
      <c r="L41" s="93">
        <f>J41+K41</f>
        <v>6000</v>
      </c>
      <c r="M41" s="96">
        <f>COEF</f>
        <v>1.1</v>
      </c>
      <c r="N41" s="91">
        <f>E41*L41</f>
        <v>48000</v>
      </c>
      <c r="O41" s="91">
        <f>ROUND(E41*K41*M41,0)</f>
        <v>5280</v>
      </c>
      <c r="P41" s="100" t="inlineStr">
        <is>
          <t>推測</t>
        </is>
      </c>
      <c r="Q41" s="91">
        <f>IF(H41="","",H41-N41)</f>
        <v>4800</v>
      </c>
      <c r="R41" s="98">
        <f>IF(OR(H41="",H41=0),"",Q41/H41)</f>
        <v>0.09090909090909091</v>
      </c>
      <c r="S41" s="99" t="inlineStr">
        <is>
          <t>配管延長より約20g/m換算</t>
        </is>
      </c>
    </row>
    <row r="42" ht="18" customHeight="1">
      <c r="A42" s="88" t="inlineStr">
        <is>
          <t>（3）ドレン配管</t>
        </is>
      </c>
      <c r="B42" s="39" t="n"/>
      <c r="C42" s="39" t="n"/>
      <c r="D42" s="39" t="n"/>
      <c r="E42" s="39" t="n"/>
      <c r="F42" s="39" t="n"/>
      <c r="G42" s="39" t="n"/>
      <c r="H42" s="39" t="n"/>
      <c r="I42" s="87" t="n"/>
      <c r="J42" s="39" t="n"/>
      <c r="K42" s="39" t="n"/>
      <c r="L42" s="39" t="n"/>
      <c r="M42" s="39" t="n"/>
      <c r="N42" s="39" t="n"/>
      <c r="O42" s="39" t="n"/>
      <c r="P42" s="39" t="n"/>
      <c r="Q42" s="39" t="n"/>
      <c r="R42" s="39" t="n"/>
      <c r="S42" s="39" t="n"/>
    </row>
    <row r="43" ht="18" customHeight="1">
      <c r="A43" s="89" t="inlineStr">
        <is>
          <t xml:space="preserve">　ドレン管 VP20</t>
        </is>
      </c>
      <c r="B43" s="39" t="n"/>
      <c r="C43" s="90" t="inlineStr">
        <is>
          <t>硬質塩化ビニル管 継手・支持共</t>
        </is>
      </c>
      <c r="D43" s="39" t="n"/>
      <c r="E43" s="91" t="n">
        <v>37</v>
      </c>
      <c r="F43" s="92" t="inlineStr">
        <is>
          <t>m</t>
        </is>
      </c>
      <c r="G43" s="93">
        <f>IF(L43="","",ROUND(L43*M43,-1))</f>
        <v>3080</v>
      </c>
      <c r="H43" s="91">
        <f>IF(G43="","",ROUND(E43*G43,0))</f>
        <v>113960</v>
      </c>
      <c r="I43" s="94" t="inlineStr">
        <is>
          <t>図面実測＋想定（別紙）</t>
        </is>
      </c>
      <c r="J43" s="95" t="n">
        <v>1400</v>
      </c>
      <c r="K43" s="95" t="n">
        <v>1400</v>
      </c>
      <c r="L43" s="93">
        <f>J43+K43</f>
        <v>2800</v>
      </c>
      <c r="M43" s="96">
        <f>COEF</f>
        <v>1.1</v>
      </c>
      <c r="N43" s="91">
        <f>E43*L43</f>
        <v>103600</v>
      </c>
      <c r="O43" s="91">
        <f>ROUND(E43*K43*M43,0)</f>
        <v>56980</v>
      </c>
      <c r="P43" s="97" t="inlineStr">
        <is>
          <t>実測+推測</t>
        </is>
      </c>
      <c r="Q43" s="91">
        <f>IF(H43="","",H43-N43)</f>
        <v>10360</v>
      </c>
      <c r="R43" s="98">
        <f>IF(OR(H43="",H43=0),"",Q43/H43)</f>
        <v>0.09090909090909091</v>
      </c>
      <c r="S43" s="99" t="inlineStr">
        <is>
          <t>平面実測7m＋推測(RAC-1/2 ドレンアップ吐出→屋外 10台×3m)</t>
        </is>
      </c>
    </row>
    <row r="44" ht="18" customHeight="1">
      <c r="A44" s="89" t="inlineStr">
        <is>
          <t xml:space="preserve">　ドレン管 VP25</t>
        </is>
      </c>
      <c r="B44" s="39" t="n"/>
      <c r="C44" s="90" t="inlineStr">
        <is>
          <t>硬質塩化ビニル管 継手・支持共</t>
        </is>
      </c>
      <c r="D44" s="39" t="n"/>
      <c r="E44" s="91" t="n">
        <v>94</v>
      </c>
      <c r="F44" s="92" t="inlineStr">
        <is>
          <t>m</t>
        </is>
      </c>
      <c r="G44" s="93">
        <f>IF(L44="","",ROUND(L44*M44,-1))</f>
        <v>3520</v>
      </c>
      <c r="H44" s="91">
        <f>IF(G44="","",ROUND(E44*G44,0))</f>
        <v>330880</v>
      </c>
      <c r="I44" s="94" t="inlineStr">
        <is>
          <t>図面実測＋想定（別紙）</t>
        </is>
      </c>
      <c r="J44" s="95" t="n">
        <v>1600</v>
      </c>
      <c r="K44" s="95" t="n">
        <v>1600</v>
      </c>
      <c r="L44" s="93">
        <f>J44+K44</f>
        <v>3200</v>
      </c>
      <c r="M44" s="96">
        <f>COEF</f>
        <v>1.1</v>
      </c>
      <c r="N44" s="91">
        <f>E44*L44</f>
        <v>300800</v>
      </c>
      <c r="O44" s="91">
        <f>ROUND(E44*K44*M44,0)</f>
        <v>165440</v>
      </c>
      <c r="P44" s="97" t="inlineStr">
        <is>
          <t>実測+推測</t>
        </is>
      </c>
      <c r="Q44" s="91">
        <f>IF(H44="","",H44-N44)</f>
        <v>30080</v>
      </c>
      <c r="R44" s="98">
        <f>IF(OR(H44="",H44=0),"",Q44/H44)</f>
        <v>0.09090909090909091</v>
      </c>
      <c r="S44" s="99" t="inlineStr">
        <is>
          <t>平面実測1F 87.3m・2F 6.1m(未判読分比例配分含む)</t>
        </is>
      </c>
    </row>
    <row r="45" ht="18" customHeight="1">
      <c r="A45" s="89" t="inlineStr">
        <is>
          <t xml:space="preserve">　ドレン管 VP40</t>
        </is>
      </c>
      <c r="B45" s="39" t="n"/>
      <c r="C45" s="90" t="inlineStr">
        <is>
          <t>硬質塩化ビニル管 継手・支持共</t>
        </is>
      </c>
      <c r="D45" s="39" t="n"/>
      <c r="E45" s="91" t="n">
        <v>68</v>
      </c>
      <c r="F45" s="92" t="inlineStr">
        <is>
          <t>m</t>
        </is>
      </c>
      <c r="G45" s="93">
        <f>IF(L45="","",ROUND(L45*M45,-1))</f>
        <v>4400</v>
      </c>
      <c r="H45" s="91">
        <f>IF(G45="","",ROUND(E45*G45,0))</f>
        <v>299200</v>
      </c>
      <c r="I45" s="94" t="inlineStr">
        <is>
          <t>図面実測＋想定（別紙）</t>
        </is>
      </c>
      <c r="J45" s="95" t="n">
        <v>2000</v>
      </c>
      <c r="K45" s="95" t="n">
        <v>2000</v>
      </c>
      <c r="L45" s="93">
        <f>J45+K45</f>
        <v>4000</v>
      </c>
      <c r="M45" s="96">
        <f>COEF</f>
        <v>1.1</v>
      </c>
      <c r="N45" s="91">
        <f>E45*L45</f>
        <v>272000</v>
      </c>
      <c r="O45" s="91">
        <f>ROUND(E45*K45*M45,0)</f>
        <v>149600</v>
      </c>
      <c r="P45" s="97" t="inlineStr">
        <is>
          <t>実測+推測</t>
        </is>
      </c>
      <c r="Q45" s="91">
        <f>IF(H45="","",H45-N45)</f>
        <v>27200</v>
      </c>
      <c r="R45" s="98">
        <f>IF(OR(H45="",H45=0),"",Q45/H45)</f>
        <v>0.09090909090909091</v>
      </c>
      <c r="S45" s="99" t="inlineStr">
        <is>
          <t>平面実測50.2m＋推測(立下り・屋外放流部12箇所×1.5m)</t>
        </is>
      </c>
    </row>
    <row r="46" ht="18" customHeight="1">
      <c r="A46" s="89" t="inlineStr">
        <is>
          <t xml:space="preserve">　ドレン管 保温</t>
        </is>
      </c>
      <c r="B46" s="39" t="n"/>
      <c r="C46" s="90" t="inlineStr">
        <is>
          <t>GW保温筒20 ALGC 天井内 (特記仕様書 保温表は空欄・標準仕様に準じ計上 要確認)</t>
        </is>
      </c>
      <c r="D46" s="39" t="n"/>
      <c r="E46" s="91" t="n">
        <v>143</v>
      </c>
      <c r="F46" s="92" t="inlineStr">
        <is>
          <t>m</t>
        </is>
      </c>
      <c r="G46" s="93">
        <f>IF(L46="","",ROUND(L46*M46,-1))</f>
        <v>2750</v>
      </c>
      <c r="H46" s="91">
        <f>IF(G46="","",ROUND(E46*G46,0))</f>
        <v>393250</v>
      </c>
      <c r="I46" s="94" t="inlineStr">
        <is>
          <t>想定数量（別紙条件書）</t>
        </is>
      </c>
      <c r="J46" s="95" t="n">
        <v>1100</v>
      </c>
      <c r="K46" s="95" t="n">
        <v>1400</v>
      </c>
      <c r="L46" s="93">
        <f>J46+K46</f>
        <v>2500</v>
      </c>
      <c r="M46" s="96">
        <f>COEF</f>
        <v>1.1</v>
      </c>
      <c r="N46" s="91">
        <f>E46*L46</f>
        <v>357500</v>
      </c>
      <c r="O46" s="91">
        <f>ROUND(E46*K46*M46,0)</f>
        <v>220220</v>
      </c>
      <c r="P46" s="100" t="inlineStr">
        <is>
          <t>推測</t>
        </is>
      </c>
      <c r="Q46" s="91">
        <f>IF(H46="","",H46-N46)</f>
        <v>35750</v>
      </c>
      <c r="R46" s="98">
        <f>IF(OR(H46="",H46=0),"",Q46/H46)</f>
        <v>0.09090909090909091</v>
      </c>
      <c r="S46" s="99" t="inlineStr">
        <is>
          <t>VP25・VP40 天井内相当分</t>
        </is>
      </c>
    </row>
    <row r="47" ht="18" customHeight="1">
      <c r="A47" s="89" t="inlineStr">
        <is>
          <t xml:space="preserve">　ドレン管 区画貫通処理</t>
        </is>
      </c>
      <c r="B47" s="39" t="n"/>
      <c r="C47" s="90" t="inlineStr">
        <is>
          <t>耐火二層管／フィブロック</t>
        </is>
      </c>
      <c r="D47" s="39" t="n"/>
      <c r="E47" s="91" t="n">
        <v>2</v>
      </c>
      <c r="F47" s="92" t="inlineStr">
        <is>
          <t>箇所</t>
        </is>
      </c>
      <c r="G47" s="93">
        <f>IF(L47="","",ROUND(L47*M47,-1))</f>
        <v>13200</v>
      </c>
      <c r="H47" s="91">
        <f>IF(G47="","",ROUND(E47*G47,0))</f>
        <v>26400</v>
      </c>
      <c r="I47" s="94" t="inlineStr">
        <is>
          <t>想定数量（別紙条件書）</t>
        </is>
      </c>
      <c r="J47" s="95" t="n">
        <v>6000</v>
      </c>
      <c r="K47" s="95" t="n">
        <v>6000</v>
      </c>
      <c r="L47" s="93">
        <f>J47+K47</f>
        <v>12000</v>
      </c>
      <c r="M47" s="96">
        <f>COEF</f>
        <v>1.1</v>
      </c>
      <c r="N47" s="91">
        <f>E47*L47</f>
        <v>24000</v>
      </c>
      <c r="O47" s="91">
        <f>ROUND(E47*K47*M47,0)</f>
        <v>13200</v>
      </c>
      <c r="P47" s="100" t="inlineStr">
        <is>
          <t>推測</t>
        </is>
      </c>
      <c r="Q47" s="91">
        <f>IF(H47="","",H47-N47)</f>
        <v>2400</v>
      </c>
      <c r="R47" s="98">
        <f>IF(OR(H47="",H47=0),"",Q47/H47)</f>
        <v>0.09090909090909091</v>
      </c>
      <c r="S47" s="99" t="inlineStr">
        <is>
          <t>冷媒管と同位置</t>
        </is>
      </c>
    </row>
    <row r="48" ht="18" customHeight="1">
      <c r="A48" s="89" t="inlineStr">
        <is>
          <t xml:space="preserve">　RAC-3/4 ドレンホース 延長・共巻</t>
        </is>
      </c>
      <c r="B48" s="39" t="n"/>
      <c r="C48" s="90" t="inlineStr">
        <is>
          <t>勾配確保の上 冷媒管共巻 (図示注記)</t>
        </is>
      </c>
      <c r="D48" s="39" t="n"/>
      <c r="E48" s="91" t="n">
        <v>67</v>
      </c>
      <c r="F48" s="92" t="inlineStr">
        <is>
          <t>台</t>
        </is>
      </c>
      <c r="G48" s="93">
        <f>IF(L48="","",ROUND(L48*M48,-1))</f>
        <v>1650</v>
      </c>
      <c r="H48" s="91">
        <f>IF(G48="","",ROUND(E48*G48,0))</f>
        <v>110550</v>
      </c>
      <c r="I48" s="94" t="inlineStr">
        <is>
          <t>想定数量（別紙条件書）</t>
        </is>
      </c>
      <c r="J48" s="95" t="n">
        <v>600</v>
      </c>
      <c r="K48" s="95" t="n">
        <v>900</v>
      </c>
      <c r="L48" s="93">
        <f>J48+K48</f>
        <v>1500</v>
      </c>
      <c r="M48" s="96">
        <f>COEF</f>
        <v>1.1</v>
      </c>
      <c r="N48" s="91">
        <f>E48*L48</f>
        <v>100500</v>
      </c>
      <c r="O48" s="91">
        <f>ROUND(E48*K48*M48,0)</f>
        <v>66330</v>
      </c>
      <c r="P48" s="100" t="inlineStr">
        <is>
          <t>推測</t>
        </is>
      </c>
      <c r="Q48" s="91">
        <f>IF(H48="","",H48-N48)</f>
        <v>10050</v>
      </c>
      <c r="R48" s="98">
        <f>IF(OR(H48="",H48=0),"",Q48/H48)</f>
        <v>0.09090909090909091</v>
      </c>
      <c r="S48" s="99" t="n"/>
    </row>
    <row r="49" ht="18" customHeight="1">
      <c r="A49" s="88" t="inlineStr">
        <is>
          <t>（4）付帯工事・試運転調整</t>
        </is>
      </c>
      <c r="B49" s="39" t="n"/>
      <c r="C49" s="39" t="n"/>
      <c r="D49" s="39" t="n"/>
      <c r="E49" s="39" t="n"/>
      <c r="F49" s="39" t="n"/>
      <c r="G49" s="39" t="n"/>
      <c r="H49" s="39" t="n"/>
      <c r="I49" s="87" t="n"/>
      <c r="J49" s="39" t="n"/>
      <c r="K49" s="39" t="n"/>
      <c r="L49" s="39" t="n"/>
      <c r="M49" s="39" t="n"/>
      <c r="N49" s="39" t="n"/>
      <c r="O49" s="39" t="n"/>
      <c r="P49" s="39" t="n"/>
      <c r="Q49" s="39" t="n"/>
      <c r="R49" s="39" t="n"/>
      <c r="S49" s="39" t="n"/>
    </row>
    <row r="50" ht="18" customHeight="1">
      <c r="A50" s="89" t="inlineStr">
        <is>
          <t xml:space="preserve">　リモコン線・内外連絡線 配線</t>
        </is>
      </c>
      <c r="B50" s="39" t="n"/>
      <c r="C50" s="90" t="inlineStr">
        <is>
          <t>PAC 系統毎 (ワイヤードリモコン線 0.75×2C、渡り線) 工事区分表: 機械</t>
        </is>
      </c>
      <c r="D50" s="39" t="n"/>
      <c r="E50" s="91" t="n">
        <v>13</v>
      </c>
      <c r="F50" s="92" t="inlineStr">
        <is>
          <t>系統</t>
        </is>
      </c>
      <c r="G50" s="93">
        <f>IF(L50="","",ROUND(L50*M50,-1))</f>
        <v>13200</v>
      </c>
      <c r="H50" s="91">
        <f>IF(G50="","",ROUND(E50*G50,0))</f>
        <v>171600</v>
      </c>
      <c r="I50" s="94" t="n"/>
      <c r="J50" s="95" t="n">
        <v>4800</v>
      </c>
      <c r="K50" s="95" t="n">
        <v>7200</v>
      </c>
      <c r="L50" s="93">
        <f>J50+K50</f>
        <v>12000</v>
      </c>
      <c r="M50" s="96">
        <f>COEF</f>
        <v>1.1</v>
      </c>
      <c r="N50" s="91">
        <f>E50*L50</f>
        <v>156000</v>
      </c>
      <c r="O50" s="91">
        <f>ROUND(E50*K50*M50,0)</f>
        <v>102960</v>
      </c>
      <c r="P50" s="97" t="inlineStr">
        <is>
          <t>図面カウント</t>
        </is>
      </c>
      <c r="Q50" s="91">
        <f>IF(H50="","",H50-N50)</f>
        <v>15600</v>
      </c>
      <c r="R50" s="98">
        <f>IF(OR(H50="",H50=0),"",Q50/H50)</f>
        <v>0.09090909090909091</v>
      </c>
      <c r="S50" s="99" t="inlineStr">
        <is>
          <t>電源は電気工事</t>
        </is>
      </c>
    </row>
    <row r="51" ht="18" customHeight="1">
      <c r="A51" s="89" t="inlineStr">
        <is>
          <t xml:space="preserve">　集中リモコン CR-1 制御配線</t>
        </is>
      </c>
      <c r="B51" s="39" t="n"/>
      <c r="C51" s="90" t="inlineStr">
        <is>
          <t>S-LINK 13系統分 推定延長200m</t>
        </is>
      </c>
      <c r="D51" s="39" t="n"/>
      <c r="E51" s="91" t="n">
        <v>1</v>
      </c>
      <c r="F51" s="92" t="inlineStr">
        <is>
          <t>式</t>
        </is>
      </c>
      <c r="G51" s="93">
        <f>IF(L51="","",ROUND(L51*M51,-1))</f>
        <v>66000</v>
      </c>
      <c r="H51" s="91">
        <f>IF(G51="","",ROUND(E51*G51,0))</f>
        <v>66000</v>
      </c>
      <c r="I51" s="94" t="inlineStr">
        <is>
          <t>想定数量（別紙条件書）</t>
        </is>
      </c>
      <c r="J51" s="95" t="n">
        <v>24000</v>
      </c>
      <c r="K51" s="95" t="n">
        <v>36000</v>
      </c>
      <c r="L51" s="93">
        <f>J51+K51</f>
        <v>60000</v>
      </c>
      <c r="M51" s="96">
        <f>COEF</f>
        <v>1.1</v>
      </c>
      <c r="N51" s="91">
        <f>E51*L51</f>
        <v>60000</v>
      </c>
      <c r="O51" s="91">
        <f>ROUND(E51*K51*M51,0)</f>
        <v>39600</v>
      </c>
      <c r="P51" s="100" t="inlineStr">
        <is>
          <t>推測</t>
        </is>
      </c>
      <c r="Q51" s="91">
        <f>IF(H51="","",H51-N51)</f>
        <v>6000</v>
      </c>
      <c r="R51" s="98">
        <f>IF(OR(H51="",H51=0),"",Q51/H51)</f>
        <v>0.09090909090909091</v>
      </c>
      <c r="S51" s="99" t="n"/>
    </row>
    <row r="52" ht="18" customHeight="1">
      <c r="A52" s="89" t="inlineStr">
        <is>
          <t xml:space="preserve">　RAC 内外連絡線 配線</t>
        </is>
      </c>
      <c r="B52" s="39" t="n"/>
      <c r="C52" s="90" t="inlineStr">
        <is>
          <t>VVF2.0-3C 1台当り5m</t>
        </is>
      </c>
      <c r="D52" s="39" t="n"/>
      <c r="E52" s="91" t="n">
        <v>77</v>
      </c>
      <c r="F52" s="92" t="inlineStr">
        <is>
          <t>台</t>
        </is>
      </c>
      <c r="G52" s="93">
        <f>IF(L52="","",ROUND(L52*M52,-1))</f>
        <v>3300</v>
      </c>
      <c r="H52" s="91">
        <f>IF(G52="","",ROUND(E52*G52,0))</f>
        <v>254100</v>
      </c>
      <c r="I52" s="94" t="inlineStr">
        <is>
          <t>想定数量（別紙条件書）</t>
        </is>
      </c>
      <c r="J52" s="95" t="n">
        <v>1200</v>
      </c>
      <c r="K52" s="95" t="n">
        <v>1800</v>
      </c>
      <c r="L52" s="93">
        <f>J52+K52</f>
        <v>3000</v>
      </c>
      <c r="M52" s="96">
        <f>COEF</f>
        <v>1.1</v>
      </c>
      <c r="N52" s="91">
        <f>E52*L52</f>
        <v>231000</v>
      </c>
      <c r="O52" s="91">
        <f>ROUND(E52*K52*M52,0)</f>
        <v>152460</v>
      </c>
      <c r="P52" s="100" t="inlineStr">
        <is>
          <t>推測</t>
        </is>
      </c>
      <c r="Q52" s="91">
        <f>IF(H52="","",H52-N52)</f>
        <v>23100</v>
      </c>
      <c r="R52" s="98">
        <f>IF(OR(H52="",H52=0),"",Q52/H52)</f>
        <v>0.09090909090909091</v>
      </c>
      <c r="S52" s="99" t="n"/>
    </row>
    <row r="53" ht="28" customHeight="1">
      <c r="A53" s="101" t="inlineStr">
        <is>
          <t xml:space="preserve">　AC-8 ビルトインダクト用 ダクト・制気口</t>
        </is>
      </c>
      <c r="B53" s="39" t="n"/>
      <c r="C53" s="90" t="inlineStr">
        <is>
          <t>吹出口・吸込口・チャンバー・フレキ 一式</t>
        </is>
      </c>
      <c r="D53" s="39" t="n"/>
      <c r="E53" s="91" t="n">
        <v>1</v>
      </c>
      <c r="F53" s="92" t="inlineStr">
        <is>
          <t>式</t>
        </is>
      </c>
      <c r="G53" s="93">
        <f>IF(L53="","",ROUND(L53*M53,-1))</f>
        <v>88000</v>
      </c>
      <c r="H53" s="91">
        <f>IF(G53="","",ROUND(E53*G53,0))</f>
        <v>88000</v>
      </c>
      <c r="I53" s="94" t="inlineStr">
        <is>
          <t>想定数量（別紙条件書）</t>
        </is>
      </c>
      <c r="J53" s="95" t="n">
        <v>44000</v>
      </c>
      <c r="K53" s="95" t="n">
        <v>36000</v>
      </c>
      <c r="L53" s="93">
        <f>J53+K53</f>
        <v>80000</v>
      </c>
      <c r="M53" s="96">
        <f>COEF</f>
        <v>1.1</v>
      </c>
      <c r="N53" s="91">
        <f>E53*L53</f>
        <v>80000</v>
      </c>
      <c r="O53" s="91">
        <f>ROUND(E53*K53*M53,0)</f>
        <v>39600</v>
      </c>
      <c r="P53" s="100" t="inlineStr">
        <is>
          <t>推測</t>
        </is>
      </c>
      <c r="Q53" s="91">
        <f>IF(H53="","",H53-N53)</f>
        <v>8000</v>
      </c>
      <c r="R53" s="98">
        <f>IF(OR(H53="",H53=0),"",Q53/H53)</f>
        <v>0.09090909090909091</v>
      </c>
      <c r="S53" s="99" t="inlineStr">
        <is>
          <t>図面に系統詳細なし</t>
        </is>
      </c>
    </row>
    <row r="54" ht="18" customHeight="1">
      <c r="A54" s="89" t="inlineStr">
        <is>
          <t xml:space="preserve">　試運転調整 PAC</t>
        </is>
      </c>
      <c r="B54" s="39" t="n"/>
      <c r="C54" s="90" t="inlineStr">
        <is>
          <t>系統毎</t>
        </is>
      </c>
      <c r="D54" s="39" t="n"/>
      <c r="E54" s="91" t="n">
        <v>13</v>
      </c>
      <c r="F54" s="92" t="inlineStr">
        <is>
          <t>系統</t>
        </is>
      </c>
      <c r="G54" s="93">
        <f>IF(L54="","",ROUND(L54*M54,-1))</f>
        <v>8800</v>
      </c>
      <c r="H54" s="91">
        <f>IF(G54="","",ROUND(E54*G54,0))</f>
        <v>114400</v>
      </c>
      <c r="I54" s="94" t="n"/>
      <c r="J54" s="95" t="n">
        <v>400</v>
      </c>
      <c r="K54" s="95" t="n">
        <v>7600</v>
      </c>
      <c r="L54" s="93">
        <f>J54+K54</f>
        <v>8000</v>
      </c>
      <c r="M54" s="96">
        <f>COEF</f>
        <v>1.1</v>
      </c>
      <c r="N54" s="91">
        <f>E54*L54</f>
        <v>104000</v>
      </c>
      <c r="O54" s="91">
        <f>ROUND(E54*K54*M54,0)</f>
        <v>108680</v>
      </c>
      <c r="P54" s="97" t="inlineStr">
        <is>
          <t>図面カウント</t>
        </is>
      </c>
      <c r="Q54" s="91">
        <f>IF(H54="","",H54-N54)</f>
        <v>10400</v>
      </c>
      <c r="R54" s="98">
        <f>IF(OR(H54="",H54=0),"",Q54/H54)</f>
        <v>0.09090909090909091</v>
      </c>
      <c r="S54" s="99" t="n"/>
    </row>
    <row r="55" ht="18" customHeight="1">
      <c r="A55" s="89" t="inlineStr">
        <is>
          <t xml:space="preserve">　試運転調整 RAC</t>
        </is>
      </c>
      <c r="B55" s="39" t="n"/>
      <c r="C55" s="90" t="inlineStr">
        <is>
          <t>台毎</t>
        </is>
      </c>
      <c r="D55" s="39" t="n"/>
      <c r="E55" s="91" t="n">
        <v>77</v>
      </c>
      <c r="F55" s="92" t="inlineStr">
        <is>
          <t>台</t>
        </is>
      </c>
      <c r="G55" s="93">
        <f>IF(L55="","",ROUND(L55*M55,-1))</f>
        <v>2200</v>
      </c>
      <c r="H55" s="91">
        <f>IF(G55="","",ROUND(E55*G55,0))</f>
        <v>169400</v>
      </c>
      <c r="I55" s="94" t="n"/>
      <c r="J55" s="95" t="n">
        <v>100</v>
      </c>
      <c r="K55" s="95" t="n">
        <v>1900</v>
      </c>
      <c r="L55" s="93">
        <f>J55+K55</f>
        <v>2000</v>
      </c>
      <c r="M55" s="96">
        <f>COEF</f>
        <v>1.1</v>
      </c>
      <c r="N55" s="91">
        <f>E55*L55</f>
        <v>154000</v>
      </c>
      <c r="O55" s="91">
        <f>ROUND(E55*K55*M55,0)</f>
        <v>160930</v>
      </c>
      <c r="P55" s="97" t="inlineStr">
        <is>
          <t>図面カウント</t>
        </is>
      </c>
      <c r="Q55" s="91">
        <f>IF(H55="","",H55-N55)</f>
        <v>15400</v>
      </c>
      <c r="R55" s="98">
        <f>IF(OR(H55="",H55=0),"",Q55/H55)</f>
        <v>0.09090909090909091</v>
      </c>
      <c r="S55" s="99" t="n"/>
    </row>
    <row r="56" ht="18" customHeight="1">
      <c r="A56" s="89" t="inlineStr">
        <is>
          <t xml:space="preserve">　法令・申請・書類</t>
        </is>
      </c>
      <c r="B56" s="39" t="n"/>
      <c r="C56" s="90" t="inlineStr">
        <is>
          <t>試運転報告書・冷媒管理記録 等</t>
        </is>
      </c>
      <c r="D56" s="39" t="n"/>
      <c r="E56" s="91" t="n">
        <v>1</v>
      </c>
      <c r="F56" s="92" t="inlineStr">
        <is>
          <t>式</t>
        </is>
      </c>
      <c r="G56" s="93">
        <f>IF(L56="","",ROUND(L56*M56,-1))</f>
        <v>33000</v>
      </c>
      <c r="H56" s="91">
        <f>IF(G56="","",ROUND(E56*G56,0))</f>
        <v>33000</v>
      </c>
      <c r="I56" s="94" t="inlineStr">
        <is>
          <t>想定数量（別紙条件書）</t>
        </is>
      </c>
      <c r="J56" s="95" t="n">
        <v>1500</v>
      </c>
      <c r="K56" s="95" t="n">
        <v>28500</v>
      </c>
      <c r="L56" s="93">
        <f>J56+K56</f>
        <v>30000</v>
      </c>
      <c r="M56" s="96">
        <f>COEF</f>
        <v>1.1</v>
      </c>
      <c r="N56" s="91">
        <f>E56*L56</f>
        <v>30000</v>
      </c>
      <c r="O56" s="91">
        <f>ROUND(E56*K56*M56,0)</f>
        <v>31350</v>
      </c>
      <c r="P56" s="100" t="inlineStr">
        <is>
          <t>推測</t>
        </is>
      </c>
      <c r="Q56" s="91">
        <f>IF(H56="","",H56-N56)</f>
        <v>3000</v>
      </c>
      <c r="R56" s="98">
        <f>IF(OR(H56="",H56=0),"",Q56/H56)</f>
        <v>0.09090909090909091</v>
      </c>
      <c r="S56" s="99" t="n"/>
    </row>
    <row r="57" ht="18" customHeight="1">
      <c r="A57" s="102" t="n"/>
      <c r="B57" s="103" t="n"/>
      <c r="C57" s="103" t="n"/>
      <c r="D57" s="103" t="n"/>
      <c r="E57" s="103" t="n"/>
      <c r="F57" s="103" t="n"/>
      <c r="G57" s="103" t="n"/>
      <c r="H57" s="103" t="n"/>
      <c r="I57" s="104" t="n"/>
      <c r="J57" s="103" t="n"/>
      <c r="K57" s="103" t="n"/>
      <c r="L57" s="103" t="n"/>
      <c r="M57" s="103" t="n"/>
      <c r="N57" s="103" t="n"/>
      <c r="O57" s="103" t="n"/>
      <c r="P57" s="103" t="n"/>
      <c r="Q57" s="103" t="n"/>
      <c r="R57" s="103" t="n"/>
      <c r="S57" s="103" t="n"/>
    </row>
    <row r="58" ht="22" customHeight="1">
      <c r="A58" s="105" t="inlineStr">
        <is>
          <t>【小　　計】</t>
        </is>
      </c>
      <c r="B58" s="106" t="n"/>
      <c r="C58" s="106" t="n"/>
      <c r="D58" s="106" t="n"/>
      <c r="E58" s="106" t="n"/>
      <c r="F58" s="106" t="n"/>
      <c r="G58" s="106" t="n"/>
      <c r="H58" s="107">
        <f>SUM(H6:H57)</f>
        <v>10880980</v>
      </c>
      <c r="I58" s="108" t="n"/>
      <c r="J58" s="109" t="n"/>
      <c r="K58" s="109" t="n"/>
      <c r="L58" s="109" t="n"/>
      <c r="M58" s="109" t="n"/>
      <c r="N58" s="110">
        <f>SUM(N6:N57)</f>
        <v>9891800</v>
      </c>
      <c r="O58" s="110">
        <f>SUM(O6:O57)</f>
        <v>6749050</v>
      </c>
      <c r="P58" s="109" t="n"/>
      <c r="Q58" s="110">
        <f>H58-N58</f>
        <v>989180</v>
      </c>
      <c r="R58" s="111">
        <f>IF(H58=0,"",Q58/H58)</f>
        <v>0.09090909090909091</v>
      </c>
      <c r="S58" s="109" t="n"/>
    </row>
  </sheetData>
  <mergeCells count="108">
    <mergeCell ref="A15:B15"/>
    <mergeCell ref="C15:D15"/>
    <mergeCell ref="A51:B51"/>
    <mergeCell ref="A54:B54"/>
    <mergeCell ref="A7:B7"/>
    <mergeCell ref="C54:D54"/>
    <mergeCell ref="A42:I42"/>
    <mergeCell ref="A41:B41"/>
    <mergeCell ref="A58:D58"/>
    <mergeCell ref="C41:D41"/>
    <mergeCell ref="C50:D50"/>
    <mergeCell ref="A56:B56"/>
    <mergeCell ref="A27:B27"/>
    <mergeCell ref="C56:D56"/>
    <mergeCell ref="C43:D43"/>
    <mergeCell ref="A33:B33"/>
    <mergeCell ref="C27:D27"/>
    <mergeCell ref="C36:D36"/>
    <mergeCell ref="A17:B17"/>
    <mergeCell ref="C17:D17"/>
    <mergeCell ref="A22:B22"/>
    <mergeCell ref="A53:B53"/>
    <mergeCell ref="A35:B35"/>
    <mergeCell ref="A19:B19"/>
    <mergeCell ref="C19:D19"/>
    <mergeCell ref="A28:B28"/>
    <mergeCell ref="C28:D28"/>
    <mergeCell ref="A9:B9"/>
    <mergeCell ref="C3:D3"/>
    <mergeCell ref="A39:B39"/>
    <mergeCell ref="A48:B48"/>
    <mergeCell ref="A30:B30"/>
    <mergeCell ref="C30:D30"/>
    <mergeCell ref="A11:B11"/>
    <mergeCell ref="C5:D5"/>
    <mergeCell ref="A45:B45"/>
    <mergeCell ref="C14:D14"/>
    <mergeCell ref="C45:D45"/>
    <mergeCell ref="C47:D47"/>
    <mergeCell ref="A37:B37"/>
    <mergeCell ref="A46:B46"/>
    <mergeCell ref="C40:D40"/>
    <mergeCell ref="A26:B26"/>
    <mergeCell ref="A8:B8"/>
    <mergeCell ref="C8:D8"/>
    <mergeCell ref="A49:I49"/>
    <mergeCell ref="A52:B52"/>
    <mergeCell ref="A10:B10"/>
    <mergeCell ref="C57:D57"/>
    <mergeCell ref="A1:I1"/>
    <mergeCell ref="C18:D18"/>
    <mergeCell ref="C53:D53"/>
    <mergeCell ref="A34:B34"/>
    <mergeCell ref="C34:D34"/>
    <mergeCell ref="A36:B36"/>
    <mergeCell ref="C20:D20"/>
    <mergeCell ref="C29:D29"/>
    <mergeCell ref="C44:D44"/>
    <mergeCell ref="C22:D22"/>
    <mergeCell ref="A4:I4"/>
    <mergeCell ref="A3:B3"/>
    <mergeCell ref="J1:S1"/>
    <mergeCell ref="A55:B55"/>
    <mergeCell ref="A12:B12"/>
    <mergeCell ref="C12:D12"/>
    <mergeCell ref="A21:B21"/>
    <mergeCell ref="C46:D46"/>
    <mergeCell ref="C21:D21"/>
    <mergeCell ref="A57:B57"/>
    <mergeCell ref="C51:D51"/>
    <mergeCell ref="A5:B5"/>
    <mergeCell ref="A32:B32"/>
    <mergeCell ref="A14:B14"/>
    <mergeCell ref="A23:B23"/>
    <mergeCell ref="C48:D48"/>
    <mergeCell ref="C23:D23"/>
    <mergeCell ref="A38:B38"/>
    <mergeCell ref="C32:D32"/>
    <mergeCell ref="C7:D7"/>
    <mergeCell ref="C38:D38"/>
    <mergeCell ref="A43:B43"/>
    <mergeCell ref="A6:I6"/>
    <mergeCell ref="A40:B40"/>
    <mergeCell ref="A24:B24"/>
    <mergeCell ref="C24:D24"/>
    <mergeCell ref="C33:D33"/>
    <mergeCell ref="C26:D26"/>
    <mergeCell ref="C35:D35"/>
    <mergeCell ref="A16:B16"/>
    <mergeCell ref="C10:D10"/>
    <mergeCell ref="C16:D16"/>
    <mergeCell ref="A25:B25"/>
    <mergeCell ref="C25:D25"/>
    <mergeCell ref="C55:D55"/>
    <mergeCell ref="C9:D9"/>
    <mergeCell ref="A18:B18"/>
    <mergeCell ref="A50:B50"/>
    <mergeCell ref="C11:D11"/>
    <mergeCell ref="A47:B47"/>
    <mergeCell ref="A31:I31"/>
    <mergeCell ref="C52:D52"/>
    <mergeCell ref="C39:D39"/>
    <mergeCell ref="A20:B20"/>
    <mergeCell ref="A29:B29"/>
    <mergeCell ref="C37:D37"/>
    <mergeCell ref="A13:B13"/>
    <mergeCell ref="A44:B44"/>
    <mergeCell ref="C13:D13"/>
  </mergeCells>
  <printOptions horizontalCentered="1" gridLines="0"/>
  <pageMargins left="0.4724409448818897" right="0.4724409448818897" top="0.5905511811023622" bottom="0.5905511811023622" header="0.3149606299212598" footer="0.2362204724409449"/>
  <pageSetup orientation="portrait" paperSize="9" fitToHeight="0" fitToWidth="1"/>
  <headerFooter>
    <oddHeader/>
    <oddFooter>&amp;C&amp;"ＭＳ Ｐゴシック,標準"&amp;9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S93"/>
  <sheetViews>
    <sheetView showGridLines="0" tabSelected="0" workbookViewId="0">
      <selection activeCell="A1" sqref="A1"/>
    </sheetView>
  </sheetViews>
  <sheetFormatPr baseColWidth="8" defaultRowHeight="15"/>
  <cols>
    <col width="4" customWidth="1" min="1" max="1"/>
    <col width="27" customWidth="1" min="2" max="2"/>
    <col width="24" customWidth="1" min="3" max="3"/>
    <col width="4" customWidth="1" min="4" max="4"/>
    <col width="8" customWidth="1" min="5" max="5"/>
    <col width="5" customWidth="1" min="6" max="6"/>
    <col width="10" customWidth="1" min="7" max="7"/>
    <col width="13" customWidth="1" min="8" max="8"/>
    <col width="15" customWidth="1" min="9" max="9"/>
    <col width="10" customWidth="1" min="10" max="10"/>
    <col width="10" customWidth="1" min="11" max="11"/>
    <col width="10" customWidth="1" min="12" max="12"/>
    <col width="7" customWidth="1" min="13" max="13"/>
    <col width="12" customWidth="1" min="14" max="14"/>
    <col width="12" customWidth="1" min="15" max="15"/>
    <col width="8" customWidth="1" min="16" max="16"/>
    <col width="12" customWidth="1" min="17" max="17"/>
    <col width="8" customWidth="1" min="18" max="18"/>
    <col width="40" customWidth="1" min="19" max="19"/>
  </cols>
  <sheetData>
    <row r="1" ht="26" customHeight="1">
      <c r="A1" s="77" t="inlineStr">
        <is>
          <t>内　訳　書</t>
        </is>
      </c>
      <c r="J1" s="78" t="inlineStr">
        <is>
          <t>原　価　内　訳　書（内部用・印刷範囲外）</t>
        </is>
      </c>
      <c r="K1" s="79" t="n"/>
      <c r="L1" s="79" t="n"/>
      <c r="M1" s="79" t="n"/>
      <c r="N1" s="79" t="n"/>
      <c r="O1" s="79" t="n"/>
      <c r="P1" s="79" t="n"/>
      <c r="Q1" s="79" t="n"/>
      <c r="R1" s="79" t="n"/>
      <c r="S1" s="79" t="n"/>
    </row>
    <row r="2" ht="18" customHeight="1">
      <c r="A2" s="22" t="inlineStr">
        <is>
          <t>工事名：（仮称）サンフレッチェ広島　三矢寮新築工事　空調設備工事</t>
        </is>
      </c>
      <c r="I2" s="2" t="inlineStr">
        <is>
          <t>内訳書 No.2</t>
        </is>
      </c>
    </row>
    <row r="3" ht="20" customHeight="1">
      <c r="A3" s="80" t="inlineStr">
        <is>
          <t>名　　称</t>
        </is>
      </c>
      <c r="B3" s="29" t="n"/>
      <c r="C3" s="81" t="inlineStr">
        <is>
          <t>規格・寸法</t>
        </is>
      </c>
      <c r="D3" s="29" t="n"/>
      <c r="E3" s="81" t="inlineStr">
        <is>
          <t>数 量</t>
        </is>
      </c>
      <c r="F3" s="81" t="inlineStr">
        <is>
          <t>単位</t>
        </is>
      </c>
      <c r="G3" s="81" t="inlineStr">
        <is>
          <t>単　価</t>
        </is>
      </c>
      <c r="H3" s="81" t="inlineStr">
        <is>
          <t>金　　額</t>
        </is>
      </c>
      <c r="I3" s="82" t="inlineStr">
        <is>
          <t>備　考</t>
        </is>
      </c>
      <c r="J3" s="83" t="inlineStr">
        <is>
          <t>材料単価</t>
        </is>
      </c>
      <c r="K3" s="83" t="inlineStr">
        <is>
          <t>労務単価</t>
        </is>
      </c>
      <c r="L3" s="83" t="inlineStr">
        <is>
          <t>基準単価</t>
        </is>
      </c>
      <c r="M3" s="83" t="inlineStr">
        <is>
          <t>提出係数</t>
        </is>
      </c>
      <c r="N3" s="83" t="inlineStr">
        <is>
          <t>基準原価</t>
        </is>
      </c>
      <c r="O3" s="83" t="inlineStr">
        <is>
          <t>労務費(提出)</t>
        </is>
      </c>
      <c r="P3" s="83" t="inlineStr">
        <is>
          <t>数量根拠</t>
        </is>
      </c>
      <c r="Q3" s="83" t="inlineStr">
        <is>
          <t>粗利</t>
        </is>
      </c>
      <c r="R3" s="83" t="inlineStr">
        <is>
          <t>粗利率</t>
        </is>
      </c>
      <c r="S3" s="83" t="inlineStr">
        <is>
          <t>前提・メモ（内部）</t>
        </is>
      </c>
    </row>
    <row r="4" ht="18" customHeight="1">
      <c r="A4" s="84" t="inlineStr">
        <is>
          <t>２．換気工事（機械設備図 06）</t>
        </is>
      </c>
      <c r="B4" s="37" t="n"/>
      <c r="C4" s="37" t="n"/>
      <c r="D4" s="37" t="n"/>
      <c r="E4" s="37" t="n"/>
      <c r="F4" s="37" t="n"/>
      <c r="G4" s="37" t="n"/>
      <c r="H4" s="37" t="n"/>
      <c r="I4" s="85" t="n"/>
      <c r="J4" s="37" t="n"/>
      <c r="K4" s="37" t="n"/>
      <c r="L4" s="37" t="n"/>
      <c r="M4" s="37" t="n"/>
      <c r="N4" s="37" t="n"/>
      <c r="O4" s="37" t="n"/>
      <c r="P4" s="37" t="n"/>
      <c r="Q4" s="37" t="n"/>
      <c r="R4" s="37" t="n"/>
      <c r="S4" s="37" t="n"/>
    </row>
    <row r="5" ht="18" customHeight="1">
      <c r="A5" s="86" t="n"/>
      <c r="B5" s="39" t="n"/>
      <c r="C5" s="39" t="n"/>
      <c r="D5" s="39" t="n"/>
      <c r="E5" s="39" t="n"/>
      <c r="F5" s="39" t="n"/>
      <c r="G5" s="39" t="n"/>
      <c r="H5" s="39" t="n"/>
      <c r="I5" s="87" t="n"/>
      <c r="J5" s="39" t="n"/>
      <c r="K5" s="39" t="n"/>
      <c r="L5" s="39" t="n"/>
      <c r="M5" s="39" t="n"/>
      <c r="N5" s="39" t="n"/>
      <c r="O5" s="39" t="n"/>
      <c r="P5" s="39" t="n"/>
      <c r="Q5" s="39" t="n"/>
      <c r="R5" s="39" t="n"/>
      <c r="S5" s="39" t="n"/>
    </row>
    <row r="6" ht="18" customHeight="1">
      <c r="A6" s="88" t="inlineStr">
        <is>
          <t>（1）換気機器据付（機器は元請様支給）</t>
        </is>
      </c>
      <c r="B6" s="39" t="n"/>
      <c r="C6" s="39" t="n"/>
      <c r="D6" s="39" t="n"/>
      <c r="E6" s="39" t="n"/>
      <c r="F6" s="39" t="n"/>
      <c r="G6" s="39" t="n"/>
      <c r="H6" s="39" t="n"/>
      <c r="I6" s="87" t="n"/>
      <c r="J6" s="39" t="n"/>
      <c r="K6" s="39" t="n"/>
      <c r="L6" s="39" t="n"/>
      <c r="M6" s="39" t="n"/>
      <c r="N6" s="39" t="n"/>
      <c r="O6" s="39" t="n"/>
      <c r="P6" s="39" t="n"/>
      <c r="Q6" s="39" t="n"/>
      <c r="R6" s="39" t="n"/>
      <c r="S6" s="39" t="n"/>
    </row>
    <row r="7" ht="18" customHeight="1">
      <c r="A7" s="89" t="inlineStr">
        <is>
          <t xml:space="preserve">　FE-A1 パイプファン 据付</t>
        </is>
      </c>
      <c r="B7" s="39" t="n"/>
      <c r="C7" s="90" t="inlineStr">
        <is>
          <t>V-12PS8 150φ ゴミ庫1・倉庫1</t>
        </is>
      </c>
      <c r="D7" s="39" t="n"/>
      <c r="E7" s="91" t="n">
        <v>2</v>
      </c>
      <c r="F7" s="92" t="inlineStr">
        <is>
          <t>台</t>
        </is>
      </c>
      <c r="G7" s="93">
        <f>IF(L7="","",ROUND(L7*M7,-1))</f>
        <v>8800</v>
      </c>
      <c r="H7" s="91">
        <f>IF(G7="","",ROUND(E7*G7,0))</f>
        <v>17600</v>
      </c>
      <c r="I7" s="94" t="inlineStr">
        <is>
          <t>本体は元請様支給</t>
        </is>
      </c>
      <c r="J7" s="95" t="n">
        <v>1200</v>
      </c>
      <c r="K7" s="95" t="n">
        <v>6800</v>
      </c>
      <c r="L7" s="93">
        <f>J7+K7</f>
        <v>8000</v>
      </c>
      <c r="M7" s="96">
        <f>COEF</f>
        <v>1.1</v>
      </c>
      <c r="N7" s="91">
        <f>E7*L7</f>
        <v>16000</v>
      </c>
      <c r="O7" s="91">
        <f>ROUND(E7*K7*M7,0)</f>
        <v>14960</v>
      </c>
      <c r="P7" s="97" t="inlineStr">
        <is>
          <t>図面カウント</t>
        </is>
      </c>
      <c r="Q7" s="91">
        <f>IF(H7="","",H7-N7)</f>
        <v>1600</v>
      </c>
      <c r="R7" s="98">
        <f>IF(OR(H7="",H7=0),"",Q7/H7)</f>
        <v>0.09090909090909091</v>
      </c>
      <c r="S7" s="99" t="n"/>
    </row>
    <row r="8" ht="18" customHeight="1">
      <c r="A8" s="89" t="inlineStr">
        <is>
          <t xml:space="preserve">　FE-A2 天井扇 据付</t>
        </is>
      </c>
      <c r="B8" s="39" t="n"/>
      <c r="C8" s="90" t="inlineStr">
        <is>
          <t>VD-15ZC14 100φ 管理人和室洋室クローク・面談室</t>
        </is>
      </c>
      <c r="D8" s="39" t="n"/>
      <c r="E8" s="91" t="n">
        <v>2</v>
      </c>
      <c r="F8" s="92" t="inlineStr">
        <is>
          <t>台</t>
        </is>
      </c>
      <c r="G8" s="93">
        <f>IF(L8="","",ROUND(L8*M8,-1))</f>
        <v>13200</v>
      </c>
      <c r="H8" s="91">
        <f>IF(G8="","",ROUND(E8*G8,0))</f>
        <v>26400</v>
      </c>
      <c r="I8" s="94" t="inlineStr">
        <is>
          <t>本体は元請様支給</t>
        </is>
      </c>
      <c r="J8" s="95" t="n">
        <v>1800</v>
      </c>
      <c r="K8" s="95" t="n">
        <v>10200</v>
      </c>
      <c r="L8" s="93">
        <f>J8+K8</f>
        <v>12000</v>
      </c>
      <c r="M8" s="96">
        <f>COEF</f>
        <v>1.1</v>
      </c>
      <c r="N8" s="91">
        <f>E8*L8</f>
        <v>24000</v>
      </c>
      <c r="O8" s="91">
        <f>ROUND(E8*K8*M8,0)</f>
        <v>22440</v>
      </c>
      <c r="P8" s="97" t="inlineStr">
        <is>
          <t>図面カウント</t>
        </is>
      </c>
      <c r="Q8" s="91">
        <f>IF(H8="","",H8-N8)</f>
        <v>2400</v>
      </c>
      <c r="R8" s="98">
        <f>IF(OR(H8="",H8=0),"",Q8/H8)</f>
        <v>0.09090909090909091</v>
      </c>
      <c r="S8" s="99" t="n"/>
    </row>
    <row r="9" ht="18" customHeight="1">
      <c r="A9" s="89" t="inlineStr">
        <is>
          <t xml:space="preserve">　FE-A3 天井扇 据付</t>
        </is>
      </c>
      <c r="B9" s="39" t="n"/>
      <c r="C9" s="90" t="inlineStr">
        <is>
          <t>VD-10ZC14 管理人WC</t>
        </is>
      </c>
      <c r="D9" s="39" t="n"/>
      <c r="E9" s="91" t="n">
        <v>1</v>
      </c>
      <c r="F9" s="92" t="inlineStr">
        <is>
          <t>台</t>
        </is>
      </c>
      <c r="G9" s="93">
        <f>IF(L9="","",ROUND(L9*M9,-1))</f>
        <v>13200</v>
      </c>
      <c r="H9" s="91">
        <f>IF(G9="","",ROUND(E9*G9,0))</f>
        <v>13200</v>
      </c>
      <c r="I9" s="94" t="inlineStr">
        <is>
          <t>本体は元請様支給</t>
        </is>
      </c>
      <c r="J9" s="95" t="n">
        <v>1800</v>
      </c>
      <c r="K9" s="95" t="n">
        <v>10200</v>
      </c>
      <c r="L9" s="93">
        <f>J9+K9</f>
        <v>12000</v>
      </c>
      <c r="M9" s="96">
        <f>COEF</f>
        <v>1.1</v>
      </c>
      <c r="N9" s="91">
        <f>E9*L9</f>
        <v>12000</v>
      </c>
      <c r="O9" s="91">
        <f>ROUND(E9*K9*M9,0)</f>
        <v>11220</v>
      </c>
      <c r="P9" s="97" t="inlineStr">
        <is>
          <t>図面カウント</t>
        </is>
      </c>
      <c r="Q9" s="91">
        <f>IF(H9="","",H9-N9)</f>
        <v>1200</v>
      </c>
      <c r="R9" s="98">
        <f>IF(OR(H9="",H9=0),"",Q9/H9)</f>
        <v>0.09090909090909091</v>
      </c>
      <c r="S9" s="99" t="n"/>
    </row>
    <row r="10" ht="18" customHeight="1">
      <c r="A10" s="89" t="inlineStr">
        <is>
          <t xml:space="preserve">　FE-A4 親子扇 据付</t>
        </is>
      </c>
      <c r="B10" s="39" t="n"/>
      <c r="C10" s="90" t="inlineStr">
        <is>
          <t>VD-10ZFC14 管理人洗面UB</t>
        </is>
      </c>
      <c r="D10" s="39" t="n"/>
      <c r="E10" s="91" t="n">
        <v>1</v>
      </c>
      <c r="F10" s="92" t="inlineStr">
        <is>
          <t>台</t>
        </is>
      </c>
      <c r="G10" s="93">
        <f>IF(L10="","",ROUND(L10*M10,-1))</f>
        <v>15400</v>
      </c>
      <c r="H10" s="91">
        <f>IF(G10="","",ROUND(E10*G10,0))</f>
        <v>15400</v>
      </c>
      <c r="I10" s="94" t="inlineStr">
        <is>
          <t>本体は元請様支給</t>
        </is>
      </c>
      <c r="J10" s="95" t="n">
        <v>2100</v>
      </c>
      <c r="K10" s="95" t="n">
        <v>11900</v>
      </c>
      <c r="L10" s="93">
        <f>J10+K10</f>
        <v>14000</v>
      </c>
      <c r="M10" s="96">
        <f>COEF</f>
        <v>1.1</v>
      </c>
      <c r="N10" s="91">
        <f>E10*L10</f>
        <v>14000</v>
      </c>
      <c r="O10" s="91">
        <f>ROUND(E10*K10*M10,0)</f>
        <v>13090</v>
      </c>
      <c r="P10" s="97" t="inlineStr">
        <is>
          <t>図面カウント</t>
        </is>
      </c>
      <c r="Q10" s="91">
        <f>IF(H10="","",H10-N10)</f>
        <v>1400</v>
      </c>
      <c r="R10" s="98">
        <f>IF(OR(H10="",H10=0),"",Q10/H10)</f>
        <v>0.09090909090909091</v>
      </c>
      <c r="S10" s="99" t="n"/>
    </row>
    <row r="11" ht="18" customHeight="1">
      <c r="A11" s="89" t="inlineStr">
        <is>
          <t xml:space="preserve">　FE-A5 天井扇 据付</t>
        </is>
      </c>
      <c r="B11" s="39" t="n"/>
      <c r="C11" s="90" t="inlineStr">
        <is>
          <t>VD-15ZC14 管理人室</t>
        </is>
      </c>
      <c r="D11" s="39" t="n"/>
      <c r="E11" s="91" t="n">
        <v>2</v>
      </c>
      <c r="F11" s="92" t="inlineStr">
        <is>
          <t>台</t>
        </is>
      </c>
      <c r="G11" s="93">
        <f>IF(L11="","",ROUND(L11*M11,-1))</f>
        <v>13200</v>
      </c>
      <c r="H11" s="91">
        <f>IF(G11="","",ROUND(E11*G11,0))</f>
        <v>26400</v>
      </c>
      <c r="I11" s="94" t="inlineStr">
        <is>
          <t>本体は元請様支給</t>
        </is>
      </c>
      <c r="J11" s="95" t="n">
        <v>1800</v>
      </c>
      <c r="K11" s="95" t="n">
        <v>10200</v>
      </c>
      <c r="L11" s="93">
        <f>J11+K11</f>
        <v>12000</v>
      </c>
      <c r="M11" s="96">
        <f>COEF</f>
        <v>1.1</v>
      </c>
      <c r="N11" s="91">
        <f>E11*L11</f>
        <v>24000</v>
      </c>
      <c r="O11" s="91">
        <f>ROUND(E11*K11*M11,0)</f>
        <v>22440</v>
      </c>
      <c r="P11" s="97" t="inlineStr">
        <is>
          <t>図面カウント</t>
        </is>
      </c>
      <c r="Q11" s="91">
        <f>IF(H11="","",H11-N11)</f>
        <v>2400</v>
      </c>
      <c r="R11" s="98">
        <f>IF(OR(H11="",H11=0),"",Q11/H11)</f>
        <v>0.09090909090909091</v>
      </c>
      <c r="S11" s="99" t="n"/>
    </row>
    <row r="12" ht="18" customHeight="1">
      <c r="A12" s="89" t="inlineStr">
        <is>
          <t xml:space="preserve">　FE-A6 中間ファン 据付</t>
        </is>
      </c>
      <c r="B12" s="39" t="n"/>
      <c r="C12" s="90" t="inlineStr">
        <is>
          <t>BFS-50SYA2 200φ 1階男性WC</t>
        </is>
      </c>
      <c r="D12" s="39" t="n"/>
      <c r="E12" s="91" t="n">
        <v>1</v>
      </c>
      <c r="F12" s="92" t="inlineStr">
        <is>
          <t>台</t>
        </is>
      </c>
      <c r="G12" s="93">
        <f>IF(L12="","",ROUND(L12*M12,-1))</f>
        <v>38500</v>
      </c>
      <c r="H12" s="91">
        <f>IF(G12="","",ROUND(E12*G12,0))</f>
        <v>38500</v>
      </c>
      <c r="I12" s="94" t="inlineStr">
        <is>
          <t>本体は元請様支給</t>
        </is>
      </c>
      <c r="J12" s="95" t="n">
        <v>5200</v>
      </c>
      <c r="K12" s="95" t="n">
        <v>29800</v>
      </c>
      <c r="L12" s="93">
        <f>J12+K12</f>
        <v>35000</v>
      </c>
      <c r="M12" s="96">
        <f>COEF</f>
        <v>1.1</v>
      </c>
      <c r="N12" s="91">
        <f>E12*L12</f>
        <v>35000</v>
      </c>
      <c r="O12" s="91">
        <f>ROUND(E12*K12*M12,0)</f>
        <v>32780</v>
      </c>
      <c r="P12" s="97" t="inlineStr">
        <is>
          <t>図面カウント</t>
        </is>
      </c>
      <c r="Q12" s="91">
        <f>IF(H12="","",H12-N12)</f>
        <v>3500</v>
      </c>
      <c r="R12" s="98">
        <f>IF(OR(H12="",H12=0),"",Q12/H12)</f>
        <v>0.09090909090909091</v>
      </c>
      <c r="S12" s="99" t="inlineStr">
        <is>
          <t>防振吊金具共</t>
        </is>
      </c>
    </row>
    <row r="13" ht="18" customHeight="1">
      <c r="A13" s="89" t="inlineStr">
        <is>
          <t xml:space="preserve">　FE-A7 天井扇 据付</t>
        </is>
      </c>
      <c r="B13" s="39" t="n"/>
      <c r="C13" s="90" t="inlineStr">
        <is>
          <t>VD-17ZSC14 1階多目的WC</t>
        </is>
      </c>
      <c r="D13" s="39" t="n"/>
      <c r="E13" s="91" t="n">
        <v>1</v>
      </c>
      <c r="F13" s="92" t="inlineStr">
        <is>
          <t>台</t>
        </is>
      </c>
      <c r="G13" s="93">
        <f>IF(L13="","",ROUND(L13*M13,-1))</f>
        <v>13200</v>
      </c>
      <c r="H13" s="91">
        <f>IF(G13="","",ROUND(E13*G13,0))</f>
        <v>13200</v>
      </c>
      <c r="I13" s="94" t="inlineStr">
        <is>
          <t>本体は元請様支給</t>
        </is>
      </c>
      <c r="J13" s="95" t="n">
        <v>1800</v>
      </c>
      <c r="K13" s="95" t="n">
        <v>10200</v>
      </c>
      <c r="L13" s="93">
        <f>J13+K13</f>
        <v>12000</v>
      </c>
      <c r="M13" s="96">
        <f>COEF</f>
        <v>1.1</v>
      </c>
      <c r="N13" s="91">
        <f>E13*L13</f>
        <v>12000</v>
      </c>
      <c r="O13" s="91">
        <f>ROUND(E13*K13*M13,0)</f>
        <v>11220</v>
      </c>
      <c r="P13" s="97" t="inlineStr">
        <is>
          <t>図面カウント</t>
        </is>
      </c>
      <c r="Q13" s="91">
        <f>IF(H13="","",H13-N13)</f>
        <v>1200</v>
      </c>
      <c r="R13" s="98">
        <f>IF(OR(H13="",H13=0),"",Q13/H13)</f>
        <v>0.09090909090909091</v>
      </c>
      <c r="S13" s="99" t="n"/>
    </row>
    <row r="14" ht="18" customHeight="1">
      <c r="A14" s="89" t="inlineStr">
        <is>
          <t xml:space="preserve">　FE-B1 天井扇 据付</t>
        </is>
      </c>
      <c r="B14" s="39" t="n"/>
      <c r="C14" s="90" t="inlineStr">
        <is>
          <t>VD-17ZSC14 シューズロッカー・洗い場</t>
        </is>
      </c>
      <c r="D14" s="39" t="n"/>
      <c r="E14" s="91" t="n">
        <v>2</v>
      </c>
      <c r="F14" s="92" t="inlineStr">
        <is>
          <t>台</t>
        </is>
      </c>
      <c r="G14" s="93">
        <f>IF(L14="","",ROUND(L14*M14,-1))</f>
        <v>13200</v>
      </c>
      <c r="H14" s="91">
        <f>IF(G14="","",ROUND(E14*G14,0))</f>
        <v>26400</v>
      </c>
      <c r="I14" s="94" t="inlineStr">
        <is>
          <t>本体は元請様支給</t>
        </is>
      </c>
      <c r="J14" s="95" t="n">
        <v>1800</v>
      </c>
      <c r="K14" s="95" t="n">
        <v>10200</v>
      </c>
      <c r="L14" s="93">
        <f>J14+K14</f>
        <v>12000</v>
      </c>
      <c r="M14" s="96">
        <f>COEF</f>
        <v>1.1</v>
      </c>
      <c r="N14" s="91">
        <f>E14*L14</f>
        <v>24000</v>
      </c>
      <c r="O14" s="91">
        <f>ROUND(E14*K14*M14,0)</f>
        <v>22440</v>
      </c>
      <c r="P14" s="97" t="inlineStr">
        <is>
          <t>図面カウント</t>
        </is>
      </c>
      <c r="Q14" s="91">
        <f>IF(H14="","",H14-N14)</f>
        <v>2400</v>
      </c>
      <c r="R14" s="98">
        <f>IF(OR(H14="",H14=0),"",Q14/H14)</f>
        <v>0.09090909090909091</v>
      </c>
      <c r="S14" s="99" t="n"/>
    </row>
    <row r="15" ht="18" customHeight="1">
      <c r="A15" s="89" t="inlineStr">
        <is>
          <t xml:space="preserve">　FE-B2 天井扇 据付</t>
        </is>
      </c>
      <c r="B15" s="39" t="n"/>
      <c r="C15" s="90" t="inlineStr">
        <is>
          <t>VD-23ZB13 洗濯室</t>
        </is>
      </c>
      <c r="D15" s="39" t="n"/>
      <c r="E15" s="91" t="n">
        <v>2</v>
      </c>
      <c r="F15" s="92" t="inlineStr">
        <is>
          <t>台</t>
        </is>
      </c>
      <c r="G15" s="93">
        <f>IF(L15="","",ROUND(L15*M15,-1))</f>
        <v>15400</v>
      </c>
      <c r="H15" s="91">
        <f>IF(G15="","",ROUND(E15*G15,0))</f>
        <v>30800</v>
      </c>
      <c r="I15" s="94" t="inlineStr">
        <is>
          <t>本体は元請様支給</t>
        </is>
      </c>
      <c r="J15" s="95" t="n">
        <v>2100</v>
      </c>
      <c r="K15" s="95" t="n">
        <v>11900</v>
      </c>
      <c r="L15" s="93">
        <f>J15+K15</f>
        <v>14000</v>
      </c>
      <c r="M15" s="96">
        <f>COEF</f>
        <v>1.1</v>
      </c>
      <c r="N15" s="91">
        <f>E15*L15</f>
        <v>28000</v>
      </c>
      <c r="O15" s="91">
        <f>ROUND(E15*K15*M15,0)</f>
        <v>26180</v>
      </c>
      <c r="P15" s="97" t="inlineStr">
        <is>
          <t>図面カウント</t>
        </is>
      </c>
      <c r="Q15" s="91">
        <f>IF(H15="","",H15-N15)</f>
        <v>2800</v>
      </c>
      <c r="R15" s="98">
        <f>IF(OR(H15="",H15=0),"",Q15/H15)</f>
        <v>0.09090909090909091</v>
      </c>
      <c r="S15" s="99" t="n"/>
    </row>
    <row r="16" ht="18" customHeight="1">
      <c r="A16" s="89" t="inlineStr">
        <is>
          <t xml:space="preserve">　FE-B3 有圧扇 据付</t>
        </is>
      </c>
      <c r="B16" s="39" t="n"/>
      <c r="C16" s="90" t="inlineStr">
        <is>
          <t>EF-25ASXC2 浴室 ウェザーカバー共</t>
        </is>
      </c>
      <c r="D16" s="39" t="n"/>
      <c r="E16" s="91" t="n">
        <v>2</v>
      </c>
      <c r="F16" s="92" t="inlineStr">
        <is>
          <t>台</t>
        </is>
      </c>
      <c r="G16" s="93">
        <f>IF(L16="","",ROUND(L16*M16,-1))</f>
        <v>27500</v>
      </c>
      <c r="H16" s="91">
        <f>IF(G16="","",ROUND(E16*G16,0))</f>
        <v>55000</v>
      </c>
      <c r="I16" s="94" t="inlineStr">
        <is>
          <t>本体は元請様支給</t>
        </is>
      </c>
      <c r="J16" s="95" t="n">
        <v>2500</v>
      </c>
      <c r="K16" s="95" t="n">
        <v>22500</v>
      </c>
      <c r="L16" s="93">
        <f>J16+K16</f>
        <v>25000</v>
      </c>
      <c r="M16" s="96">
        <f>COEF</f>
        <v>1.1</v>
      </c>
      <c r="N16" s="91">
        <f>E16*L16</f>
        <v>50000</v>
      </c>
      <c r="O16" s="91">
        <f>ROUND(E16*K16*M16,0)</f>
        <v>49500</v>
      </c>
      <c r="P16" s="97" t="inlineStr">
        <is>
          <t>図面カウント</t>
        </is>
      </c>
      <c r="Q16" s="91">
        <f>IF(H16="","",H16-N16)</f>
        <v>5000</v>
      </c>
      <c r="R16" s="98">
        <f>IF(OR(H16="",H16=0),"",Q16/H16)</f>
        <v>0.09090909090909091</v>
      </c>
      <c r="S16" s="99" t="n"/>
    </row>
    <row r="17" ht="18" customHeight="1">
      <c r="A17" s="89" t="inlineStr">
        <is>
          <t xml:space="preserve">　FE-B4 中間ファン 据付</t>
        </is>
      </c>
      <c r="B17" s="39" t="n"/>
      <c r="C17" s="90" t="inlineStr">
        <is>
          <t>BFS-50SYA2 脱衣室・前室</t>
        </is>
      </c>
      <c r="D17" s="39" t="n"/>
      <c r="E17" s="91" t="n">
        <v>1</v>
      </c>
      <c r="F17" s="92" t="inlineStr">
        <is>
          <t>台</t>
        </is>
      </c>
      <c r="G17" s="93">
        <f>IF(L17="","",ROUND(L17*M17,-1))</f>
        <v>38500</v>
      </c>
      <c r="H17" s="91">
        <f>IF(G17="","",ROUND(E17*G17,0))</f>
        <v>38500</v>
      </c>
      <c r="I17" s="94" t="inlineStr">
        <is>
          <t>本体は元請様支給</t>
        </is>
      </c>
      <c r="J17" s="95" t="n">
        <v>5200</v>
      </c>
      <c r="K17" s="95" t="n">
        <v>29800</v>
      </c>
      <c r="L17" s="93">
        <f>J17+K17</f>
        <v>35000</v>
      </c>
      <c r="M17" s="96">
        <f>COEF</f>
        <v>1.1</v>
      </c>
      <c r="N17" s="91">
        <f>E17*L17</f>
        <v>35000</v>
      </c>
      <c r="O17" s="91">
        <f>ROUND(E17*K17*M17,0)</f>
        <v>32780</v>
      </c>
      <c r="P17" s="97" t="inlineStr">
        <is>
          <t>図面カウント</t>
        </is>
      </c>
      <c r="Q17" s="91">
        <f>IF(H17="","",H17-N17)</f>
        <v>3500</v>
      </c>
      <c r="R17" s="98">
        <f>IF(OR(H17="",H17=0),"",Q17/H17)</f>
        <v>0.09090909090909091</v>
      </c>
      <c r="S17" s="99" t="n"/>
    </row>
    <row r="18" ht="18" customHeight="1">
      <c r="A18" s="89" t="inlineStr">
        <is>
          <t xml:space="preserve">　FE-C1 パイプファン 据付</t>
        </is>
      </c>
      <c r="B18" s="39" t="n"/>
      <c r="C18" s="90" t="inlineStr">
        <is>
          <t>V-08PPX8 厨房WC・休憩室・段ボール庫・ゴミ庫2</t>
        </is>
      </c>
      <c r="D18" s="39" t="n"/>
      <c r="E18" s="91" t="n">
        <v>4</v>
      </c>
      <c r="F18" s="92" t="inlineStr">
        <is>
          <t>台</t>
        </is>
      </c>
      <c r="G18" s="93">
        <f>IF(L18="","",ROUND(L18*M18,-1))</f>
        <v>8800</v>
      </c>
      <c r="H18" s="91">
        <f>IF(G18="","",ROUND(E18*G18,0))</f>
        <v>35200</v>
      </c>
      <c r="I18" s="94" t="inlineStr">
        <is>
          <t>本体は元請様支給</t>
        </is>
      </c>
      <c r="J18" s="95" t="n">
        <v>1200</v>
      </c>
      <c r="K18" s="95" t="n">
        <v>6800</v>
      </c>
      <c r="L18" s="93">
        <f>J18+K18</f>
        <v>8000</v>
      </c>
      <c r="M18" s="96">
        <f>COEF</f>
        <v>1.1</v>
      </c>
      <c r="N18" s="91">
        <f>E18*L18</f>
        <v>32000</v>
      </c>
      <c r="O18" s="91">
        <f>ROUND(E18*K18*M18,0)</f>
        <v>29920</v>
      </c>
      <c r="P18" s="97" t="inlineStr">
        <is>
          <t>図面カウント</t>
        </is>
      </c>
      <c r="Q18" s="91">
        <f>IF(H18="","",H18-N18)</f>
        <v>3200</v>
      </c>
      <c r="R18" s="98">
        <f>IF(OR(H18="",H18=0),"",Q18/H18)</f>
        <v>0.09090909090909091</v>
      </c>
      <c r="S18" s="99" t="n"/>
    </row>
    <row r="19" ht="18" customHeight="1">
      <c r="A19" s="89" t="inlineStr">
        <is>
          <t xml:space="preserve">　FE-C2 パイプファン 据付</t>
        </is>
      </c>
      <c r="B19" s="39" t="n"/>
      <c r="C19" s="90" t="inlineStr">
        <is>
          <t>V-08PP8 厨房前室</t>
        </is>
      </c>
      <c r="D19" s="39" t="n"/>
      <c r="E19" s="91" t="n">
        <v>1</v>
      </c>
      <c r="F19" s="92" t="inlineStr">
        <is>
          <t>台</t>
        </is>
      </c>
      <c r="G19" s="93">
        <f>IF(L19="","",ROUND(L19*M19,-1))</f>
        <v>8800</v>
      </c>
      <c r="H19" s="91">
        <f>IF(G19="","",ROUND(E19*G19,0))</f>
        <v>8800</v>
      </c>
      <c r="I19" s="94" t="inlineStr">
        <is>
          <t>本体は元請様支給</t>
        </is>
      </c>
      <c r="J19" s="95" t="n">
        <v>1200</v>
      </c>
      <c r="K19" s="95" t="n">
        <v>6800</v>
      </c>
      <c r="L19" s="93">
        <f>J19+K19</f>
        <v>8000</v>
      </c>
      <c r="M19" s="96">
        <f>COEF</f>
        <v>1.1</v>
      </c>
      <c r="N19" s="91">
        <f>E19*L19</f>
        <v>8000</v>
      </c>
      <c r="O19" s="91">
        <f>ROUND(E19*K19*M19,0)</f>
        <v>7480</v>
      </c>
      <c r="P19" s="97" t="inlineStr">
        <is>
          <t>図面カウント</t>
        </is>
      </c>
      <c r="Q19" s="91">
        <f>IF(H19="","",H19-N19)</f>
        <v>800</v>
      </c>
      <c r="R19" s="98">
        <f>IF(OR(H19="",H19=0),"",Q19/H19)</f>
        <v>0.09090909090909091</v>
      </c>
      <c r="S19" s="99" t="n"/>
    </row>
    <row r="20" ht="18" customHeight="1">
      <c r="A20" s="89" t="inlineStr">
        <is>
          <t xml:space="preserve">　FE-C3 天井扇 据付</t>
        </is>
      </c>
      <c r="B20" s="39" t="n"/>
      <c r="C20" s="90" t="inlineStr">
        <is>
          <t>VD-15ZC14 冷蔵庫室</t>
        </is>
      </c>
      <c r="D20" s="39" t="n"/>
      <c r="E20" s="91" t="n">
        <v>1</v>
      </c>
      <c r="F20" s="92" t="inlineStr">
        <is>
          <t>台</t>
        </is>
      </c>
      <c r="G20" s="93">
        <f>IF(L20="","",ROUND(L20*M20,-1))</f>
        <v>13200</v>
      </c>
      <c r="H20" s="91">
        <f>IF(G20="","",ROUND(E20*G20,0))</f>
        <v>13200</v>
      </c>
      <c r="I20" s="94" t="inlineStr">
        <is>
          <t>本体は元請様支給</t>
        </is>
      </c>
      <c r="J20" s="95" t="n">
        <v>1800</v>
      </c>
      <c r="K20" s="95" t="n">
        <v>10200</v>
      </c>
      <c r="L20" s="93">
        <f>J20+K20</f>
        <v>12000</v>
      </c>
      <c r="M20" s="96">
        <f>COEF</f>
        <v>1.1</v>
      </c>
      <c r="N20" s="91">
        <f>E20*L20</f>
        <v>12000</v>
      </c>
      <c r="O20" s="91">
        <f>ROUND(E20*K20*M20,0)</f>
        <v>11220</v>
      </c>
      <c r="P20" s="97" t="inlineStr">
        <is>
          <t>図面カウント</t>
        </is>
      </c>
      <c r="Q20" s="91">
        <f>IF(H20="","",H20-N20)</f>
        <v>1200</v>
      </c>
      <c r="R20" s="98">
        <f>IF(OR(H20="",H20=0),"",Q20/H20)</f>
        <v>0.09090909090909091</v>
      </c>
      <c r="S20" s="99" t="n"/>
    </row>
    <row r="21" ht="18" customHeight="1">
      <c r="A21" s="89" t="inlineStr">
        <is>
          <t xml:space="preserve">　FE-C4 天井扇 据付</t>
        </is>
      </c>
      <c r="B21" s="39" t="n"/>
      <c r="C21" s="90" t="inlineStr">
        <is>
          <t>VD-17ZSC14 食品庫・弁当室</t>
        </is>
      </c>
      <c r="D21" s="39" t="n"/>
      <c r="E21" s="91" t="n">
        <v>2</v>
      </c>
      <c r="F21" s="92" t="inlineStr">
        <is>
          <t>台</t>
        </is>
      </c>
      <c r="G21" s="93">
        <f>IF(L21="","",ROUND(L21*M21,-1))</f>
        <v>13200</v>
      </c>
      <c r="H21" s="91">
        <f>IF(G21="","",ROUND(E21*G21,0))</f>
        <v>26400</v>
      </c>
      <c r="I21" s="94" t="inlineStr">
        <is>
          <t>本体は元請様支給</t>
        </is>
      </c>
      <c r="J21" s="95" t="n">
        <v>1800</v>
      </c>
      <c r="K21" s="95" t="n">
        <v>10200</v>
      </c>
      <c r="L21" s="93">
        <f>J21+K21</f>
        <v>12000</v>
      </c>
      <c r="M21" s="96">
        <f>COEF</f>
        <v>1.1</v>
      </c>
      <c r="N21" s="91">
        <f>E21*L21</f>
        <v>24000</v>
      </c>
      <c r="O21" s="91">
        <f>ROUND(E21*K21*M21,0)</f>
        <v>22440</v>
      </c>
      <c r="P21" s="97" t="inlineStr">
        <is>
          <t>図面カウント</t>
        </is>
      </c>
      <c r="Q21" s="91">
        <f>IF(H21="","",H21-N21)</f>
        <v>2400</v>
      </c>
      <c r="R21" s="98">
        <f>IF(OR(H21="",H21=0),"",Q21/H21)</f>
        <v>0.09090909090909091</v>
      </c>
      <c r="S21" s="99" t="n"/>
    </row>
    <row r="22" ht="18" customHeight="1">
      <c r="A22" s="89" t="inlineStr">
        <is>
          <t xml:space="preserve">　FE-C5 天井扇 据付</t>
        </is>
      </c>
      <c r="B22" s="39" t="n"/>
      <c r="C22" s="90" t="inlineStr">
        <is>
          <t>VD-13ZC14 厨房廊下</t>
        </is>
      </c>
      <c r="D22" s="39" t="n"/>
      <c r="E22" s="91" t="n">
        <v>1</v>
      </c>
      <c r="F22" s="92" t="inlineStr">
        <is>
          <t>台</t>
        </is>
      </c>
      <c r="G22" s="93">
        <f>IF(L22="","",ROUND(L22*M22,-1))</f>
        <v>13200</v>
      </c>
      <c r="H22" s="91">
        <f>IF(G22="","",ROUND(E22*G22,0))</f>
        <v>13200</v>
      </c>
      <c r="I22" s="94" t="inlineStr">
        <is>
          <t>本体は元請様支給</t>
        </is>
      </c>
      <c r="J22" s="95" t="n">
        <v>1800</v>
      </c>
      <c r="K22" s="95" t="n">
        <v>10200</v>
      </c>
      <c r="L22" s="93">
        <f>J22+K22</f>
        <v>12000</v>
      </c>
      <c r="M22" s="96">
        <f>COEF</f>
        <v>1.1</v>
      </c>
      <c r="N22" s="91">
        <f>E22*L22</f>
        <v>12000</v>
      </c>
      <c r="O22" s="91">
        <f>ROUND(E22*K22*M22,0)</f>
        <v>11220</v>
      </c>
      <c r="P22" s="97" t="inlineStr">
        <is>
          <t>図面カウント</t>
        </is>
      </c>
      <c r="Q22" s="91">
        <f>IF(H22="","",H22-N22)</f>
        <v>1200</v>
      </c>
      <c r="R22" s="98">
        <f>IF(OR(H22="",H22=0),"",Q22/H22)</f>
        <v>0.09090909090909091</v>
      </c>
      <c r="S22" s="99" t="n"/>
    </row>
    <row r="23" ht="18" customHeight="1">
      <c r="A23" s="89" t="inlineStr">
        <is>
          <t xml:space="preserve">　FE-D1 親子扇 据付</t>
        </is>
      </c>
      <c r="B23" s="39" t="n"/>
      <c r="C23" s="90" t="inlineStr">
        <is>
          <t>VD-10ZFC14 来客室UB</t>
        </is>
      </c>
      <c r="D23" s="39" t="n"/>
      <c r="E23" s="91" t="n">
        <v>5</v>
      </c>
      <c r="F23" s="92" t="inlineStr">
        <is>
          <t>台</t>
        </is>
      </c>
      <c r="G23" s="93">
        <f>IF(L23="","",ROUND(L23*M23,-1))</f>
        <v>15400</v>
      </c>
      <c r="H23" s="91">
        <f>IF(G23="","",ROUND(E23*G23,0))</f>
        <v>77000</v>
      </c>
      <c r="I23" s="94" t="inlineStr">
        <is>
          <t>本体は元請様支給</t>
        </is>
      </c>
      <c r="J23" s="95" t="n">
        <v>2100</v>
      </c>
      <c r="K23" s="95" t="n">
        <v>11900</v>
      </c>
      <c r="L23" s="93">
        <f>J23+K23</f>
        <v>14000</v>
      </c>
      <c r="M23" s="96">
        <f>COEF</f>
        <v>1.1</v>
      </c>
      <c r="N23" s="91">
        <f>E23*L23</f>
        <v>70000</v>
      </c>
      <c r="O23" s="91">
        <f>ROUND(E23*K23*M23,0)</f>
        <v>65450</v>
      </c>
      <c r="P23" s="97" t="inlineStr">
        <is>
          <t>図面カウント</t>
        </is>
      </c>
      <c r="Q23" s="91">
        <f>IF(H23="","",H23-N23)</f>
        <v>7000</v>
      </c>
      <c r="R23" s="98">
        <f>IF(OR(H23="",H23=0),"",Q23/H23)</f>
        <v>0.09090909090909091</v>
      </c>
      <c r="S23" s="99" t="n"/>
    </row>
    <row r="24" ht="18" customHeight="1">
      <c r="A24" s="89" t="inlineStr">
        <is>
          <t xml:space="preserve">　FE-D2 有圧扇 据付</t>
        </is>
      </c>
      <c r="B24" s="39" t="n"/>
      <c r="C24" s="90" t="inlineStr">
        <is>
          <t>ENF-20YSA2 倉庫2 ウェザーカバー共</t>
        </is>
      </c>
      <c r="D24" s="39" t="n"/>
      <c r="E24" s="91" t="n">
        <v>1</v>
      </c>
      <c r="F24" s="92" t="inlineStr">
        <is>
          <t>台</t>
        </is>
      </c>
      <c r="G24" s="93">
        <f>IF(L24="","",ROUND(L24*M24,-1))</f>
        <v>27500</v>
      </c>
      <c r="H24" s="91">
        <f>IF(G24="","",ROUND(E24*G24,0))</f>
        <v>27500</v>
      </c>
      <c r="I24" s="94" t="inlineStr">
        <is>
          <t>本体は元請様支給</t>
        </is>
      </c>
      <c r="J24" s="95" t="n">
        <v>2500</v>
      </c>
      <c r="K24" s="95" t="n">
        <v>22500</v>
      </c>
      <c r="L24" s="93">
        <f>J24+K24</f>
        <v>25000</v>
      </c>
      <c r="M24" s="96">
        <f>COEF</f>
        <v>1.1</v>
      </c>
      <c r="N24" s="91">
        <f>E24*L24</f>
        <v>25000</v>
      </c>
      <c r="O24" s="91">
        <f>ROUND(E24*K24*M24,0)</f>
        <v>24750</v>
      </c>
      <c r="P24" s="97" t="inlineStr">
        <is>
          <t>図面カウント</t>
        </is>
      </c>
      <c r="Q24" s="91">
        <f>IF(H24="","",H24-N24)</f>
        <v>2500</v>
      </c>
      <c r="R24" s="98">
        <f>IF(OR(H24="",H24=0),"",Q24/H24)</f>
        <v>0.09090909090909091</v>
      </c>
      <c r="S24" s="99" t="n"/>
    </row>
    <row r="25" ht="18" customHeight="1">
      <c r="A25" s="89" t="inlineStr">
        <is>
          <t xml:space="preserve">　FE-D3 天井扇 据付</t>
        </is>
      </c>
      <c r="B25" s="39" t="n"/>
      <c r="C25" s="90" t="inlineStr">
        <is>
          <t>VD-20ZC14 ケア室</t>
        </is>
      </c>
      <c r="D25" s="39" t="n"/>
      <c r="E25" s="91" t="n">
        <v>1</v>
      </c>
      <c r="F25" s="92" t="inlineStr">
        <is>
          <t>台</t>
        </is>
      </c>
      <c r="G25" s="93">
        <f>IF(L25="","",ROUND(L25*M25,-1))</f>
        <v>13200</v>
      </c>
      <c r="H25" s="91">
        <f>IF(G25="","",ROUND(E25*G25,0))</f>
        <v>13200</v>
      </c>
      <c r="I25" s="94" t="inlineStr">
        <is>
          <t>本体は元請様支給</t>
        </is>
      </c>
      <c r="J25" s="95" t="n">
        <v>1800</v>
      </c>
      <c r="K25" s="95" t="n">
        <v>10200</v>
      </c>
      <c r="L25" s="93">
        <f>J25+K25</f>
        <v>12000</v>
      </c>
      <c r="M25" s="96">
        <f>COEF</f>
        <v>1.1</v>
      </c>
      <c r="N25" s="91">
        <f>E25*L25</f>
        <v>12000</v>
      </c>
      <c r="O25" s="91">
        <f>ROUND(E25*K25*M25,0)</f>
        <v>11220</v>
      </c>
      <c r="P25" s="97" t="inlineStr">
        <is>
          <t>図面カウント</t>
        </is>
      </c>
      <c r="Q25" s="91">
        <f>IF(H25="","",H25-N25)</f>
        <v>1200</v>
      </c>
      <c r="R25" s="98">
        <f>IF(OR(H25="",H25=0),"",Q25/H25)</f>
        <v>0.09090909090909091</v>
      </c>
      <c r="S25" s="99" t="n"/>
    </row>
    <row r="26" ht="18" customHeight="1">
      <c r="A26" s="89" t="inlineStr">
        <is>
          <t xml:space="preserve">　FE-D4 天井扇 据付</t>
        </is>
      </c>
      <c r="B26" s="39" t="n"/>
      <c r="C26" s="90" t="inlineStr">
        <is>
          <t>VD-15ZC14 コーチルーム流し</t>
        </is>
      </c>
      <c r="D26" s="39" t="n"/>
      <c r="E26" s="91" t="n">
        <v>1</v>
      </c>
      <c r="F26" s="92" t="inlineStr">
        <is>
          <t>台</t>
        </is>
      </c>
      <c r="G26" s="93">
        <f>IF(L26="","",ROUND(L26*M26,-1))</f>
        <v>13200</v>
      </c>
      <c r="H26" s="91">
        <f>IF(G26="","",ROUND(E26*G26,0))</f>
        <v>13200</v>
      </c>
      <c r="I26" s="94" t="inlineStr">
        <is>
          <t>本体は元請様支給</t>
        </is>
      </c>
      <c r="J26" s="95" t="n">
        <v>1800</v>
      </c>
      <c r="K26" s="95" t="n">
        <v>10200</v>
      </c>
      <c r="L26" s="93">
        <f>J26+K26</f>
        <v>12000</v>
      </c>
      <c r="M26" s="96">
        <f>COEF</f>
        <v>1.1</v>
      </c>
      <c r="N26" s="91">
        <f>E26*L26</f>
        <v>12000</v>
      </c>
      <c r="O26" s="91">
        <f>ROUND(E26*K26*M26,0)</f>
        <v>11220</v>
      </c>
      <c r="P26" s="97" t="inlineStr">
        <is>
          <t>図面カウント</t>
        </is>
      </c>
      <c r="Q26" s="91">
        <f>IF(H26="","",H26-N26)</f>
        <v>1200</v>
      </c>
      <c r="R26" s="98">
        <f>IF(OR(H26="",H26=0),"",Q26/H26)</f>
        <v>0.09090909090909091</v>
      </c>
      <c r="S26" s="99" t="n"/>
    </row>
    <row r="27" ht="18" customHeight="1">
      <c r="A27" s="89" t="inlineStr">
        <is>
          <t xml:space="preserve">　FE-E1 中間ファン 据付</t>
        </is>
      </c>
      <c r="B27" s="39" t="n"/>
      <c r="C27" s="90" t="inlineStr">
        <is>
          <t>BFS-80SYA2 2階WC(北)</t>
        </is>
      </c>
      <c r="D27" s="39" t="n"/>
      <c r="E27" s="91" t="n">
        <v>2</v>
      </c>
      <c r="F27" s="92" t="inlineStr">
        <is>
          <t>台</t>
        </is>
      </c>
      <c r="G27" s="93">
        <f>IF(L27="","",ROUND(L27*M27,-1))</f>
        <v>38500</v>
      </c>
      <c r="H27" s="91">
        <f>IF(G27="","",ROUND(E27*G27,0))</f>
        <v>77000</v>
      </c>
      <c r="I27" s="94" t="inlineStr">
        <is>
          <t>本体は元請様支給</t>
        </is>
      </c>
      <c r="J27" s="95" t="n">
        <v>5200</v>
      </c>
      <c r="K27" s="95" t="n">
        <v>29800</v>
      </c>
      <c r="L27" s="93">
        <f>J27+K27</f>
        <v>35000</v>
      </c>
      <c r="M27" s="96">
        <f>COEF</f>
        <v>1.1</v>
      </c>
      <c r="N27" s="91">
        <f>E27*L27</f>
        <v>70000</v>
      </c>
      <c r="O27" s="91">
        <f>ROUND(E27*K27*M27,0)</f>
        <v>65560</v>
      </c>
      <c r="P27" s="97" t="inlineStr">
        <is>
          <t>図面カウント</t>
        </is>
      </c>
      <c r="Q27" s="91">
        <f>IF(H27="","",H27-N27)</f>
        <v>7000</v>
      </c>
      <c r="R27" s="98">
        <f>IF(OR(H27="",H27=0),"",Q27/H27)</f>
        <v>0.09090909090909091</v>
      </c>
      <c r="S27" s="99" t="n"/>
    </row>
    <row r="28" ht="18" customHeight="1">
      <c r="A28" s="89" t="inlineStr">
        <is>
          <t xml:space="preserve">　FE-E2 天井扇 据付</t>
        </is>
      </c>
      <c r="B28" s="39" t="n"/>
      <c r="C28" s="90" t="inlineStr">
        <is>
          <t>VD-20ZC14 2階洗面所(北)(南)</t>
        </is>
      </c>
      <c r="D28" s="39" t="n"/>
      <c r="E28" s="91" t="n">
        <v>2</v>
      </c>
      <c r="F28" s="92" t="inlineStr">
        <is>
          <t>台</t>
        </is>
      </c>
      <c r="G28" s="93">
        <f>IF(L28="","",ROUND(L28*M28,-1))</f>
        <v>13200</v>
      </c>
      <c r="H28" s="91">
        <f>IF(G28="","",ROUND(E28*G28,0))</f>
        <v>26400</v>
      </c>
      <c r="I28" s="94" t="inlineStr">
        <is>
          <t>本体は元請様支給</t>
        </is>
      </c>
      <c r="J28" s="95" t="n">
        <v>1800</v>
      </c>
      <c r="K28" s="95" t="n">
        <v>10200</v>
      </c>
      <c r="L28" s="93">
        <f>J28+K28</f>
        <v>12000</v>
      </c>
      <c r="M28" s="96">
        <f>COEF</f>
        <v>1.1</v>
      </c>
      <c r="N28" s="91">
        <f>E28*L28</f>
        <v>24000</v>
      </c>
      <c r="O28" s="91">
        <f>ROUND(E28*K28*M28,0)</f>
        <v>22440</v>
      </c>
      <c r="P28" s="97" t="inlineStr">
        <is>
          <t>図面カウント</t>
        </is>
      </c>
      <c r="Q28" s="91">
        <f>IF(H28="","",H28-N28)</f>
        <v>2400</v>
      </c>
      <c r="R28" s="98">
        <f>IF(OR(H28="",H28=0),"",Q28/H28)</f>
        <v>0.09090909090909091</v>
      </c>
      <c r="S28" s="99" t="n"/>
    </row>
    <row r="29" ht="18" customHeight="1">
      <c r="A29" s="89" t="inlineStr">
        <is>
          <t xml:space="preserve">　FE-E3 天井扇 据付</t>
        </is>
      </c>
      <c r="B29" s="39" t="n"/>
      <c r="C29" s="90" t="inlineStr">
        <is>
          <t>VD-20ZC14 2階階段ホール</t>
        </is>
      </c>
      <c r="D29" s="39" t="n"/>
      <c r="E29" s="91" t="n">
        <v>2</v>
      </c>
      <c r="F29" s="92" t="inlineStr">
        <is>
          <t>台</t>
        </is>
      </c>
      <c r="G29" s="93">
        <f>IF(L29="","",ROUND(L29*M29,-1))</f>
        <v>13200</v>
      </c>
      <c r="H29" s="91">
        <f>IF(G29="","",ROUND(E29*G29,0))</f>
        <v>26400</v>
      </c>
      <c r="I29" s="94" t="inlineStr">
        <is>
          <t>本体は元請様支給</t>
        </is>
      </c>
      <c r="J29" s="95" t="n">
        <v>1800</v>
      </c>
      <c r="K29" s="95" t="n">
        <v>10200</v>
      </c>
      <c r="L29" s="93">
        <f>J29+K29</f>
        <v>12000</v>
      </c>
      <c r="M29" s="96">
        <f>COEF</f>
        <v>1.1</v>
      </c>
      <c r="N29" s="91">
        <f>E29*L29</f>
        <v>24000</v>
      </c>
      <c r="O29" s="91">
        <f>ROUND(E29*K29*M29,0)</f>
        <v>22440</v>
      </c>
      <c r="P29" s="97" t="inlineStr">
        <is>
          <t>図面カウント</t>
        </is>
      </c>
      <c r="Q29" s="91">
        <f>IF(H29="","",H29-N29)</f>
        <v>2400</v>
      </c>
      <c r="R29" s="98">
        <f>IF(OR(H29="",H29=0),"",Q29/H29)</f>
        <v>0.09090909090909091</v>
      </c>
      <c r="S29" s="99" t="n"/>
    </row>
    <row r="30" ht="18" customHeight="1">
      <c r="A30" s="89" t="inlineStr">
        <is>
          <t xml:space="preserve">　FE-E4 中間ファン 据付</t>
        </is>
      </c>
      <c r="B30" s="39" t="n"/>
      <c r="C30" s="90" t="inlineStr">
        <is>
          <t>BFS-50SYA2 2階WC(南)</t>
        </is>
      </c>
      <c r="D30" s="39" t="n"/>
      <c r="E30" s="91" t="n">
        <v>2</v>
      </c>
      <c r="F30" s="92" t="inlineStr">
        <is>
          <t>台</t>
        </is>
      </c>
      <c r="G30" s="93">
        <f>IF(L30="","",ROUND(L30*M30,-1))</f>
        <v>38500</v>
      </c>
      <c r="H30" s="91">
        <f>IF(G30="","",ROUND(E30*G30,0))</f>
        <v>77000</v>
      </c>
      <c r="I30" s="94" t="inlineStr">
        <is>
          <t>本体は元請様支給</t>
        </is>
      </c>
      <c r="J30" s="95" t="n">
        <v>5200</v>
      </c>
      <c r="K30" s="95" t="n">
        <v>29800</v>
      </c>
      <c r="L30" s="93">
        <f>J30+K30</f>
        <v>35000</v>
      </c>
      <c r="M30" s="96">
        <f>COEF</f>
        <v>1.1</v>
      </c>
      <c r="N30" s="91">
        <f>E30*L30</f>
        <v>70000</v>
      </c>
      <c r="O30" s="91">
        <f>ROUND(E30*K30*M30,0)</f>
        <v>65560</v>
      </c>
      <c r="P30" s="97" t="inlineStr">
        <is>
          <t>図面カウント</t>
        </is>
      </c>
      <c r="Q30" s="91">
        <f>IF(H30="","",H30-N30)</f>
        <v>7000</v>
      </c>
      <c r="R30" s="98">
        <f>IF(OR(H30="",H30=0),"",Q30/H30)</f>
        <v>0.09090909090909091</v>
      </c>
      <c r="S30" s="99" t="n"/>
    </row>
    <row r="31" ht="18" customHeight="1">
      <c r="A31" s="89" t="inlineStr">
        <is>
          <t xml:space="preserve">　FE-E5 天井扇 据付</t>
        </is>
      </c>
      <c r="B31" s="39" t="n"/>
      <c r="C31" s="90" t="inlineStr">
        <is>
          <t>VD-15ZPC14 多目的スペース</t>
        </is>
      </c>
      <c r="D31" s="39" t="n"/>
      <c r="E31" s="91" t="n">
        <v>1</v>
      </c>
      <c r="F31" s="92" t="inlineStr">
        <is>
          <t>台</t>
        </is>
      </c>
      <c r="G31" s="93">
        <f>IF(L31="","",ROUND(L31*M31,-1))</f>
        <v>13200</v>
      </c>
      <c r="H31" s="91">
        <f>IF(G31="","",ROUND(E31*G31,0))</f>
        <v>13200</v>
      </c>
      <c r="I31" s="94" t="inlineStr">
        <is>
          <t>本体は元請様支給</t>
        </is>
      </c>
      <c r="J31" s="95" t="n">
        <v>1800</v>
      </c>
      <c r="K31" s="95" t="n">
        <v>10200</v>
      </c>
      <c r="L31" s="93">
        <f>J31+K31</f>
        <v>12000</v>
      </c>
      <c r="M31" s="96">
        <f>COEF</f>
        <v>1.1</v>
      </c>
      <c r="N31" s="91">
        <f>E31*L31</f>
        <v>12000</v>
      </c>
      <c r="O31" s="91">
        <f>ROUND(E31*K31*M31,0)</f>
        <v>11220</v>
      </c>
      <c r="P31" s="97" t="inlineStr">
        <is>
          <t>図面カウント</t>
        </is>
      </c>
      <c r="Q31" s="91">
        <f>IF(H31="","",H31-N31)</f>
        <v>1200</v>
      </c>
      <c r="R31" s="98">
        <f>IF(OR(H31="",H31=0),"",Q31/H31)</f>
        <v>0.09090909090909091</v>
      </c>
      <c r="S31" s="99" t="n"/>
    </row>
    <row r="32" ht="18" customHeight="1">
      <c r="A32" s="89" t="inlineStr">
        <is>
          <t xml:space="preserve">　FE-E6 親子扇 据付</t>
        </is>
      </c>
      <c r="B32" s="39" t="n"/>
      <c r="C32" s="90" t="inlineStr">
        <is>
          <t>VD-10ZFC14 寮務スタッフ室UB</t>
        </is>
      </c>
      <c r="D32" s="39" t="n"/>
      <c r="E32" s="91" t="n">
        <v>1</v>
      </c>
      <c r="F32" s="92" t="inlineStr">
        <is>
          <t>台</t>
        </is>
      </c>
      <c r="G32" s="93">
        <f>IF(L32="","",ROUND(L32*M32,-1))</f>
        <v>15400</v>
      </c>
      <c r="H32" s="91">
        <f>IF(G32="","",ROUND(E32*G32,0))</f>
        <v>15400</v>
      </c>
      <c r="I32" s="94" t="inlineStr">
        <is>
          <t>本体は元請様支給</t>
        </is>
      </c>
      <c r="J32" s="95" t="n">
        <v>2100</v>
      </c>
      <c r="K32" s="95" t="n">
        <v>11900</v>
      </c>
      <c r="L32" s="93">
        <f>J32+K32</f>
        <v>14000</v>
      </c>
      <c r="M32" s="96">
        <f>COEF</f>
        <v>1.1</v>
      </c>
      <c r="N32" s="91">
        <f>E32*L32</f>
        <v>14000</v>
      </c>
      <c r="O32" s="91">
        <f>ROUND(E32*K32*M32,0)</f>
        <v>13090</v>
      </c>
      <c r="P32" s="97" t="inlineStr">
        <is>
          <t>図面カウント</t>
        </is>
      </c>
      <c r="Q32" s="91">
        <f>IF(H32="","",H32-N32)</f>
        <v>1400</v>
      </c>
      <c r="R32" s="98">
        <f>IF(OR(H32="",H32=0),"",Q32/H32)</f>
        <v>0.09090909090909091</v>
      </c>
      <c r="S32" s="99" t="n"/>
    </row>
    <row r="33" ht="18" customHeight="1">
      <c r="A33" s="89" t="inlineStr">
        <is>
          <t xml:space="preserve">　HEX-1 全熱交換器 据付</t>
        </is>
      </c>
      <c r="B33" s="39" t="n"/>
      <c r="C33" s="90" t="inlineStr">
        <is>
          <t>LGH-N80RXV2 天井埋込 食堂 リモコン共</t>
        </is>
      </c>
      <c r="D33" s="39" t="n"/>
      <c r="E33" s="91" t="n">
        <v>1</v>
      </c>
      <c r="F33" s="92" t="inlineStr">
        <is>
          <t>台</t>
        </is>
      </c>
      <c r="G33" s="93">
        <f>IF(L33="","",ROUND(L33*M33,-1))</f>
        <v>49500</v>
      </c>
      <c r="H33" s="91">
        <f>IF(G33="","",ROUND(E33*G33,0))</f>
        <v>49500</v>
      </c>
      <c r="I33" s="94" t="inlineStr">
        <is>
          <t>本体は元請様支給</t>
        </is>
      </c>
      <c r="J33" s="95" t="n">
        <v>18000</v>
      </c>
      <c r="K33" s="95" t="n">
        <v>27000</v>
      </c>
      <c r="L33" s="93">
        <f>J33+K33</f>
        <v>45000</v>
      </c>
      <c r="M33" s="96">
        <f>COEF</f>
        <v>1.1</v>
      </c>
      <c r="N33" s="91">
        <f>E33*L33</f>
        <v>45000</v>
      </c>
      <c r="O33" s="91">
        <f>ROUND(E33*K33*M33,0)</f>
        <v>29700</v>
      </c>
      <c r="P33" s="97" t="inlineStr">
        <is>
          <t>図面カウント</t>
        </is>
      </c>
      <c r="Q33" s="91">
        <f>IF(H33="","",H33-N33)</f>
        <v>4500</v>
      </c>
      <c r="R33" s="98">
        <f>IF(OR(H33="",H33=0),"",Q33/H33)</f>
        <v>0.09090909090909091</v>
      </c>
      <c r="S33" s="99" t="inlineStr">
        <is>
          <t>08にて中止→C-1で減額</t>
        </is>
      </c>
    </row>
    <row r="34" ht="18" customHeight="1">
      <c r="A34" s="89" t="inlineStr">
        <is>
          <t xml:space="preserve">　HEX-2 全熱交換器 据付</t>
        </is>
      </c>
      <c r="B34" s="39" t="n"/>
      <c r="C34" s="90" t="inlineStr">
        <is>
          <t>LGH-N65RXW2 天井埋込 ミーティングルーム</t>
        </is>
      </c>
      <c r="D34" s="39" t="n"/>
      <c r="E34" s="91" t="n">
        <v>1</v>
      </c>
      <c r="F34" s="92" t="inlineStr">
        <is>
          <t>台</t>
        </is>
      </c>
      <c r="G34" s="93">
        <f>IF(L34="","",ROUND(L34*M34,-1))</f>
        <v>49500</v>
      </c>
      <c r="H34" s="91">
        <f>IF(G34="","",ROUND(E34*G34,0))</f>
        <v>49500</v>
      </c>
      <c r="I34" s="94" t="inlineStr">
        <is>
          <t>本体は元請様支給</t>
        </is>
      </c>
      <c r="J34" s="95" t="n">
        <v>6800</v>
      </c>
      <c r="K34" s="95" t="n">
        <v>38200</v>
      </c>
      <c r="L34" s="93">
        <f>J34+K34</f>
        <v>45000</v>
      </c>
      <c r="M34" s="96">
        <f>COEF</f>
        <v>1.1</v>
      </c>
      <c r="N34" s="91">
        <f>E34*L34</f>
        <v>45000</v>
      </c>
      <c r="O34" s="91">
        <f>ROUND(E34*K34*M34,0)</f>
        <v>42020</v>
      </c>
      <c r="P34" s="97" t="inlineStr">
        <is>
          <t>図面カウント</t>
        </is>
      </c>
      <c r="Q34" s="91">
        <f>IF(H34="","",H34-N34)</f>
        <v>4500</v>
      </c>
      <c r="R34" s="98">
        <f>IF(OR(H34="",H34=0),"",Q34/H34)</f>
        <v>0.09090909090909091</v>
      </c>
      <c r="S34" s="99" t="inlineStr">
        <is>
          <t>08にて中止→C-1で減額</t>
        </is>
      </c>
    </row>
    <row r="35" ht="18" customHeight="1">
      <c r="A35" s="89" t="inlineStr">
        <is>
          <t xml:space="preserve">　HEX-3 全熱交換器 据付</t>
        </is>
      </c>
      <c r="B35" s="39" t="n"/>
      <c r="C35" s="90" t="inlineStr">
        <is>
          <t>SKU-50AC 天井カセット コーチルーム・トレーニングルーム</t>
        </is>
      </c>
      <c r="D35" s="39" t="n"/>
      <c r="E35" s="91" t="n">
        <v>4</v>
      </c>
      <c r="F35" s="92" t="inlineStr">
        <is>
          <t>台</t>
        </is>
      </c>
      <c r="G35" s="93">
        <f>IF(L35="","",ROUND(L35*M35,-1))</f>
        <v>44000</v>
      </c>
      <c r="H35" s="91">
        <f>IF(G35="","",ROUND(E35*G35,0))</f>
        <v>176000</v>
      </c>
      <c r="I35" s="94" t="inlineStr">
        <is>
          <t>本体は元請様支給</t>
        </is>
      </c>
      <c r="J35" s="95" t="n">
        <v>6000</v>
      </c>
      <c r="K35" s="95" t="n">
        <v>34000</v>
      </c>
      <c r="L35" s="93">
        <f>J35+K35</f>
        <v>40000</v>
      </c>
      <c r="M35" s="96">
        <f>COEF</f>
        <v>1.1</v>
      </c>
      <c r="N35" s="91">
        <f>E35*L35</f>
        <v>160000</v>
      </c>
      <c r="O35" s="91">
        <f>ROUND(E35*K35*M35,0)</f>
        <v>149600</v>
      </c>
      <c r="P35" s="97" t="inlineStr">
        <is>
          <t>図面カウント</t>
        </is>
      </c>
      <c r="Q35" s="91">
        <f>IF(H35="","",H35-N35)</f>
        <v>16000</v>
      </c>
      <c r="R35" s="98">
        <f>IF(OR(H35="",H35=0),"",Q35/H35)</f>
        <v>0.09090909090909091</v>
      </c>
      <c r="S35" s="99" t="inlineStr">
        <is>
          <t>08にて中止→C-1で減額</t>
        </is>
      </c>
    </row>
    <row r="36" ht="18" customHeight="1">
      <c r="A36" s="89" t="inlineStr">
        <is>
          <t xml:space="preserve">　HEX-4 壁掛ロスナイ 据付</t>
        </is>
      </c>
      <c r="B36" s="39" t="n"/>
      <c r="C36" s="90" t="inlineStr">
        <is>
          <t>VL-10ES3 来客室・寮室(南)・寮務スタッフ室</t>
        </is>
      </c>
      <c r="D36" s="39" t="n"/>
      <c r="E36" s="91" t="n">
        <v>46</v>
      </c>
      <c r="F36" s="92" t="inlineStr">
        <is>
          <t>台</t>
        </is>
      </c>
      <c r="G36" s="93">
        <f>IF(L36="","",ROUND(L36*M36,-1))</f>
        <v>13200</v>
      </c>
      <c r="H36" s="91">
        <f>IF(G36="","",ROUND(E36*G36,0))</f>
        <v>607200</v>
      </c>
      <c r="I36" s="94" t="inlineStr">
        <is>
          <t>本体は元請様支給</t>
        </is>
      </c>
      <c r="J36" s="95" t="n">
        <v>1800</v>
      </c>
      <c r="K36" s="95" t="n">
        <v>10200</v>
      </c>
      <c r="L36" s="93">
        <f>J36+K36</f>
        <v>12000</v>
      </c>
      <c r="M36" s="96">
        <f>COEF</f>
        <v>1.1</v>
      </c>
      <c r="N36" s="91">
        <f>E36*L36</f>
        <v>552000</v>
      </c>
      <c r="O36" s="91">
        <f>ROUND(E36*K36*M36,0)</f>
        <v>516120</v>
      </c>
      <c r="P36" s="97" t="inlineStr">
        <is>
          <t>図面カウント</t>
        </is>
      </c>
      <c r="Q36" s="91">
        <f>IF(H36="","",H36-N36)</f>
        <v>55200</v>
      </c>
      <c r="R36" s="98">
        <f>IF(OR(H36="",H36=0),"",Q36/H36)</f>
        <v>0.09090909090909091</v>
      </c>
      <c r="S36" s="99" t="inlineStr">
        <is>
          <t>08にて中止→C-1で減額</t>
        </is>
      </c>
    </row>
    <row r="37" ht="18" customHeight="1">
      <c r="A37" s="89" t="inlineStr">
        <is>
          <t xml:space="preserve">　HEX-5 壁掛ロスナイ 据付</t>
        </is>
      </c>
      <c r="B37" s="39" t="n"/>
      <c r="C37" s="90" t="inlineStr">
        <is>
          <t>VL-12ESH3 寮室(北)</t>
        </is>
      </c>
      <c r="D37" s="39" t="n"/>
      <c r="E37" s="91" t="n">
        <v>27</v>
      </c>
      <c r="F37" s="92" t="inlineStr">
        <is>
          <t>台</t>
        </is>
      </c>
      <c r="G37" s="93">
        <f>IF(L37="","",ROUND(L37*M37,-1))</f>
        <v>13200</v>
      </c>
      <c r="H37" s="91">
        <f>IF(G37="","",ROUND(E37*G37,0))</f>
        <v>356400</v>
      </c>
      <c r="I37" s="94" t="inlineStr">
        <is>
          <t>本体は元請様支給</t>
        </is>
      </c>
      <c r="J37" s="95" t="n">
        <v>1800</v>
      </c>
      <c r="K37" s="95" t="n">
        <v>10200</v>
      </c>
      <c r="L37" s="93">
        <f>J37+K37</f>
        <v>12000</v>
      </c>
      <c r="M37" s="96">
        <f>COEF</f>
        <v>1.1</v>
      </c>
      <c r="N37" s="91">
        <f>E37*L37</f>
        <v>324000</v>
      </c>
      <c r="O37" s="91">
        <f>ROUND(E37*K37*M37,0)</f>
        <v>302940</v>
      </c>
      <c r="P37" s="97" t="inlineStr">
        <is>
          <t>図面カウント</t>
        </is>
      </c>
      <c r="Q37" s="91">
        <f>IF(H37="","",H37-N37)</f>
        <v>32400</v>
      </c>
      <c r="R37" s="98">
        <f>IF(OR(H37="",H37=0),"",Q37/H37)</f>
        <v>0.09090909090909091</v>
      </c>
      <c r="S37" s="99" t="inlineStr">
        <is>
          <t>08にて中止→C-1で減額</t>
        </is>
      </c>
    </row>
    <row r="38" ht="18" customHeight="1">
      <c r="A38" s="89" t="inlineStr">
        <is>
          <t xml:space="preserve">　F-1 中間ファン 据付</t>
        </is>
      </c>
      <c r="B38" s="39" t="n"/>
      <c r="C38" s="90" t="inlineStr">
        <is>
          <t>BFS-80SXA2 厨房用 洗浄室</t>
        </is>
      </c>
      <c r="D38" s="39" t="n"/>
      <c r="E38" s="91" t="n">
        <v>1</v>
      </c>
      <c r="F38" s="92" t="inlineStr">
        <is>
          <t>台</t>
        </is>
      </c>
      <c r="G38" s="93">
        <f>IF(L38="","",ROUND(L38*M38,-1))</f>
        <v>38500</v>
      </c>
      <c r="H38" s="91">
        <f>IF(G38="","",ROUND(E38*G38,0))</f>
        <v>38500</v>
      </c>
      <c r="I38" s="94" t="inlineStr">
        <is>
          <t>本体は元請様支給</t>
        </is>
      </c>
      <c r="J38" s="95" t="n">
        <v>5200</v>
      </c>
      <c r="K38" s="95" t="n">
        <v>29800</v>
      </c>
      <c r="L38" s="93">
        <f>J38+K38</f>
        <v>35000</v>
      </c>
      <c r="M38" s="96">
        <f>COEF</f>
        <v>1.1</v>
      </c>
      <c r="N38" s="91">
        <f>E38*L38</f>
        <v>35000</v>
      </c>
      <c r="O38" s="91">
        <f>ROUND(E38*K38*M38,0)</f>
        <v>32780</v>
      </c>
      <c r="P38" s="97" t="inlineStr">
        <is>
          <t>図面カウント</t>
        </is>
      </c>
      <c r="Q38" s="91">
        <f>IF(H38="","",H38-N38)</f>
        <v>3500</v>
      </c>
      <c r="R38" s="98">
        <f>IF(OR(H38="",H38=0),"",Q38/H38)</f>
        <v>0.09090909090909091</v>
      </c>
      <c r="S38" s="99" t="n"/>
    </row>
    <row r="39" ht="18" customHeight="1">
      <c r="A39" s="89" t="inlineStr">
        <is>
          <t xml:space="preserve">　F-2 中間ファン 据付</t>
        </is>
      </c>
      <c r="B39" s="39" t="n"/>
      <c r="C39" s="90" t="inlineStr">
        <is>
          <t>BFS-150SXA2 厨房用 厨房</t>
        </is>
      </c>
      <c r="D39" s="39" t="n"/>
      <c r="E39" s="91" t="n">
        <v>1</v>
      </c>
      <c r="F39" s="92" t="inlineStr">
        <is>
          <t>台</t>
        </is>
      </c>
      <c r="G39" s="93">
        <f>IF(L39="","",ROUND(L39*M39,-1))</f>
        <v>44000</v>
      </c>
      <c r="H39" s="91">
        <f>IF(G39="","",ROUND(E39*G39,0))</f>
        <v>44000</v>
      </c>
      <c r="I39" s="94" t="inlineStr">
        <is>
          <t>本体は元請様支給</t>
        </is>
      </c>
      <c r="J39" s="95" t="n">
        <v>6000</v>
      </c>
      <c r="K39" s="95" t="n">
        <v>34000</v>
      </c>
      <c r="L39" s="93">
        <f>J39+K39</f>
        <v>40000</v>
      </c>
      <c r="M39" s="96">
        <f>COEF</f>
        <v>1.1</v>
      </c>
      <c r="N39" s="91">
        <f>E39*L39</f>
        <v>40000</v>
      </c>
      <c r="O39" s="91">
        <f>ROUND(E39*K39*M39,0)</f>
        <v>37400</v>
      </c>
      <c r="P39" s="97" t="inlineStr">
        <is>
          <t>図面カウント</t>
        </is>
      </c>
      <c r="Q39" s="91">
        <f>IF(H39="","",H39-N39)</f>
        <v>4000</v>
      </c>
      <c r="R39" s="98">
        <f>IF(OR(H39="",H39=0),"",Q39/H39)</f>
        <v>0.09090909090909091</v>
      </c>
      <c r="S39" s="99" t="n"/>
    </row>
    <row r="40" ht="18" customHeight="1">
      <c r="A40" s="89" t="inlineStr">
        <is>
          <t xml:space="preserve">　F-3 有圧扇 据付</t>
        </is>
      </c>
      <c r="B40" s="39" t="n"/>
      <c r="C40" s="90" t="inlineStr">
        <is>
          <t>EF-30BSXC2-HC 厨房 ウェザーカバー・リモコン共</t>
        </is>
      </c>
      <c r="D40" s="39" t="n"/>
      <c r="E40" s="91" t="n">
        <v>3</v>
      </c>
      <c r="F40" s="92" t="inlineStr">
        <is>
          <t>台</t>
        </is>
      </c>
      <c r="G40" s="93">
        <f>IF(L40="","",ROUND(L40*M40,-1))</f>
        <v>30800</v>
      </c>
      <c r="H40" s="91">
        <f>IF(G40="","",ROUND(E40*G40,0))</f>
        <v>92400</v>
      </c>
      <c r="I40" s="94" t="inlineStr">
        <is>
          <t>本体は元請様支給</t>
        </is>
      </c>
      <c r="J40" s="95" t="n">
        <v>2800</v>
      </c>
      <c r="K40" s="95" t="n">
        <v>25200</v>
      </c>
      <c r="L40" s="93">
        <f>J40+K40</f>
        <v>28000</v>
      </c>
      <c r="M40" s="96">
        <f>COEF</f>
        <v>1.1</v>
      </c>
      <c r="N40" s="91">
        <f>E40*L40</f>
        <v>84000</v>
      </c>
      <c r="O40" s="91">
        <f>ROUND(E40*K40*M40,0)</f>
        <v>83160</v>
      </c>
      <c r="P40" s="97" t="inlineStr">
        <is>
          <t>図面カウント</t>
        </is>
      </c>
      <c r="Q40" s="91">
        <f>IF(H40="","",H40-N40)</f>
        <v>8400</v>
      </c>
      <c r="R40" s="98">
        <f>IF(OR(H40="",H40=0),"",Q40/H40)</f>
        <v>0.09090909090909091</v>
      </c>
      <c r="S40" s="99" t="n"/>
    </row>
    <row r="41" ht="18" customHeight="1">
      <c r="A41" s="89" t="inlineStr">
        <is>
          <t xml:space="preserve">　F-4 サイクル扇 据付</t>
        </is>
      </c>
      <c r="B41" s="39" t="n"/>
      <c r="C41" s="90" t="inlineStr">
        <is>
          <t>CY-30WD 脱衣室 速度調節器共</t>
        </is>
      </c>
      <c r="D41" s="39" t="n"/>
      <c r="E41" s="91" t="n">
        <v>4</v>
      </c>
      <c r="F41" s="92" t="inlineStr">
        <is>
          <t>台</t>
        </is>
      </c>
      <c r="G41" s="93">
        <f>IF(L41="","",ROUND(L41*M41,-1))</f>
        <v>11000</v>
      </c>
      <c r="H41" s="91">
        <f>IF(G41="","",ROUND(E41*G41,0))</f>
        <v>44000</v>
      </c>
      <c r="I41" s="94" t="inlineStr">
        <is>
          <t>本体は元請様支給</t>
        </is>
      </c>
      <c r="J41" s="95" t="n">
        <v>1500</v>
      </c>
      <c r="K41" s="95" t="n">
        <v>8500</v>
      </c>
      <c r="L41" s="93">
        <f>J41+K41</f>
        <v>10000</v>
      </c>
      <c r="M41" s="96">
        <f>COEF</f>
        <v>1.1</v>
      </c>
      <c r="N41" s="91">
        <f>E41*L41</f>
        <v>40000</v>
      </c>
      <c r="O41" s="91">
        <f>ROUND(E41*K41*M41,0)</f>
        <v>37400</v>
      </c>
      <c r="P41" s="97" t="inlineStr">
        <is>
          <t>図面カウント</t>
        </is>
      </c>
      <c r="Q41" s="91">
        <f>IF(H41="","",H41-N41)</f>
        <v>4000</v>
      </c>
      <c r="R41" s="98">
        <f>IF(OR(H41="",H41=0),"",Q41/H41)</f>
        <v>0.09090909090909091</v>
      </c>
      <c r="S41" s="99" t="n"/>
    </row>
    <row r="42" ht="18" customHeight="1">
      <c r="A42" s="89" t="inlineStr">
        <is>
          <t xml:space="preserve">　FS-1 中間ファン 据付</t>
        </is>
      </c>
      <c r="B42" s="39" t="n"/>
      <c r="C42" s="90" t="inlineStr">
        <is>
          <t>BFS-80SUG2 給気 洗浄室 F-1と連動</t>
        </is>
      </c>
      <c r="D42" s="39" t="n"/>
      <c r="E42" s="91" t="n">
        <v>1</v>
      </c>
      <c r="F42" s="92" t="inlineStr">
        <is>
          <t>台</t>
        </is>
      </c>
      <c r="G42" s="93">
        <f>IF(L42="","",ROUND(L42*M42,-1))</f>
        <v>38500</v>
      </c>
      <c r="H42" s="91">
        <f>IF(G42="","",ROUND(E42*G42,0))</f>
        <v>38500</v>
      </c>
      <c r="I42" s="94" t="inlineStr">
        <is>
          <t>本体は元請様支給</t>
        </is>
      </c>
      <c r="J42" s="95" t="n">
        <v>5200</v>
      </c>
      <c r="K42" s="95" t="n">
        <v>29800</v>
      </c>
      <c r="L42" s="93">
        <f>J42+K42</f>
        <v>35000</v>
      </c>
      <c r="M42" s="96">
        <f>COEF</f>
        <v>1.1</v>
      </c>
      <c r="N42" s="91">
        <f>E42*L42</f>
        <v>35000</v>
      </c>
      <c r="O42" s="91">
        <f>ROUND(E42*K42*M42,0)</f>
        <v>32780</v>
      </c>
      <c r="P42" s="97" t="inlineStr">
        <is>
          <t>図面カウント</t>
        </is>
      </c>
      <c r="Q42" s="91">
        <f>IF(H42="","",H42-N42)</f>
        <v>3500</v>
      </c>
      <c r="R42" s="98">
        <f>IF(OR(H42="",H42=0),"",Q42/H42)</f>
        <v>0.09090909090909091</v>
      </c>
      <c r="S42" s="99" t="n"/>
    </row>
    <row r="43" ht="18" customHeight="1">
      <c r="A43" s="89" t="inlineStr">
        <is>
          <t xml:space="preserve">　FS-2 中間ファン 据付</t>
        </is>
      </c>
      <c r="B43" s="39" t="n"/>
      <c r="C43" s="90" t="inlineStr">
        <is>
          <t>BFS-150SUG2 給気 厨房 F-2と連動</t>
        </is>
      </c>
      <c r="D43" s="39" t="n"/>
      <c r="E43" s="91" t="n">
        <v>1</v>
      </c>
      <c r="F43" s="92" t="inlineStr">
        <is>
          <t>台</t>
        </is>
      </c>
      <c r="G43" s="93">
        <f>IF(L43="","",ROUND(L43*M43,-1))</f>
        <v>44000</v>
      </c>
      <c r="H43" s="91">
        <f>IF(G43="","",ROUND(E43*G43,0))</f>
        <v>44000</v>
      </c>
      <c r="I43" s="94" t="inlineStr">
        <is>
          <t>本体は元請様支給</t>
        </is>
      </c>
      <c r="J43" s="95" t="n">
        <v>6000</v>
      </c>
      <c r="K43" s="95" t="n">
        <v>34000</v>
      </c>
      <c r="L43" s="93">
        <f>J43+K43</f>
        <v>40000</v>
      </c>
      <c r="M43" s="96">
        <f>COEF</f>
        <v>1.1</v>
      </c>
      <c r="N43" s="91">
        <f>E43*L43</f>
        <v>40000</v>
      </c>
      <c r="O43" s="91">
        <f>ROUND(E43*K43*M43,0)</f>
        <v>37400</v>
      </c>
      <c r="P43" s="97" t="inlineStr">
        <is>
          <t>図面カウント</t>
        </is>
      </c>
      <c r="Q43" s="91">
        <f>IF(H43="","",H43-N43)</f>
        <v>4000</v>
      </c>
      <c r="R43" s="98">
        <f>IF(OR(H43="",H43=0),"",Q43/H43)</f>
        <v>0.09090909090909091</v>
      </c>
      <c r="S43" s="99" t="n"/>
    </row>
    <row r="44" ht="18" customHeight="1">
      <c r="A44" s="89" t="inlineStr">
        <is>
          <t xml:space="preserve">　全熱交換器・中間ファン リモコン配線</t>
        </is>
      </c>
      <c r="B44" s="39" t="n"/>
      <c r="C44" s="90" t="inlineStr">
        <is>
          <t>HEX-1,2,3(4台)・F-3 リモコン線 工事区分表: 機械</t>
        </is>
      </c>
      <c r="D44" s="39" t="n"/>
      <c r="E44" s="91" t="n">
        <v>9</v>
      </c>
      <c r="F44" s="92" t="inlineStr">
        <is>
          <t>台</t>
        </is>
      </c>
      <c r="G44" s="93">
        <f>IF(L44="","",ROUND(L44*M44,-1))</f>
        <v>8800</v>
      </c>
      <c r="H44" s="91">
        <f>IF(G44="","",ROUND(E44*G44,0))</f>
        <v>79200</v>
      </c>
      <c r="I44" s="94" t="inlineStr">
        <is>
          <t>図面08 中止に伴う減額</t>
        </is>
      </c>
      <c r="J44" s="95" t="n">
        <v>3200</v>
      </c>
      <c r="K44" s="95" t="n">
        <v>4800</v>
      </c>
      <c r="L44" s="93">
        <f>J44+K44</f>
        <v>8000</v>
      </c>
      <c r="M44" s="96">
        <f>COEF</f>
        <v>1.1</v>
      </c>
      <c r="N44" s="91">
        <f>E44*L44</f>
        <v>72000</v>
      </c>
      <c r="O44" s="91">
        <f>ROUND(E44*K44*M44,0)</f>
        <v>47520</v>
      </c>
      <c r="P44" s="97" t="inlineStr">
        <is>
          <t>図面カウント</t>
        </is>
      </c>
      <c r="Q44" s="91">
        <f>IF(H44="","",H44-N44)</f>
        <v>7200</v>
      </c>
      <c r="R44" s="98">
        <f>IF(OR(H44="",H44=0),"",Q44/H44)</f>
        <v>0.09090909090909091</v>
      </c>
      <c r="S44" s="99" t="inlineStr">
        <is>
          <t>HEX分は08で減額</t>
        </is>
      </c>
    </row>
    <row r="45" ht="18" customHeight="1">
      <c r="A45" s="89" t="inlineStr">
        <is>
          <t xml:space="preserve">　機器搬入・養生</t>
        </is>
      </c>
      <c r="B45" s="39" t="n"/>
      <c r="C45" s="90" t="inlineStr">
        <is>
          <t>換気機器 約140台</t>
        </is>
      </c>
      <c r="D45" s="39" t="n"/>
      <c r="E45" s="91" t="n">
        <v>1</v>
      </c>
      <c r="F45" s="92" t="inlineStr">
        <is>
          <t>式</t>
        </is>
      </c>
      <c r="G45" s="93">
        <f>IF(L45="","",ROUND(L45*M45,-1))</f>
        <v>88000</v>
      </c>
      <c r="H45" s="91">
        <f>IF(G45="","",ROUND(E45*G45,0))</f>
        <v>88000</v>
      </c>
      <c r="I45" s="94" t="inlineStr">
        <is>
          <t>想定数量（別紙条件書）</t>
        </is>
      </c>
      <c r="J45" s="95" t="n">
        <v>8000</v>
      </c>
      <c r="K45" s="95" t="n">
        <v>72000</v>
      </c>
      <c r="L45" s="93">
        <f>J45+K45</f>
        <v>80000</v>
      </c>
      <c r="M45" s="96">
        <f>COEF</f>
        <v>1.1</v>
      </c>
      <c r="N45" s="91">
        <f>E45*L45</f>
        <v>80000</v>
      </c>
      <c r="O45" s="91">
        <f>ROUND(E45*K45*M45,0)</f>
        <v>79200</v>
      </c>
      <c r="P45" s="100" t="inlineStr">
        <is>
          <t>推測</t>
        </is>
      </c>
      <c r="Q45" s="91">
        <f>IF(H45="","",H45-N45)</f>
        <v>8000</v>
      </c>
      <c r="R45" s="98">
        <f>IF(OR(H45="",H45=0),"",Q45/H45)</f>
        <v>0.09090909090909091</v>
      </c>
      <c r="S45" s="99" t="n"/>
    </row>
    <row r="46" ht="18" customHeight="1">
      <c r="A46" s="88" t="inlineStr">
        <is>
          <t>（2）ダクト工事</t>
        </is>
      </c>
      <c r="B46" s="39" t="n"/>
      <c r="C46" s="39" t="n"/>
      <c r="D46" s="39" t="n"/>
      <c r="E46" s="39" t="n"/>
      <c r="F46" s="39" t="n"/>
      <c r="G46" s="39" t="n"/>
      <c r="H46" s="39" t="n"/>
      <c r="I46" s="87" t="n"/>
      <c r="J46" s="39" t="n"/>
      <c r="K46" s="39" t="n"/>
      <c r="L46" s="39" t="n"/>
      <c r="M46" s="39" t="n"/>
      <c r="N46" s="39" t="n"/>
      <c r="O46" s="39" t="n"/>
      <c r="P46" s="39" t="n"/>
      <c r="Q46" s="39" t="n"/>
      <c r="R46" s="39" t="n"/>
      <c r="S46" s="39" t="n"/>
    </row>
    <row r="47" ht="18" customHeight="1">
      <c r="A47" s="89" t="inlineStr">
        <is>
          <t xml:space="preserve">　スパイラルダクト 100φ (EA)</t>
        </is>
      </c>
      <c r="B47" s="39" t="n"/>
      <c r="C47" s="90" t="inlineStr">
        <is>
          <t>亜鉛鉄板 低速 継手・支持共</t>
        </is>
      </c>
      <c r="D47" s="39" t="n"/>
      <c r="E47" s="91" t="n">
        <v>68</v>
      </c>
      <c r="F47" s="92" t="inlineStr">
        <is>
          <t>m</t>
        </is>
      </c>
      <c r="G47" s="93">
        <f>IF(L47="","",ROUND(L47*M47,-1))</f>
        <v>4950</v>
      </c>
      <c r="H47" s="91">
        <f>IF(G47="","",ROUND(E47*G47,0))</f>
        <v>336600</v>
      </c>
      <c r="I47" s="94" t="inlineStr">
        <is>
          <t>図面実測数量</t>
        </is>
      </c>
      <c r="J47" s="95" t="n">
        <v>2300</v>
      </c>
      <c r="K47" s="95" t="n">
        <v>2200</v>
      </c>
      <c r="L47" s="93">
        <f>J47+K47</f>
        <v>4500</v>
      </c>
      <c r="M47" s="96">
        <f>COEF</f>
        <v>1.1</v>
      </c>
      <c r="N47" s="91">
        <f>E47*L47</f>
        <v>306000</v>
      </c>
      <c r="O47" s="91">
        <f>ROUND(E47*K47*M47,0)</f>
        <v>164560</v>
      </c>
      <c r="P47" s="97" t="inlineStr">
        <is>
          <t>実測</t>
        </is>
      </c>
      <c r="Q47" s="91">
        <f>IF(H47="","",H47-N47)</f>
        <v>30600</v>
      </c>
      <c r="R47" s="98">
        <f>IF(OR(H47="",H47=0),"",Q47/H47)</f>
        <v>0.09090909090909091</v>
      </c>
      <c r="S47" s="99" t="inlineStr">
        <is>
          <t>1F 62.6m・2F 5.2m</t>
        </is>
      </c>
    </row>
    <row r="48" ht="18" customHeight="1">
      <c r="A48" s="89" t="inlineStr">
        <is>
          <t xml:space="preserve">　スパイラルダクト 150φ (EA)</t>
        </is>
      </c>
      <c r="B48" s="39" t="n"/>
      <c r="C48" s="90" t="inlineStr">
        <is>
          <t>亜鉛鉄板 低速 継手・支持共</t>
        </is>
      </c>
      <c r="D48" s="39" t="n"/>
      <c r="E48" s="91" t="n">
        <v>151</v>
      </c>
      <c r="F48" s="92" t="inlineStr">
        <is>
          <t>m</t>
        </is>
      </c>
      <c r="G48" s="93">
        <f>IF(L48="","",ROUND(L48*M48,-1))</f>
        <v>6050</v>
      </c>
      <c r="H48" s="91">
        <f>IF(G48="","",ROUND(E48*G48,0))</f>
        <v>913550</v>
      </c>
      <c r="I48" s="94" t="inlineStr">
        <is>
          <t>図面実測数量</t>
        </is>
      </c>
      <c r="J48" s="95" t="n">
        <v>2700</v>
      </c>
      <c r="K48" s="95" t="n">
        <v>2800</v>
      </c>
      <c r="L48" s="93">
        <f>J48+K48</f>
        <v>5500</v>
      </c>
      <c r="M48" s="96">
        <f>COEF</f>
        <v>1.1</v>
      </c>
      <c r="N48" s="91">
        <f>E48*L48</f>
        <v>830500</v>
      </c>
      <c r="O48" s="91">
        <f>ROUND(E48*K48*M48,0)</f>
        <v>465080</v>
      </c>
      <c r="P48" s="97" t="inlineStr">
        <is>
          <t>実測</t>
        </is>
      </c>
      <c r="Q48" s="91">
        <f>IF(H48="","",H48-N48)</f>
        <v>83050</v>
      </c>
      <c r="R48" s="98">
        <f>IF(OR(H48="",H48=0),"",Q48/H48)</f>
        <v>0.09090909090909091</v>
      </c>
      <c r="S48" s="99" t="inlineStr">
        <is>
          <t>1F 122.4m・2F 28.2m(口径未判読分含む)</t>
        </is>
      </c>
    </row>
    <row r="49" ht="18" customHeight="1">
      <c r="A49" s="89" t="inlineStr">
        <is>
          <t xml:space="preserve">　スパイラルダクト 200φ (EA)</t>
        </is>
      </c>
      <c r="B49" s="39" t="n"/>
      <c r="C49" s="90" t="inlineStr">
        <is>
          <t>亜鉛鉄板 低速 継手・支持共</t>
        </is>
      </c>
      <c r="D49" s="39" t="n"/>
      <c r="E49" s="91" t="n">
        <v>44</v>
      </c>
      <c r="F49" s="92" t="inlineStr">
        <is>
          <t>m</t>
        </is>
      </c>
      <c r="G49" s="93">
        <f>IF(L49="","",ROUND(L49*M49,-1))</f>
        <v>7150</v>
      </c>
      <c r="H49" s="91">
        <f>IF(G49="","",ROUND(E49*G49,0))</f>
        <v>314600</v>
      </c>
      <c r="I49" s="94" t="inlineStr">
        <is>
          <t>図面実測＋想定（別紙）</t>
        </is>
      </c>
      <c r="J49" s="95" t="n">
        <v>3300</v>
      </c>
      <c r="K49" s="95" t="n">
        <v>3200</v>
      </c>
      <c r="L49" s="93">
        <f>J49+K49</f>
        <v>6500</v>
      </c>
      <c r="M49" s="96">
        <f>COEF</f>
        <v>1.1</v>
      </c>
      <c r="N49" s="91">
        <f>E49*L49</f>
        <v>286000</v>
      </c>
      <c r="O49" s="91">
        <f>ROUND(E49*K49*M49,0)</f>
        <v>154880</v>
      </c>
      <c r="P49" s="97" t="inlineStr">
        <is>
          <t>実測+推測</t>
        </is>
      </c>
      <c r="Q49" s="91">
        <f>IF(H49="","",H49-N49)</f>
        <v>28600</v>
      </c>
      <c r="R49" s="98">
        <f>IF(OR(H49="",H49=0),"",Q49/H49)</f>
        <v>0.09090909090909091</v>
      </c>
      <c r="S49" s="99" t="inlineStr">
        <is>
          <t>1F 25.2m・2F 9.8m 実測＋厨房詳細図 9m 推測</t>
        </is>
      </c>
    </row>
    <row r="50" ht="18" customHeight="1">
      <c r="A50" s="89" t="inlineStr">
        <is>
          <t xml:space="preserve">　スパイラルダクト 250φ (EA 厨房)</t>
        </is>
      </c>
      <c r="B50" s="39" t="n"/>
      <c r="C50" s="90" t="inlineStr">
        <is>
          <t>亜鉛鉄板 継手・支持共</t>
        </is>
      </c>
      <c r="D50" s="39" t="n"/>
      <c r="E50" s="91" t="n">
        <v>6</v>
      </c>
      <c r="F50" s="92" t="inlineStr">
        <is>
          <t>m</t>
        </is>
      </c>
      <c r="G50" s="93">
        <f>IF(L50="","",ROUND(L50*M50,-1))</f>
        <v>8250</v>
      </c>
      <c r="H50" s="91">
        <f>IF(G50="","",ROUND(E50*G50,0))</f>
        <v>49500</v>
      </c>
      <c r="I50" s="94" t="inlineStr">
        <is>
          <t>想定数量（別紙条件書）</t>
        </is>
      </c>
      <c r="J50" s="95" t="n">
        <v>3700</v>
      </c>
      <c r="K50" s="95" t="n">
        <v>3800</v>
      </c>
      <c r="L50" s="93">
        <f>J50+K50</f>
        <v>7500</v>
      </c>
      <c r="M50" s="96">
        <f>COEF</f>
        <v>1.1</v>
      </c>
      <c r="N50" s="91">
        <f>E50*L50</f>
        <v>45000</v>
      </c>
      <c r="O50" s="91">
        <f>ROUND(E50*K50*M50,0)</f>
        <v>25080</v>
      </c>
      <c r="P50" s="100" t="inlineStr">
        <is>
          <t>推測</t>
        </is>
      </c>
      <c r="Q50" s="91">
        <f>IF(H50="","",H50-N50)</f>
        <v>4500</v>
      </c>
      <c r="R50" s="98">
        <f>IF(OR(H50="",H50=0),"",Q50/H50)</f>
        <v>0.09090909090909091</v>
      </c>
      <c r="S50" s="99" t="inlineStr">
        <is>
          <t>厨房廻り平面詳細図より</t>
        </is>
      </c>
    </row>
    <row r="51" ht="18" customHeight="1">
      <c r="A51" s="89" t="inlineStr">
        <is>
          <t xml:space="preserve">　スパイラルダクト 300φ (EA 厨房)</t>
        </is>
      </c>
      <c r="B51" s="39" t="n"/>
      <c r="C51" s="90" t="inlineStr">
        <is>
          <t>亜鉛鉄板 継手・支持共</t>
        </is>
      </c>
      <c r="D51" s="39" t="n"/>
      <c r="E51" s="91" t="n">
        <v>5</v>
      </c>
      <c r="F51" s="92" t="inlineStr">
        <is>
          <t>m</t>
        </is>
      </c>
      <c r="G51" s="93">
        <f>IF(L51="","",ROUND(L51*M51,-1))</f>
        <v>9350</v>
      </c>
      <c r="H51" s="91">
        <f>IF(G51="","",ROUND(E51*G51,0))</f>
        <v>46750</v>
      </c>
      <c r="I51" s="94" t="inlineStr">
        <is>
          <t>想定数量（別紙条件書）</t>
        </is>
      </c>
      <c r="J51" s="95" t="n">
        <v>4300</v>
      </c>
      <c r="K51" s="95" t="n">
        <v>4200</v>
      </c>
      <c r="L51" s="93">
        <f>J51+K51</f>
        <v>8500</v>
      </c>
      <c r="M51" s="96">
        <f>COEF</f>
        <v>1.1</v>
      </c>
      <c r="N51" s="91">
        <f>E51*L51</f>
        <v>42500</v>
      </c>
      <c r="O51" s="91">
        <f>ROUND(E51*K51*M51,0)</f>
        <v>23100</v>
      </c>
      <c r="P51" s="100" t="inlineStr">
        <is>
          <t>推測</t>
        </is>
      </c>
      <c r="Q51" s="91">
        <f>IF(H51="","",H51-N51)</f>
        <v>4250</v>
      </c>
      <c r="R51" s="98">
        <f>IF(OR(H51="",H51=0),"",Q51/H51)</f>
        <v>0.09090909090909091</v>
      </c>
      <c r="S51" s="99" t="inlineStr">
        <is>
          <t>フード③④→F-3 3台</t>
        </is>
      </c>
    </row>
    <row r="52" ht="18" customHeight="1">
      <c r="A52" s="89" t="inlineStr">
        <is>
          <t xml:space="preserve">　スパイラルダクト 100φ (OA)</t>
        </is>
      </c>
      <c r="B52" s="39" t="n"/>
      <c r="C52" s="90" t="inlineStr">
        <is>
          <t>亜鉛鉄板 継手・支持共</t>
        </is>
      </c>
      <c r="D52" s="39" t="n"/>
      <c r="E52" s="91" t="n">
        <v>4</v>
      </c>
      <c r="F52" s="92" t="inlineStr">
        <is>
          <t>m</t>
        </is>
      </c>
      <c r="G52" s="93">
        <f>IF(L52="","",ROUND(L52*M52,-1))</f>
        <v>4950</v>
      </c>
      <c r="H52" s="91">
        <f>IF(G52="","",ROUND(E52*G52,0))</f>
        <v>19800</v>
      </c>
      <c r="I52" s="94" t="inlineStr">
        <is>
          <t>図面実測数量</t>
        </is>
      </c>
      <c r="J52" s="95" t="n">
        <v>2300</v>
      </c>
      <c r="K52" s="95" t="n">
        <v>2200</v>
      </c>
      <c r="L52" s="93">
        <f>J52+K52</f>
        <v>4500</v>
      </c>
      <c r="M52" s="96">
        <f>COEF</f>
        <v>1.1</v>
      </c>
      <c r="N52" s="91">
        <f>E52*L52</f>
        <v>18000</v>
      </c>
      <c r="O52" s="91">
        <f>ROUND(E52*K52*M52,0)</f>
        <v>9680</v>
      </c>
      <c r="P52" s="97" t="inlineStr">
        <is>
          <t>実測</t>
        </is>
      </c>
      <c r="Q52" s="91">
        <f>IF(H52="","",H52-N52)</f>
        <v>1800</v>
      </c>
      <c r="R52" s="98">
        <f>IF(OR(H52="",H52=0),"",Q52/H52)</f>
        <v>0.09090909090909091</v>
      </c>
      <c r="S52" s="99" t="n"/>
    </row>
    <row r="53" ht="18" customHeight="1">
      <c r="A53" s="89" t="inlineStr">
        <is>
          <t xml:space="preserve">　スパイラルダクト 150φ (OA)</t>
        </is>
      </c>
      <c r="B53" s="39" t="n"/>
      <c r="C53" s="90" t="inlineStr">
        <is>
          <t>亜鉛鉄板 継手・支持共</t>
        </is>
      </c>
      <c r="D53" s="39" t="n"/>
      <c r="E53" s="91" t="n">
        <v>51</v>
      </c>
      <c r="F53" s="92" t="inlineStr">
        <is>
          <t>m</t>
        </is>
      </c>
      <c r="G53" s="93">
        <f>IF(L53="","",ROUND(L53*M53,-1))</f>
        <v>6050</v>
      </c>
      <c r="H53" s="91">
        <f>IF(G53="","",ROUND(E53*G53,0))</f>
        <v>308550</v>
      </c>
      <c r="I53" s="94" t="inlineStr">
        <is>
          <t>図面実測数量</t>
        </is>
      </c>
      <c r="J53" s="95" t="n">
        <v>2700</v>
      </c>
      <c r="K53" s="95" t="n">
        <v>2800</v>
      </c>
      <c r="L53" s="93">
        <f>J53+K53</f>
        <v>5500</v>
      </c>
      <c r="M53" s="96">
        <f>COEF</f>
        <v>1.1</v>
      </c>
      <c r="N53" s="91">
        <f>E53*L53</f>
        <v>280500</v>
      </c>
      <c r="O53" s="91">
        <f>ROUND(E53*K53*M53,0)</f>
        <v>157080</v>
      </c>
      <c r="P53" s="97" t="inlineStr">
        <is>
          <t>実測</t>
        </is>
      </c>
      <c r="Q53" s="91">
        <f>IF(H53="","",H53-N53)</f>
        <v>28050</v>
      </c>
      <c r="R53" s="98">
        <f>IF(OR(H53="",H53=0),"",Q53/H53)</f>
        <v>0.09090909090909091</v>
      </c>
      <c r="S53" s="99" t="inlineStr">
        <is>
          <t>1F 50.4m</t>
        </is>
      </c>
    </row>
    <row r="54" ht="18" customHeight="1">
      <c r="A54" s="89" t="inlineStr">
        <is>
          <t xml:space="preserve">　スパイラルダクト 200φ (OA)</t>
        </is>
      </c>
      <c r="B54" s="39" t="n"/>
      <c r="C54" s="90" t="inlineStr">
        <is>
          <t>亜鉛鉄板 継手・支持共</t>
        </is>
      </c>
      <c r="D54" s="39" t="n"/>
      <c r="E54" s="91" t="n">
        <v>57</v>
      </c>
      <c r="F54" s="92" t="inlineStr">
        <is>
          <t>m</t>
        </is>
      </c>
      <c r="G54" s="93">
        <f>IF(L54="","",ROUND(L54*M54,-1))</f>
        <v>7150</v>
      </c>
      <c r="H54" s="91">
        <f>IF(G54="","",ROUND(E54*G54,0))</f>
        <v>407550</v>
      </c>
      <c r="I54" s="94" t="inlineStr">
        <is>
          <t>図面実測＋想定（別紙）</t>
        </is>
      </c>
      <c r="J54" s="95" t="n">
        <v>3300</v>
      </c>
      <c r="K54" s="95" t="n">
        <v>3200</v>
      </c>
      <c r="L54" s="93">
        <f>J54+K54</f>
        <v>6500</v>
      </c>
      <c r="M54" s="96">
        <f>COEF</f>
        <v>1.1</v>
      </c>
      <c r="N54" s="91">
        <f>E54*L54</f>
        <v>370500</v>
      </c>
      <c r="O54" s="91">
        <f>ROUND(E54*K54*M54,0)</f>
        <v>200640</v>
      </c>
      <c r="P54" s="97" t="inlineStr">
        <is>
          <t>実測+推測</t>
        </is>
      </c>
      <c r="Q54" s="91">
        <f>IF(H54="","",H54-N54)</f>
        <v>37050</v>
      </c>
      <c r="R54" s="98">
        <f>IF(OR(H54="",H54=0),"",Q54/H54)</f>
        <v>0.09090909090909091</v>
      </c>
      <c r="S54" s="99" t="inlineStr">
        <is>
          <t>1F 45.7m・2F 3.5m 実測＋厨房FS-1 7.5m 推測</t>
        </is>
      </c>
    </row>
    <row r="55" ht="18" customHeight="1">
      <c r="A55" s="89" t="inlineStr">
        <is>
          <t xml:space="preserve">　スパイラルダクト 250φ (OA 厨房 FS-2)</t>
        </is>
      </c>
      <c r="B55" s="39" t="n"/>
      <c r="C55" s="90" t="inlineStr">
        <is>
          <t>亜鉛鉄板 継手・支持共</t>
        </is>
      </c>
      <c r="D55" s="39" t="n"/>
      <c r="E55" s="91" t="n">
        <v>6</v>
      </c>
      <c r="F55" s="92" t="inlineStr">
        <is>
          <t>m</t>
        </is>
      </c>
      <c r="G55" s="93">
        <f>IF(L55="","",ROUND(L55*M55,-1))</f>
        <v>8250</v>
      </c>
      <c r="H55" s="91">
        <f>IF(G55="","",ROUND(E55*G55,0))</f>
        <v>49500</v>
      </c>
      <c r="I55" s="94" t="inlineStr">
        <is>
          <t>想定数量（別紙条件書）</t>
        </is>
      </c>
      <c r="J55" s="95" t="n">
        <v>3700</v>
      </c>
      <c r="K55" s="95" t="n">
        <v>3800</v>
      </c>
      <c r="L55" s="93">
        <f>J55+K55</f>
        <v>7500</v>
      </c>
      <c r="M55" s="96">
        <f>COEF</f>
        <v>1.1</v>
      </c>
      <c r="N55" s="91">
        <f>E55*L55</f>
        <v>45000</v>
      </c>
      <c r="O55" s="91">
        <f>ROUND(E55*K55*M55,0)</f>
        <v>25080</v>
      </c>
      <c r="P55" s="100" t="inlineStr">
        <is>
          <t>推測</t>
        </is>
      </c>
      <c r="Q55" s="91">
        <f>IF(H55="","",H55-N55)</f>
        <v>4500</v>
      </c>
      <c r="R55" s="98">
        <f>IF(OR(H55="",H55=0),"",Q55/H55)</f>
        <v>0.09090909090909091</v>
      </c>
      <c r="S55" s="99" t="n"/>
    </row>
    <row r="56" ht="18" customHeight="1">
      <c r="A56" s="89" t="inlineStr">
        <is>
          <t xml:space="preserve">　スパイラルダクト 300φ (OA 厨房)</t>
        </is>
      </c>
      <c r="B56" s="39" t="n"/>
      <c r="C56" s="90" t="inlineStr">
        <is>
          <t>亜鉛鉄板 継手・支持共 F-3用自然給気</t>
        </is>
      </c>
      <c r="D56" s="39" t="n"/>
      <c r="E56" s="91" t="n">
        <v>3</v>
      </c>
      <c r="F56" s="92" t="inlineStr">
        <is>
          <t>m</t>
        </is>
      </c>
      <c r="G56" s="93">
        <f>IF(L56="","",ROUND(L56*M56,-1))</f>
        <v>9350</v>
      </c>
      <c r="H56" s="91">
        <f>IF(G56="","",ROUND(E56*G56,0))</f>
        <v>28050</v>
      </c>
      <c r="I56" s="94" t="inlineStr">
        <is>
          <t>想定数量（別紙条件書）</t>
        </is>
      </c>
      <c r="J56" s="95" t="n">
        <v>4300</v>
      </c>
      <c r="K56" s="95" t="n">
        <v>4200</v>
      </c>
      <c r="L56" s="93">
        <f>J56+K56</f>
        <v>8500</v>
      </c>
      <c r="M56" s="96">
        <f>COEF</f>
        <v>1.1</v>
      </c>
      <c r="N56" s="91">
        <f>E56*L56</f>
        <v>25500</v>
      </c>
      <c r="O56" s="91">
        <f>ROUND(E56*K56*M56,0)</f>
        <v>13860</v>
      </c>
      <c r="P56" s="100" t="inlineStr">
        <is>
          <t>推測</t>
        </is>
      </c>
      <c r="Q56" s="91">
        <f>IF(H56="","",H56-N56)</f>
        <v>2550</v>
      </c>
      <c r="R56" s="98">
        <f>IF(OR(H56="",H56=0),"",Q56/H56)</f>
        <v>0.09090909090909091</v>
      </c>
      <c r="S56" s="99" t="n"/>
    </row>
    <row r="57" ht="18" customHeight="1">
      <c r="A57" s="89" t="inlineStr">
        <is>
          <t xml:space="preserve">　外壁貫通部ダクト (フード接続)</t>
        </is>
      </c>
      <c r="B57" s="39" t="n"/>
      <c r="C57" s="90" t="inlineStr">
        <is>
          <t>150φ相当 1.0m/箇所</t>
        </is>
      </c>
      <c r="D57" s="39" t="n"/>
      <c r="E57" s="91" t="n">
        <v>58</v>
      </c>
      <c r="F57" s="92" t="inlineStr">
        <is>
          <t>m</t>
        </is>
      </c>
      <c r="G57" s="93">
        <f>IF(L57="","",ROUND(L57*M57,-1))</f>
        <v>6050</v>
      </c>
      <c r="H57" s="91">
        <f>IF(G57="","",ROUND(E57*G57,0))</f>
        <v>350900</v>
      </c>
      <c r="I57" s="94" t="inlineStr">
        <is>
          <t>想定数量（別紙条件書）</t>
        </is>
      </c>
      <c r="J57" s="95" t="n">
        <v>2700</v>
      </c>
      <c r="K57" s="95" t="n">
        <v>2800</v>
      </c>
      <c r="L57" s="93">
        <f>J57+K57</f>
        <v>5500</v>
      </c>
      <c r="M57" s="96">
        <f>COEF</f>
        <v>1.1</v>
      </c>
      <c r="N57" s="91">
        <f>E57*L57</f>
        <v>319000</v>
      </c>
      <c r="O57" s="91">
        <f>ROUND(E57*K57*M57,0)</f>
        <v>178640</v>
      </c>
      <c r="P57" s="100" t="inlineStr">
        <is>
          <t>推測</t>
        </is>
      </c>
      <c r="Q57" s="91">
        <f>IF(H57="","",H57-N57)</f>
        <v>31900</v>
      </c>
      <c r="R57" s="98">
        <f>IF(OR(H57="",H57=0),"",Q57/H57)</f>
        <v>0.09090909090909091</v>
      </c>
      <c r="S57" s="99" t="inlineStr">
        <is>
          <t>1F フード48箇所・2F廊下10箇所</t>
        </is>
      </c>
    </row>
    <row r="58" ht="18" customHeight="1">
      <c r="A58" s="89" t="inlineStr">
        <is>
          <t xml:space="preserve">　VD 風量調整ダンパー</t>
        </is>
      </c>
      <c r="B58" s="39" t="n"/>
      <c r="C58" s="90" t="inlineStr">
        <is>
          <t>150～200φ</t>
        </is>
      </c>
      <c r="D58" s="39" t="n"/>
      <c r="E58" s="91" t="n">
        <v>13</v>
      </c>
      <c r="F58" s="92" t="inlineStr">
        <is>
          <t>個</t>
        </is>
      </c>
      <c r="G58" s="93">
        <f>IF(L58="","",ROUND(L58*M58,-1))</f>
        <v>8800</v>
      </c>
      <c r="H58" s="91">
        <f>IF(G58="","",ROUND(E58*G58,0))</f>
        <v>114400</v>
      </c>
      <c r="I58" s="94" t="inlineStr">
        <is>
          <t>図面実測数量</t>
        </is>
      </c>
      <c r="J58" s="95" t="n">
        <v>4800</v>
      </c>
      <c r="K58" s="95" t="n">
        <v>3200</v>
      </c>
      <c r="L58" s="93">
        <f>J58+K58</f>
        <v>8000</v>
      </c>
      <c r="M58" s="96">
        <f>COEF</f>
        <v>1.1</v>
      </c>
      <c r="N58" s="91">
        <f>E58*L58</f>
        <v>104000</v>
      </c>
      <c r="O58" s="91">
        <f>ROUND(E58*K58*M58,0)</f>
        <v>45760</v>
      </c>
      <c r="P58" s="97" t="inlineStr">
        <is>
          <t>実測</t>
        </is>
      </c>
      <c r="Q58" s="91">
        <f>IF(H58="","",H58-N58)</f>
        <v>10400</v>
      </c>
      <c r="R58" s="98">
        <f>IF(OR(H58="",H58=0),"",Q58/H58)</f>
        <v>0.09090909090909091</v>
      </c>
      <c r="S58" s="99" t="inlineStr">
        <is>
          <t>図示 VD 1F 9・2F 4</t>
        </is>
      </c>
    </row>
    <row r="59" ht="18" customHeight="1">
      <c r="A59" s="89" t="inlineStr">
        <is>
          <t xml:space="preserve">　フレキシブルダクト・接続材</t>
        </is>
      </c>
      <c r="B59" s="39" t="n"/>
      <c r="C59" s="90" t="inlineStr">
        <is>
          <t>機器接続部</t>
        </is>
      </c>
      <c r="D59" s="39" t="n"/>
      <c r="E59" s="91" t="n">
        <v>1</v>
      </c>
      <c r="F59" s="92" t="inlineStr">
        <is>
          <t>式</t>
        </is>
      </c>
      <c r="G59" s="93">
        <f>IF(L59="","",ROUND(L59*M59,-1))</f>
        <v>66000</v>
      </c>
      <c r="H59" s="91">
        <f>IF(G59="","",ROUND(E59*G59,0))</f>
        <v>66000</v>
      </c>
      <c r="I59" s="94" t="inlineStr">
        <is>
          <t>想定数量（別紙条件書）</t>
        </is>
      </c>
      <c r="J59" s="95" t="n">
        <v>33000</v>
      </c>
      <c r="K59" s="95" t="n">
        <v>27000</v>
      </c>
      <c r="L59" s="93">
        <f>J59+K59</f>
        <v>60000</v>
      </c>
      <c r="M59" s="96">
        <f>COEF</f>
        <v>1.1</v>
      </c>
      <c r="N59" s="91">
        <f>E59*L59</f>
        <v>60000</v>
      </c>
      <c r="O59" s="91">
        <f>ROUND(E59*K59*M59,0)</f>
        <v>29700</v>
      </c>
      <c r="P59" s="100" t="inlineStr">
        <is>
          <t>推測</t>
        </is>
      </c>
      <c r="Q59" s="91">
        <f>IF(H59="","",H59-N59)</f>
        <v>6000</v>
      </c>
      <c r="R59" s="98">
        <f>IF(OR(H59="",H59=0),"",Q59/H59)</f>
        <v>0.09090909090909091</v>
      </c>
      <c r="S59" s="99" t="n"/>
    </row>
    <row r="60" ht="18" customHeight="1">
      <c r="A60" s="88" t="inlineStr">
        <is>
          <t>（3）ダクト保温</t>
        </is>
      </c>
      <c r="B60" s="39" t="n"/>
      <c r="C60" s="39" t="n"/>
      <c r="D60" s="39" t="n"/>
      <c r="E60" s="39" t="n"/>
      <c r="F60" s="39" t="n"/>
      <c r="G60" s="39" t="n"/>
      <c r="H60" s="39" t="n"/>
      <c r="I60" s="87" t="n"/>
      <c r="J60" s="39" t="n"/>
      <c r="K60" s="39" t="n"/>
      <c r="L60" s="39" t="n"/>
      <c r="M60" s="39" t="n"/>
      <c r="N60" s="39" t="n"/>
      <c r="O60" s="39" t="n"/>
      <c r="P60" s="39" t="n"/>
      <c r="Q60" s="39" t="n"/>
      <c r="R60" s="39" t="n"/>
      <c r="S60" s="39" t="n"/>
    </row>
    <row r="61" ht="18" customHeight="1">
      <c r="A61" s="89" t="inlineStr">
        <is>
          <t xml:space="preserve">　OAダクト 保温</t>
        </is>
      </c>
      <c r="B61" s="39" t="n"/>
      <c r="C61" s="90" t="inlineStr">
        <is>
          <t>GW保温筒25 ALGC 隠蔽(天井内) 特記仕様書 保温表</t>
        </is>
      </c>
      <c r="D61" s="39" t="n"/>
      <c r="E61" s="91" t="n">
        <v>123</v>
      </c>
      <c r="F61" s="92" t="inlineStr">
        <is>
          <t>m</t>
        </is>
      </c>
      <c r="G61" s="93">
        <f>IF(L61="","",ROUND(L61*M61,-1))</f>
        <v>3850</v>
      </c>
      <c r="H61" s="91">
        <f>IF(G61="","",ROUND(E61*G61,0))</f>
        <v>473550</v>
      </c>
      <c r="I61" s="94" t="inlineStr">
        <is>
          <t>図面実測＋想定（別紙）</t>
        </is>
      </c>
      <c r="J61" s="95" t="n">
        <v>1600</v>
      </c>
      <c r="K61" s="95" t="n">
        <v>1900</v>
      </c>
      <c r="L61" s="93">
        <f>J61+K61</f>
        <v>3500</v>
      </c>
      <c r="M61" s="96">
        <f>COEF</f>
        <v>1.1</v>
      </c>
      <c r="N61" s="91">
        <f>E61*L61</f>
        <v>430500</v>
      </c>
      <c r="O61" s="91">
        <f>ROUND(E61*K61*M61,0)</f>
        <v>257070</v>
      </c>
      <c r="P61" s="97" t="inlineStr">
        <is>
          <t>実測+推測</t>
        </is>
      </c>
      <c r="Q61" s="91">
        <f>IF(H61="","",H61-N61)</f>
        <v>43050</v>
      </c>
      <c r="R61" s="98">
        <f>IF(OR(H61="",H61=0),"",Q61/H61)</f>
        <v>0.09090909090909091</v>
      </c>
      <c r="S61" s="99" t="inlineStr">
        <is>
          <t>OAダクト全長</t>
        </is>
      </c>
    </row>
    <row r="62" ht="18" customHeight="1">
      <c r="A62" s="89" t="inlineStr">
        <is>
          <t xml:space="preserve">　厨房排気ダクト 保温</t>
        </is>
      </c>
      <c r="B62" s="39" t="n"/>
      <c r="C62" s="90" t="inlineStr">
        <is>
          <t>RW保温筒50 ＋アルミガラスクロス＋亀甲金網巻</t>
        </is>
      </c>
      <c r="D62" s="39" t="n"/>
      <c r="E62" s="91" t="n">
        <v>20</v>
      </c>
      <c r="F62" s="92" t="inlineStr">
        <is>
          <t>m</t>
        </is>
      </c>
      <c r="G62" s="93">
        <f>IF(L62="","",ROUND(L62*M62,-1))</f>
        <v>7700</v>
      </c>
      <c r="H62" s="91">
        <f>IF(G62="","",ROUND(E62*G62,0))</f>
        <v>154000</v>
      </c>
      <c r="I62" s="94" t="inlineStr">
        <is>
          <t>想定数量（別紙条件書）</t>
        </is>
      </c>
      <c r="J62" s="95" t="n">
        <v>3100</v>
      </c>
      <c r="K62" s="95" t="n">
        <v>3900</v>
      </c>
      <c r="L62" s="93">
        <f>J62+K62</f>
        <v>7000</v>
      </c>
      <c r="M62" s="96">
        <f>COEF</f>
        <v>1.1</v>
      </c>
      <c r="N62" s="91">
        <f>E62*L62</f>
        <v>140000</v>
      </c>
      <c r="O62" s="91">
        <f>ROUND(E62*K62*M62,0)</f>
        <v>85800</v>
      </c>
      <c r="P62" s="100" t="inlineStr">
        <is>
          <t>推測</t>
        </is>
      </c>
      <c r="Q62" s="91">
        <f>IF(H62="","",H62-N62)</f>
        <v>14000</v>
      </c>
      <c r="R62" s="98">
        <f>IF(OR(H62="",H62=0),"",Q62/H62)</f>
        <v>0.09090909090909091</v>
      </c>
      <c r="S62" s="99" t="inlineStr">
        <is>
          <t>厨房200/250/300φ EA</t>
        </is>
      </c>
    </row>
    <row r="63" ht="18" customHeight="1">
      <c r="A63" s="88" t="inlineStr">
        <is>
          <t>（4）制気口・ボックス</t>
        </is>
      </c>
      <c r="B63" s="39" t="n"/>
      <c r="C63" s="39" t="n"/>
      <c r="D63" s="39" t="n"/>
      <c r="E63" s="39" t="n"/>
      <c r="F63" s="39" t="n"/>
      <c r="G63" s="39" t="n"/>
      <c r="H63" s="39" t="n"/>
      <c r="I63" s="87" t="n"/>
      <c r="J63" s="39" t="n"/>
      <c r="K63" s="39" t="n"/>
      <c r="L63" s="39" t="n"/>
      <c r="M63" s="39" t="n"/>
      <c r="N63" s="39" t="n"/>
      <c r="O63" s="39" t="n"/>
      <c r="P63" s="39" t="n"/>
      <c r="Q63" s="39" t="n"/>
      <c r="R63" s="39" t="n"/>
      <c r="S63" s="39" t="n"/>
    </row>
    <row r="64" ht="18" customHeight="1">
      <c r="A64" s="89" t="inlineStr">
        <is>
          <t xml:space="preserve">　VHS 200×200 (開口率70%)</t>
        </is>
      </c>
      <c r="B64" s="39" t="n"/>
      <c r="C64" s="90" t="inlineStr">
        <is>
          <t>SUS/鋼製 指定色</t>
        </is>
      </c>
      <c r="D64" s="39" t="n"/>
      <c r="E64" s="91" t="n">
        <v>8</v>
      </c>
      <c r="F64" s="92" t="inlineStr">
        <is>
          <t>個</t>
        </is>
      </c>
      <c r="G64" s="93">
        <f>IF(L64="","",ROUND(L64*M64,-1))</f>
        <v>11000</v>
      </c>
      <c r="H64" s="91">
        <f>IF(G64="","",ROUND(E64*G64,0))</f>
        <v>88000</v>
      </c>
      <c r="I64" s="94" t="n"/>
      <c r="J64" s="95" t="n">
        <v>7000</v>
      </c>
      <c r="K64" s="95" t="n">
        <v>3000</v>
      </c>
      <c r="L64" s="93">
        <f>J64+K64</f>
        <v>10000</v>
      </c>
      <c r="M64" s="96">
        <f>COEF</f>
        <v>1.1</v>
      </c>
      <c r="N64" s="91">
        <f>E64*L64</f>
        <v>80000</v>
      </c>
      <c r="O64" s="91">
        <f>ROUND(E64*K64*M64,0)</f>
        <v>26400</v>
      </c>
      <c r="P64" s="97" t="inlineStr">
        <is>
          <t>図面カウント</t>
        </is>
      </c>
      <c r="Q64" s="91">
        <f>IF(H64="","",H64-N64)</f>
        <v>8000</v>
      </c>
      <c r="R64" s="98">
        <f>IF(OR(H64="",H64=0),"",Q64/H64)</f>
        <v>0.09090909090909091</v>
      </c>
      <c r="S64" s="99" t="inlineStr">
        <is>
          <t>管理人室1・倉庫2 1・食堂3・ﾐｰﾃｨﾝｸﾞ3</t>
        </is>
      </c>
    </row>
    <row r="65" ht="18" customHeight="1">
      <c r="A65" s="89" t="inlineStr">
        <is>
          <t xml:space="preserve">　VHS 250×250</t>
        </is>
      </c>
      <c r="B65" s="39" t="n"/>
      <c r="C65" s="90" t="n"/>
      <c r="D65" s="39" t="n"/>
      <c r="E65" s="91" t="n">
        <v>3</v>
      </c>
      <c r="F65" s="92" t="inlineStr">
        <is>
          <t>個</t>
        </is>
      </c>
      <c r="G65" s="93">
        <f>IF(L65="","",ROUND(L65*M65,-1))</f>
        <v>13200</v>
      </c>
      <c r="H65" s="91">
        <f>IF(G65="","",ROUND(E65*G65,0))</f>
        <v>39600</v>
      </c>
      <c r="I65" s="94" t="n"/>
      <c r="J65" s="95" t="n">
        <v>8400</v>
      </c>
      <c r="K65" s="95" t="n">
        <v>3600</v>
      </c>
      <c r="L65" s="93">
        <f>J65+K65</f>
        <v>12000</v>
      </c>
      <c r="M65" s="96">
        <f>COEF</f>
        <v>1.1</v>
      </c>
      <c r="N65" s="91">
        <f>E65*L65</f>
        <v>36000</v>
      </c>
      <c r="O65" s="91">
        <f>ROUND(E65*K65*M65,0)</f>
        <v>11880</v>
      </c>
      <c r="P65" s="97" t="inlineStr">
        <is>
          <t>図面カウント</t>
        </is>
      </c>
      <c r="Q65" s="91">
        <f>IF(H65="","",H65-N65)</f>
        <v>3600</v>
      </c>
      <c r="R65" s="98">
        <f>IF(OR(H65="",H65=0),"",Q65/H65)</f>
        <v>0.09090909090909091</v>
      </c>
      <c r="S65" s="99" t="inlineStr">
        <is>
          <t>和室・シューズロッカー・廊下D1</t>
        </is>
      </c>
    </row>
    <row r="66" ht="18" customHeight="1">
      <c r="A66" s="89" t="inlineStr">
        <is>
          <t xml:space="preserve">　VHS 300×300</t>
        </is>
      </c>
      <c r="B66" s="39" t="n"/>
      <c r="C66" s="90" t="n"/>
      <c r="D66" s="39" t="n"/>
      <c r="E66" s="91" t="n">
        <v>1</v>
      </c>
      <c r="F66" s="92" t="inlineStr">
        <is>
          <t>個</t>
        </is>
      </c>
      <c r="G66" s="93">
        <f>IF(L66="","",ROUND(L66*M66,-1))</f>
        <v>15400</v>
      </c>
      <c r="H66" s="91">
        <f>IF(G66="","",ROUND(E66*G66,0))</f>
        <v>15400</v>
      </c>
      <c r="I66" s="94" t="n"/>
      <c r="J66" s="95" t="n">
        <v>9800</v>
      </c>
      <c r="K66" s="95" t="n">
        <v>4200</v>
      </c>
      <c r="L66" s="93">
        <f>J66+K66</f>
        <v>14000</v>
      </c>
      <c r="M66" s="96">
        <f>COEF</f>
        <v>1.1</v>
      </c>
      <c r="N66" s="91">
        <f>E66*L66</f>
        <v>14000</v>
      </c>
      <c r="O66" s="91">
        <f>ROUND(E66*K66*M66,0)</f>
        <v>4620</v>
      </c>
      <c r="P66" s="97" t="inlineStr">
        <is>
          <t>図面カウント</t>
        </is>
      </c>
      <c r="Q66" s="91">
        <f>IF(H66="","",H66-N66)</f>
        <v>1400</v>
      </c>
      <c r="R66" s="98">
        <f>IF(OR(H66="",H66=0),"",Q66/H66)</f>
        <v>0.09090909090909091</v>
      </c>
      <c r="S66" s="99" t="inlineStr">
        <is>
          <t>厨房前室</t>
        </is>
      </c>
    </row>
    <row r="67" ht="18" customHeight="1">
      <c r="A67" s="89" t="inlineStr">
        <is>
          <t xml:space="preserve">　VHS 350×350</t>
        </is>
      </c>
      <c r="B67" s="39" t="n"/>
      <c r="C67" s="90" t="n"/>
      <c r="D67" s="39" t="n"/>
      <c r="E67" s="91" t="n">
        <v>4</v>
      </c>
      <c r="F67" s="92" t="inlineStr">
        <is>
          <t>個</t>
        </is>
      </c>
      <c r="G67" s="93">
        <f>IF(L67="","",ROUND(L67*M67,-1))</f>
        <v>17600</v>
      </c>
      <c r="H67" s="91">
        <f>IF(G67="","",ROUND(E67*G67,0))</f>
        <v>70400</v>
      </c>
      <c r="I67" s="94" t="n"/>
      <c r="J67" s="95" t="n">
        <v>11200</v>
      </c>
      <c r="K67" s="95" t="n">
        <v>4800</v>
      </c>
      <c r="L67" s="93">
        <f>J67+K67</f>
        <v>16000</v>
      </c>
      <c r="M67" s="96">
        <f>COEF</f>
        <v>1.1</v>
      </c>
      <c r="N67" s="91">
        <f>E67*L67</f>
        <v>64000</v>
      </c>
      <c r="O67" s="91">
        <f>ROUND(E67*K67*M67,0)</f>
        <v>21120</v>
      </c>
      <c r="P67" s="97" t="inlineStr">
        <is>
          <t>図面カウント</t>
        </is>
      </c>
      <c r="Q67" s="91">
        <f>IF(H67="","",H67-N67)</f>
        <v>6400</v>
      </c>
      <c r="R67" s="98">
        <f>IF(OR(H67="",H67=0),"",Q67/H67)</f>
        <v>0.09090909090909091</v>
      </c>
      <c r="S67" s="99" t="inlineStr">
        <is>
          <t>2F廊下</t>
        </is>
      </c>
    </row>
    <row r="68" ht="18" customHeight="1">
      <c r="A68" s="89" t="inlineStr">
        <is>
          <t xml:space="preserve">　VHS 400×400</t>
        </is>
      </c>
      <c r="B68" s="39" t="n"/>
      <c r="C68" s="90" t="n"/>
      <c r="D68" s="39" t="n"/>
      <c r="E68" s="91" t="n">
        <v>2</v>
      </c>
      <c r="F68" s="92" t="inlineStr">
        <is>
          <t>個</t>
        </is>
      </c>
      <c r="G68" s="93">
        <f>IF(L68="","",ROUND(L68*M68,-1))</f>
        <v>19800</v>
      </c>
      <c r="H68" s="91">
        <f>IF(G68="","",ROUND(E68*G68,0))</f>
        <v>39600</v>
      </c>
      <c r="I68" s="94" t="n"/>
      <c r="J68" s="95" t="n">
        <v>12600</v>
      </c>
      <c r="K68" s="95" t="n">
        <v>5400</v>
      </c>
      <c r="L68" s="93">
        <f>J68+K68</f>
        <v>18000</v>
      </c>
      <c r="M68" s="96">
        <f>COEF</f>
        <v>1.1</v>
      </c>
      <c r="N68" s="91">
        <f>E68*L68</f>
        <v>36000</v>
      </c>
      <c r="O68" s="91">
        <f>ROUND(E68*K68*M68,0)</f>
        <v>11880</v>
      </c>
      <c r="P68" s="97" t="inlineStr">
        <is>
          <t>図面カウント</t>
        </is>
      </c>
      <c r="Q68" s="91">
        <f>IF(H68="","",H68-N68)</f>
        <v>3600</v>
      </c>
      <c r="R68" s="98">
        <f>IF(OR(H68="",H68=0),"",Q68/H68)</f>
        <v>0.09090909090909091</v>
      </c>
      <c r="S68" s="99" t="inlineStr">
        <is>
          <t>洗濯室・廊下A</t>
        </is>
      </c>
    </row>
    <row r="69" ht="18" customHeight="1">
      <c r="A69" s="89" t="inlineStr">
        <is>
          <t xml:space="preserve">　VHS 450×450</t>
        </is>
      </c>
      <c r="B69" s="39" t="n"/>
      <c r="C69" s="90" t="n"/>
      <c r="D69" s="39" t="n"/>
      <c r="E69" s="91" t="n">
        <v>2</v>
      </c>
      <c r="F69" s="92" t="inlineStr">
        <is>
          <t>個</t>
        </is>
      </c>
      <c r="G69" s="93">
        <f>IF(L69="","",ROUND(L69*M69,-1))</f>
        <v>22000</v>
      </c>
      <c r="H69" s="91">
        <f>IF(G69="","",ROUND(E69*G69,0))</f>
        <v>44000</v>
      </c>
      <c r="I69" s="94" t="n"/>
      <c r="J69" s="95" t="n">
        <v>14000</v>
      </c>
      <c r="K69" s="95" t="n">
        <v>6000</v>
      </c>
      <c r="L69" s="93">
        <f>J69+K69</f>
        <v>20000</v>
      </c>
      <c r="M69" s="96">
        <f>COEF</f>
        <v>1.1</v>
      </c>
      <c r="N69" s="91">
        <f>E69*L69</f>
        <v>40000</v>
      </c>
      <c r="O69" s="91">
        <f>ROUND(E69*K69*M69,0)</f>
        <v>13200</v>
      </c>
      <c r="P69" s="97" t="inlineStr">
        <is>
          <t>図面カウント</t>
        </is>
      </c>
      <c r="Q69" s="91">
        <f>IF(H69="","",H69-N69)</f>
        <v>4000</v>
      </c>
      <c r="R69" s="98">
        <f>IF(OR(H69="",H69=0),"",Q69/H69)</f>
        <v>0.09090909090909091</v>
      </c>
      <c r="S69" s="99" t="inlineStr">
        <is>
          <t>脱衣室</t>
        </is>
      </c>
    </row>
    <row r="70" ht="18" customHeight="1">
      <c r="A70" s="89" t="inlineStr">
        <is>
          <t xml:space="preserve">　HS/VHS 550×550</t>
        </is>
      </c>
      <c r="B70" s="39" t="n"/>
      <c r="C70" s="90" t="n"/>
      <c r="D70" s="39" t="n"/>
      <c r="E70" s="91" t="n">
        <v>2</v>
      </c>
      <c r="F70" s="92" t="inlineStr">
        <is>
          <t>個</t>
        </is>
      </c>
      <c r="G70" s="93">
        <f>IF(L70="","",ROUND(L70*M70,-1))</f>
        <v>27500</v>
      </c>
      <c r="H70" s="91">
        <f>IF(G70="","",ROUND(E70*G70,0))</f>
        <v>55000</v>
      </c>
      <c r="I70" s="94" t="n"/>
      <c r="J70" s="95" t="n">
        <v>17500</v>
      </c>
      <c r="K70" s="95" t="n">
        <v>7500</v>
      </c>
      <c r="L70" s="93">
        <f>J70+K70</f>
        <v>25000</v>
      </c>
      <c r="M70" s="96">
        <f>COEF</f>
        <v>1.1</v>
      </c>
      <c r="N70" s="91">
        <f>E70*L70</f>
        <v>50000</v>
      </c>
      <c r="O70" s="91">
        <f>ROUND(E70*K70*M70,0)</f>
        <v>16500</v>
      </c>
      <c r="P70" s="97" t="inlineStr">
        <is>
          <t>図面カウント</t>
        </is>
      </c>
      <c r="Q70" s="91">
        <f>IF(H70="","",H70-N70)</f>
        <v>5000</v>
      </c>
      <c r="R70" s="98">
        <f>IF(OR(H70="",H70=0),"",Q70/H70)</f>
        <v>0.09090909090909091</v>
      </c>
      <c r="S70" s="99" t="inlineStr">
        <is>
          <t>浴室 FE-B3</t>
        </is>
      </c>
    </row>
    <row r="71" ht="18" customHeight="1">
      <c r="A71" s="89" t="inlineStr">
        <is>
          <t xml:space="preserve">　VHS 650×650</t>
        </is>
      </c>
      <c r="B71" s="39" t="n"/>
      <c r="C71" s="90" t="n"/>
      <c r="D71" s="39" t="n"/>
      <c r="E71" s="91" t="n">
        <v>2</v>
      </c>
      <c r="F71" s="92" t="inlineStr">
        <is>
          <t>個</t>
        </is>
      </c>
      <c r="G71" s="93">
        <f>IF(L71="","",ROUND(L71*M71,-1))</f>
        <v>33000</v>
      </c>
      <c r="H71" s="91">
        <f>IF(G71="","",ROUND(E71*G71,0))</f>
        <v>66000</v>
      </c>
      <c r="I71" s="94" t="n"/>
      <c r="J71" s="95" t="n">
        <v>21000</v>
      </c>
      <c r="K71" s="95" t="n">
        <v>9000</v>
      </c>
      <c r="L71" s="93">
        <f>J71+K71</f>
        <v>30000</v>
      </c>
      <c r="M71" s="96">
        <f>COEF</f>
        <v>1.1</v>
      </c>
      <c r="N71" s="91">
        <f>E71*L71</f>
        <v>60000</v>
      </c>
      <c r="O71" s="91">
        <f>ROUND(E71*K71*M71,0)</f>
        <v>19800</v>
      </c>
      <c r="P71" s="97" t="inlineStr">
        <is>
          <t>図面カウント</t>
        </is>
      </c>
      <c r="Q71" s="91">
        <f>IF(H71="","",H71-N71)</f>
        <v>6000</v>
      </c>
      <c r="R71" s="98">
        <f>IF(OR(H71="",H71=0),"",Q71/H71)</f>
        <v>0.09090909090909091</v>
      </c>
      <c r="S71" s="99" t="inlineStr">
        <is>
          <t>厨房 F-3 給気</t>
        </is>
      </c>
    </row>
    <row r="72" ht="18" customHeight="1">
      <c r="A72" s="89" t="inlineStr">
        <is>
          <t xml:space="preserve">　HS 150×150</t>
        </is>
      </c>
      <c r="B72" s="39" t="n"/>
      <c r="C72" s="90" t="n"/>
      <c r="D72" s="39" t="n"/>
      <c r="E72" s="91" t="n">
        <v>4</v>
      </c>
      <c r="F72" s="92" t="inlineStr">
        <is>
          <t>個</t>
        </is>
      </c>
      <c r="G72" s="93">
        <f>IF(L72="","",ROUND(L72*M72,-1))</f>
        <v>7700</v>
      </c>
      <c r="H72" s="91">
        <f>IF(G72="","",ROUND(E72*G72,0))</f>
        <v>30800</v>
      </c>
      <c r="I72" s="94" t="n"/>
      <c r="J72" s="95" t="n">
        <v>4900</v>
      </c>
      <c r="K72" s="95" t="n">
        <v>2100</v>
      </c>
      <c r="L72" s="93">
        <f>J72+K72</f>
        <v>7000</v>
      </c>
      <c r="M72" s="96">
        <f>COEF</f>
        <v>1.1</v>
      </c>
      <c r="N72" s="91">
        <f>E72*L72</f>
        <v>28000</v>
      </c>
      <c r="O72" s="91">
        <f>ROUND(E72*K72*M72,0)</f>
        <v>9240</v>
      </c>
      <c r="P72" s="97" t="inlineStr">
        <is>
          <t>図面カウント</t>
        </is>
      </c>
      <c r="Q72" s="91">
        <f>IF(H72="","",H72-N72)</f>
        <v>2800</v>
      </c>
      <c r="R72" s="98">
        <f>IF(OR(H72="",H72=0),"",Q72/H72)</f>
        <v>0.09090909090909091</v>
      </c>
      <c r="S72" s="99" t="inlineStr">
        <is>
          <t>男子WC</t>
        </is>
      </c>
    </row>
    <row r="73" ht="18" customHeight="1">
      <c r="A73" s="89" t="inlineStr">
        <is>
          <t xml:space="preserve">　HS 200×200</t>
        </is>
      </c>
      <c r="B73" s="39" t="n"/>
      <c r="C73" s="90" t="n"/>
      <c r="D73" s="39" t="n"/>
      <c r="E73" s="91" t="n">
        <v>18</v>
      </c>
      <c r="F73" s="92" t="inlineStr">
        <is>
          <t>個</t>
        </is>
      </c>
      <c r="G73" s="93">
        <f>IF(L73="","",ROUND(L73*M73,-1))</f>
        <v>8800</v>
      </c>
      <c r="H73" s="91">
        <f>IF(G73="","",ROUND(E73*G73,0))</f>
        <v>158400</v>
      </c>
      <c r="I73" s="94" t="n"/>
      <c r="J73" s="95" t="n">
        <v>5600</v>
      </c>
      <c r="K73" s="95" t="n">
        <v>2400</v>
      </c>
      <c r="L73" s="93">
        <f>J73+K73</f>
        <v>8000</v>
      </c>
      <c r="M73" s="96">
        <f>COEF</f>
        <v>1.1</v>
      </c>
      <c r="N73" s="91">
        <f>E73*L73</f>
        <v>144000</v>
      </c>
      <c r="O73" s="91">
        <f>ROUND(E73*K73*M73,0)</f>
        <v>47520</v>
      </c>
      <c r="P73" s="97" t="inlineStr">
        <is>
          <t>図面カウント</t>
        </is>
      </c>
      <c r="Q73" s="91">
        <f>IF(H73="","",H73-N73)</f>
        <v>14400</v>
      </c>
      <c r="R73" s="98">
        <f>IF(OR(H73="",H73=0),"",Q73/H73)</f>
        <v>0.09090909090909091</v>
      </c>
      <c r="S73" s="99" t="inlineStr">
        <is>
          <t>食堂3・ﾐｰﾃｨﾝｸﾞ3・北WC7・南WC5</t>
        </is>
      </c>
    </row>
    <row r="74" ht="18" customHeight="1">
      <c r="A74" s="89" t="inlineStr">
        <is>
          <t xml:space="preserve">　BOX(内貼) 300×300×300H</t>
        </is>
      </c>
      <c r="B74" s="39" t="n"/>
      <c r="C74" s="90" t="inlineStr">
        <is>
          <t>GW25 内貼</t>
        </is>
      </c>
      <c r="D74" s="39" t="n"/>
      <c r="E74" s="91" t="n">
        <v>4</v>
      </c>
      <c r="F74" s="92" t="inlineStr">
        <is>
          <t>個</t>
        </is>
      </c>
      <c r="G74" s="93">
        <f>IF(L74="","",ROUND(L74*M74,-1))</f>
        <v>15400</v>
      </c>
      <c r="H74" s="91">
        <f>IF(G74="","",ROUND(E74*G74,0))</f>
        <v>61600</v>
      </c>
      <c r="I74" s="94" t="n"/>
      <c r="J74" s="95" t="n">
        <v>9800</v>
      </c>
      <c r="K74" s="95" t="n">
        <v>4200</v>
      </c>
      <c r="L74" s="93">
        <f>J74+K74</f>
        <v>14000</v>
      </c>
      <c r="M74" s="96">
        <f>COEF</f>
        <v>1.1</v>
      </c>
      <c r="N74" s="91">
        <f>E74*L74</f>
        <v>56000</v>
      </c>
      <c r="O74" s="91">
        <f>ROUND(E74*K74*M74,0)</f>
        <v>18480</v>
      </c>
      <c r="P74" s="97" t="inlineStr">
        <is>
          <t>図面カウント</t>
        </is>
      </c>
      <c r="Q74" s="91">
        <f>IF(H74="","",H74-N74)</f>
        <v>5600</v>
      </c>
      <c r="R74" s="98">
        <f>IF(OR(H74="",H74=0),"",Q74/H74)</f>
        <v>0.09090909090909091</v>
      </c>
      <c r="S74" s="99" t="inlineStr">
        <is>
          <t>男子WC</t>
        </is>
      </c>
    </row>
    <row r="75" ht="18" customHeight="1">
      <c r="A75" s="89" t="inlineStr">
        <is>
          <t xml:space="preserve">　BOX(内貼) 350×350×300H</t>
        </is>
      </c>
      <c r="B75" s="39" t="n"/>
      <c r="C75" s="90" t="n"/>
      <c r="D75" s="39" t="n"/>
      <c r="E75" s="91" t="n">
        <v>26</v>
      </c>
      <c r="F75" s="92" t="inlineStr">
        <is>
          <t>個</t>
        </is>
      </c>
      <c r="G75" s="93">
        <f>IF(L75="","",ROUND(L75*M75,-1))</f>
        <v>16500</v>
      </c>
      <c r="H75" s="91">
        <f>IF(G75="","",ROUND(E75*G75,0))</f>
        <v>429000</v>
      </c>
      <c r="I75" s="94" t="n"/>
      <c r="J75" s="95" t="n">
        <v>10500</v>
      </c>
      <c r="K75" s="95" t="n">
        <v>4500</v>
      </c>
      <c r="L75" s="93">
        <f>J75+K75</f>
        <v>15000</v>
      </c>
      <c r="M75" s="96">
        <f>COEF</f>
        <v>1.1</v>
      </c>
      <c r="N75" s="91">
        <f>E75*L75</f>
        <v>390000</v>
      </c>
      <c r="O75" s="91">
        <f>ROUND(E75*K75*M75,0)</f>
        <v>128700</v>
      </c>
      <c r="P75" s="97" t="inlineStr">
        <is>
          <t>図面カウント</t>
        </is>
      </c>
      <c r="Q75" s="91">
        <f>IF(H75="","",H75-N75)</f>
        <v>39000</v>
      </c>
      <c r="R75" s="98">
        <f>IF(OR(H75="",H75=0),"",Q75/H75)</f>
        <v>0.09090909090909091</v>
      </c>
      <c r="S75" s="99" t="n"/>
    </row>
    <row r="76" ht="18" customHeight="1">
      <c r="A76" s="89" t="inlineStr">
        <is>
          <t xml:space="preserve">　BOX(内貼) 400×400×300H</t>
        </is>
      </c>
      <c r="B76" s="39" t="n"/>
      <c r="C76" s="90" t="n"/>
      <c r="D76" s="39" t="n"/>
      <c r="E76" s="91" t="n">
        <v>1</v>
      </c>
      <c r="F76" s="92" t="inlineStr">
        <is>
          <t>個</t>
        </is>
      </c>
      <c r="G76" s="93">
        <f>IF(L76="","",ROUND(L76*M76,-1))</f>
        <v>18700</v>
      </c>
      <c r="H76" s="91">
        <f>IF(G76="","",ROUND(E76*G76,0))</f>
        <v>18700</v>
      </c>
      <c r="I76" s="94" t="n"/>
      <c r="J76" s="95" t="n">
        <v>11900</v>
      </c>
      <c r="K76" s="95" t="n">
        <v>5100</v>
      </c>
      <c r="L76" s="93">
        <f>J76+K76</f>
        <v>17000</v>
      </c>
      <c r="M76" s="96">
        <f>COEF</f>
        <v>1.1</v>
      </c>
      <c r="N76" s="91">
        <f>E76*L76</f>
        <v>17000</v>
      </c>
      <c r="O76" s="91">
        <f>ROUND(E76*K76*M76,0)</f>
        <v>5610</v>
      </c>
      <c r="P76" s="97" t="inlineStr">
        <is>
          <t>図面カウント</t>
        </is>
      </c>
      <c r="Q76" s="91">
        <f>IF(H76="","",H76-N76)</f>
        <v>1700</v>
      </c>
      <c r="R76" s="98">
        <f>IF(OR(H76="",H76=0),"",Q76/H76)</f>
        <v>0.09090909090909091</v>
      </c>
      <c r="S76" s="99" t="n"/>
    </row>
    <row r="77" ht="18" customHeight="1">
      <c r="A77" s="89" t="inlineStr">
        <is>
          <t xml:space="preserve">　BOX(内貼) 450×450×350H</t>
        </is>
      </c>
      <c r="B77" s="39" t="n"/>
      <c r="C77" s="90" t="n"/>
      <c r="D77" s="39" t="n"/>
      <c r="E77" s="91" t="n">
        <v>3</v>
      </c>
      <c r="F77" s="92" t="inlineStr">
        <is>
          <t>個</t>
        </is>
      </c>
      <c r="G77" s="93">
        <f>IF(L77="","",ROUND(L77*M77,-1))</f>
        <v>19800</v>
      </c>
      <c r="H77" s="91">
        <f>IF(G77="","",ROUND(E77*G77,0))</f>
        <v>59400</v>
      </c>
      <c r="I77" s="94" t="n"/>
      <c r="J77" s="95" t="n">
        <v>12600</v>
      </c>
      <c r="K77" s="95" t="n">
        <v>5400</v>
      </c>
      <c r="L77" s="93">
        <f>J77+K77</f>
        <v>18000</v>
      </c>
      <c r="M77" s="96">
        <f>COEF</f>
        <v>1.1</v>
      </c>
      <c r="N77" s="91">
        <f>E77*L77</f>
        <v>54000</v>
      </c>
      <c r="O77" s="91">
        <f>ROUND(E77*K77*M77,0)</f>
        <v>17820</v>
      </c>
      <c r="P77" s="97" t="inlineStr">
        <is>
          <t>図面カウント</t>
        </is>
      </c>
      <c r="Q77" s="91">
        <f>IF(H77="","",H77-N77)</f>
        <v>5400</v>
      </c>
      <c r="R77" s="98">
        <f>IF(OR(H77="",H77=0),"",Q77/H77)</f>
        <v>0.09090909090909091</v>
      </c>
      <c r="S77" s="99" t="n"/>
    </row>
    <row r="78" ht="18" customHeight="1">
      <c r="A78" s="89" t="inlineStr">
        <is>
          <t xml:space="preserve">　BOX(内貼) 500×500×350H</t>
        </is>
      </c>
      <c r="B78" s="39" t="n"/>
      <c r="C78" s="90" t="n"/>
      <c r="D78" s="39" t="n"/>
      <c r="E78" s="91" t="n">
        <v>4</v>
      </c>
      <c r="F78" s="92" t="inlineStr">
        <is>
          <t>個</t>
        </is>
      </c>
      <c r="G78" s="93">
        <f>IF(L78="","",ROUND(L78*M78,-1))</f>
        <v>22000</v>
      </c>
      <c r="H78" s="91">
        <f>IF(G78="","",ROUND(E78*G78,0))</f>
        <v>88000</v>
      </c>
      <c r="I78" s="94" t="n"/>
      <c r="J78" s="95" t="n">
        <v>14000</v>
      </c>
      <c r="K78" s="95" t="n">
        <v>6000</v>
      </c>
      <c r="L78" s="93">
        <f>J78+K78</f>
        <v>20000</v>
      </c>
      <c r="M78" s="96">
        <f>COEF</f>
        <v>1.1</v>
      </c>
      <c r="N78" s="91">
        <f>E78*L78</f>
        <v>80000</v>
      </c>
      <c r="O78" s="91">
        <f>ROUND(E78*K78*M78,0)</f>
        <v>26400</v>
      </c>
      <c r="P78" s="97" t="inlineStr">
        <is>
          <t>図面カウント</t>
        </is>
      </c>
      <c r="Q78" s="91">
        <f>IF(H78="","",H78-N78)</f>
        <v>8000</v>
      </c>
      <c r="R78" s="98">
        <f>IF(OR(H78="",H78=0),"",Q78/H78)</f>
        <v>0.09090909090909091</v>
      </c>
      <c r="S78" s="99" t="n"/>
    </row>
    <row r="79" ht="18" customHeight="1">
      <c r="A79" s="89" t="inlineStr">
        <is>
          <t xml:space="preserve">　BOX(内貼) 550×550×400H</t>
        </is>
      </c>
      <c r="B79" s="39" t="n"/>
      <c r="C79" s="90" t="n"/>
      <c r="D79" s="39" t="n"/>
      <c r="E79" s="91" t="n">
        <v>2</v>
      </c>
      <c r="F79" s="92" t="inlineStr">
        <is>
          <t>個</t>
        </is>
      </c>
      <c r="G79" s="93">
        <f>IF(L79="","",ROUND(L79*M79,-1))</f>
        <v>24200</v>
      </c>
      <c r="H79" s="91">
        <f>IF(G79="","",ROUND(E79*G79,0))</f>
        <v>48400</v>
      </c>
      <c r="I79" s="94" t="n"/>
      <c r="J79" s="95" t="n">
        <v>15400</v>
      </c>
      <c r="K79" s="95" t="n">
        <v>6600</v>
      </c>
      <c r="L79" s="93">
        <f>J79+K79</f>
        <v>22000</v>
      </c>
      <c r="M79" s="96">
        <f>COEF</f>
        <v>1.1</v>
      </c>
      <c r="N79" s="91">
        <f>E79*L79</f>
        <v>44000</v>
      </c>
      <c r="O79" s="91">
        <f>ROUND(E79*K79*M79,0)</f>
        <v>14520</v>
      </c>
      <c r="P79" s="97" t="inlineStr">
        <is>
          <t>図面カウント</t>
        </is>
      </c>
      <c r="Q79" s="91">
        <f>IF(H79="","",H79-N79)</f>
        <v>4400</v>
      </c>
      <c r="R79" s="98">
        <f>IF(OR(H79="",H79=0),"",Q79/H79)</f>
        <v>0.09090909090909091</v>
      </c>
      <c r="S79" s="99" t="n"/>
    </row>
    <row r="80" ht="18" customHeight="1">
      <c r="A80" s="89" t="inlineStr">
        <is>
          <t xml:space="preserve">　BOX(内貼) 600×600×400H</t>
        </is>
      </c>
      <c r="B80" s="39" t="n"/>
      <c r="C80" s="90" t="n"/>
      <c r="D80" s="39" t="n"/>
      <c r="E80" s="91" t="n">
        <v>2</v>
      </c>
      <c r="F80" s="92" t="inlineStr">
        <is>
          <t>個</t>
        </is>
      </c>
      <c r="G80" s="93">
        <f>IF(L80="","",ROUND(L80*M80,-1))</f>
        <v>27500</v>
      </c>
      <c r="H80" s="91">
        <f>IF(G80="","",ROUND(E80*G80,0))</f>
        <v>55000</v>
      </c>
      <c r="I80" s="94" t="n"/>
      <c r="J80" s="95" t="n">
        <v>17500</v>
      </c>
      <c r="K80" s="95" t="n">
        <v>7500</v>
      </c>
      <c r="L80" s="93">
        <f>J80+K80</f>
        <v>25000</v>
      </c>
      <c r="M80" s="96">
        <f>COEF</f>
        <v>1.1</v>
      </c>
      <c r="N80" s="91">
        <f>E80*L80</f>
        <v>50000</v>
      </c>
      <c r="O80" s="91">
        <f>ROUND(E80*K80*M80,0)</f>
        <v>16500</v>
      </c>
      <c r="P80" s="97" t="inlineStr">
        <is>
          <t>図面カウント</t>
        </is>
      </c>
      <c r="Q80" s="91">
        <f>IF(H80="","",H80-N80)</f>
        <v>5000</v>
      </c>
      <c r="R80" s="98">
        <f>IF(OR(H80="",H80=0),"",Q80/H80)</f>
        <v>0.09090909090909091</v>
      </c>
      <c r="S80" s="99" t="n"/>
    </row>
    <row r="81" ht="18" customHeight="1">
      <c r="A81" s="89" t="inlineStr">
        <is>
          <t xml:space="preserve">　BOX(内貼) 700×700×450H</t>
        </is>
      </c>
      <c r="B81" s="39" t="n"/>
      <c r="C81" s="90" t="n"/>
      <c r="D81" s="39" t="n"/>
      <c r="E81" s="91" t="n">
        <v>2</v>
      </c>
      <c r="F81" s="92" t="inlineStr">
        <is>
          <t>個</t>
        </is>
      </c>
      <c r="G81" s="93">
        <f>IF(L81="","",ROUND(L81*M81,-1))</f>
        <v>30800</v>
      </c>
      <c r="H81" s="91">
        <f>IF(G81="","",ROUND(E81*G81,0))</f>
        <v>61600</v>
      </c>
      <c r="I81" s="94" t="n"/>
      <c r="J81" s="95" t="n">
        <v>19600</v>
      </c>
      <c r="K81" s="95" t="n">
        <v>8400</v>
      </c>
      <c r="L81" s="93">
        <f>J81+K81</f>
        <v>28000</v>
      </c>
      <c r="M81" s="96">
        <f>COEF</f>
        <v>1.1</v>
      </c>
      <c r="N81" s="91">
        <f>E81*L81</f>
        <v>56000</v>
      </c>
      <c r="O81" s="91">
        <f>ROUND(E81*K81*M81,0)</f>
        <v>18480</v>
      </c>
      <c r="P81" s="97" t="inlineStr">
        <is>
          <t>図面カウント</t>
        </is>
      </c>
      <c r="Q81" s="91">
        <f>IF(H81="","",H81-N81)</f>
        <v>5600</v>
      </c>
      <c r="R81" s="98">
        <f>IF(OR(H81="",H81=0),"",Q81/H81)</f>
        <v>0.09090909090909091</v>
      </c>
      <c r="S81" s="99" t="n"/>
    </row>
    <row r="82" ht="18" customHeight="1">
      <c r="A82" s="89" t="inlineStr">
        <is>
          <t xml:space="preserve">　BOX(内貼) 800×800×500H</t>
        </is>
      </c>
      <c r="B82" s="39" t="n"/>
      <c r="C82" s="90" t="n"/>
      <c r="D82" s="39" t="n"/>
      <c r="E82" s="91" t="n">
        <v>2</v>
      </c>
      <c r="F82" s="92" t="inlineStr">
        <is>
          <t>個</t>
        </is>
      </c>
      <c r="G82" s="93">
        <f>IF(L82="","",ROUND(L82*M82,-1))</f>
        <v>38500</v>
      </c>
      <c r="H82" s="91">
        <f>IF(G82="","",ROUND(E82*G82,0))</f>
        <v>77000</v>
      </c>
      <c r="I82" s="94" t="n"/>
      <c r="J82" s="95" t="n">
        <v>24500</v>
      </c>
      <c r="K82" s="95" t="n">
        <v>10500</v>
      </c>
      <c r="L82" s="93">
        <f>J82+K82</f>
        <v>35000</v>
      </c>
      <c r="M82" s="96">
        <f>COEF</f>
        <v>1.1</v>
      </c>
      <c r="N82" s="91">
        <f>E82*L82</f>
        <v>70000</v>
      </c>
      <c r="O82" s="91">
        <f>ROUND(E82*K82*M82,0)</f>
        <v>23100</v>
      </c>
      <c r="P82" s="97" t="inlineStr">
        <is>
          <t>図面カウント</t>
        </is>
      </c>
      <c r="Q82" s="91">
        <f>IF(H82="","",H82-N82)</f>
        <v>7000</v>
      </c>
      <c r="R82" s="98">
        <f>IF(OR(H82="",H82=0),"",Q82/H82)</f>
        <v>0.09090909090909091</v>
      </c>
      <c r="S82" s="99" t="n"/>
    </row>
    <row r="83" ht="18" customHeight="1">
      <c r="A83" s="88" t="inlineStr">
        <is>
          <t>（5）フード類・その他</t>
        </is>
      </c>
      <c r="B83" s="39" t="n"/>
      <c r="C83" s="39" t="n"/>
      <c r="D83" s="39" t="n"/>
      <c r="E83" s="39" t="n"/>
      <c r="F83" s="39" t="n"/>
      <c r="G83" s="39" t="n"/>
      <c r="H83" s="39" t="n"/>
      <c r="I83" s="87" t="n"/>
      <c r="J83" s="39" t="n"/>
      <c r="K83" s="39" t="n"/>
      <c r="L83" s="39" t="n"/>
      <c r="M83" s="39" t="n"/>
      <c r="N83" s="39" t="n"/>
      <c r="O83" s="39" t="n"/>
      <c r="P83" s="39" t="n"/>
      <c r="Q83" s="39" t="n"/>
      <c r="R83" s="39" t="n"/>
      <c r="S83" s="39" t="n"/>
    </row>
    <row r="84" ht="18" customHeight="1">
      <c r="A84" s="89" t="inlineStr">
        <is>
          <t xml:space="preserve">　SUS製フード 取付 (支給品)</t>
        </is>
      </c>
      <c r="B84" s="39" t="n"/>
      <c r="C84" s="90" t="inlineStr">
        <is>
          <t>指定色塗装 外壁貫通部</t>
        </is>
      </c>
      <c r="D84" s="39" t="n"/>
      <c r="E84" s="91" t="n">
        <v>204</v>
      </c>
      <c r="F84" s="92" t="inlineStr">
        <is>
          <t>箇所</t>
        </is>
      </c>
      <c r="G84" s="93">
        <f>IF(L84="","",ROUND(L84*M84,-1))</f>
        <v>4400</v>
      </c>
      <c r="H84" s="91">
        <f>IF(G84="","",ROUND(E84*G84,0))</f>
        <v>897600</v>
      </c>
      <c r="I84" s="94" t="inlineStr">
        <is>
          <t>想定数量（別紙条件書）</t>
        </is>
      </c>
      <c r="J84" s="95" t="n">
        <v>400</v>
      </c>
      <c r="K84" s="95" t="n">
        <v>3600</v>
      </c>
      <c r="L84" s="93">
        <f>J84+K84</f>
        <v>4000</v>
      </c>
      <c r="M84" s="96">
        <f>COEF</f>
        <v>1.1</v>
      </c>
      <c r="N84" s="91">
        <f>E84*L84</f>
        <v>816000</v>
      </c>
      <c r="O84" s="91">
        <f>ROUND(E84*K84*M84,0)</f>
        <v>807840</v>
      </c>
      <c r="P84" s="100" t="inlineStr">
        <is>
          <t>推測</t>
        </is>
      </c>
      <c r="Q84" s="91">
        <f>IF(H84="","",H84-N84)</f>
        <v>81600</v>
      </c>
      <c r="R84" s="98">
        <f>IF(OR(H84="",H84=0),"",Q84/H84)</f>
        <v>0.09090909090909091</v>
      </c>
      <c r="S84" s="99" t="inlineStr">
        <is>
          <t>1F 48・2F廊下10・寮室146(HEX-4/5分)</t>
        </is>
      </c>
    </row>
    <row r="85" ht="18" customHeight="1">
      <c r="A85" s="89" t="inlineStr">
        <is>
          <t xml:space="preserve">　ウェザーカバー 取付 (支給品)</t>
        </is>
      </c>
      <c r="B85" s="39" t="n"/>
      <c r="C85" s="90" t="inlineStr">
        <is>
          <t>有圧扇用</t>
        </is>
      </c>
      <c r="D85" s="39" t="n"/>
      <c r="E85" s="91" t="n">
        <v>6</v>
      </c>
      <c r="F85" s="92" t="inlineStr">
        <is>
          <t>箇所</t>
        </is>
      </c>
      <c r="G85" s="93">
        <f>IF(L85="","",ROUND(L85*M85,-1))</f>
        <v>5500</v>
      </c>
      <c r="H85" s="91">
        <f>IF(G85="","",ROUND(E85*G85,0))</f>
        <v>33000</v>
      </c>
      <c r="I85" s="94" t="inlineStr">
        <is>
          <t>支給品の取付費</t>
        </is>
      </c>
      <c r="J85" s="95" t="n">
        <v>500</v>
      </c>
      <c r="K85" s="95" t="n">
        <v>4500</v>
      </c>
      <c r="L85" s="93">
        <f>J85+K85</f>
        <v>5000</v>
      </c>
      <c r="M85" s="96">
        <f>COEF</f>
        <v>1.1</v>
      </c>
      <c r="N85" s="91">
        <f>E85*L85</f>
        <v>30000</v>
      </c>
      <c r="O85" s="91">
        <f>ROUND(E85*K85*M85,0)</f>
        <v>29700</v>
      </c>
      <c r="P85" s="97" t="inlineStr">
        <is>
          <t>図面カウント</t>
        </is>
      </c>
      <c r="Q85" s="91">
        <f>IF(H85="","",H85-N85)</f>
        <v>3000</v>
      </c>
      <c r="R85" s="98">
        <f>IF(OR(H85="",H85=0),"",Q85/H85)</f>
        <v>0.09090909090909091</v>
      </c>
      <c r="S85" s="99" t="inlineStr">
        <is>
          <t>FE-B3 2・FE-D2 1・F-3 3</t>
        </is>
      </c>
    </row>
    <row r="86" ht="18" customHeight="1">
      <c r="A86" s="89" t="inlineStr">
        <is>
          <t xml:space="preserve">　厨房フード① 製作取付</t>
        </is>
      </c>
      <c r="B86" s="39" t="n"/>
      <c r="C86" s="90" t="inlineStr">
        <is>
          <t>SUS製 900×850×800H 二重フード</t>
        </is>
      </c>
      <c r="D86" s="39" t="n"/>
      <c r="E86" s="91" t="n">
        <v>1</v>
      </c>
      <c r="F86" s="92" t="inlineStr">
        <is>
          <t>台</t>
        </is>
      </c>
      <c r="G86" s="93">
        <f>IF(L86="","",ROUND(L86*M86,-1))</f>
        <v>198000</v>
      </c>
      <c r="H86" s="91">
        <f>IF(G86="","",ROUND(E86*G86,0))</f>
        <v>198000</v>
      </c>
      <c r="I86" s="94" t="n"/>
      <c r="J86" s="95" t="n">
        <v>36000</v>
      </c>
      <c r="K86" s="95" t="n">
        <v>144000</v>
      </c>
      <c r="L86" s="93">
        <f>J86+K86</f>
        <v>180000</v>
      </c>
      <c r="M86" s="96">
        <f>COEF</f>
        <v>1.1</v>
      </c>
      <c r="N86" s="91">
        <f>E86*L86</f>
        <v>180000</v>
      </c>
      <c r="O86" s="91">
        <f>ROUND(E86*K86*M86,0)</f>
        <v>158400</v>
      </c>
      <c r="P86" s="97" t="inlineStr">
        <is>
          <t>図面カウント</t>
        </is>
      </c>
      <c r="Q86" s="91">
        <f>IF(H86="","",H86-N86)</f>
        <v>18000</v>
      </c>
      <c r="R86" s="98">
        <f>IF(OR(H86="",H86=0),"",Q86/H86)</f>
        <v>0.09090909090909091</v>
      </c>
      <c r="S86" s="99" t="inlineStr">
        <is>
          <t>フードリスト(p24) 工事区分要確認</t>
        </is>
      </c>
    </row>
    <row r="87" ht="18" customHeight="1">
      <c r="A87" s="89" t="inlineStr">
        <is>
          <t xml:space="preserve">　厨房フード② 製作取付</t>
        </is>
      </c>
      <c r="B87" s="39" t="n"/>
      <c r="C87" s="90" t="inlineStr">
        <is>
          <t>SUS製 1400×900×800H GF・二重フード</t>
        </is>
      </c>
      <c r="D87" s="39" t="n"/>
      <c r="E87" s="91" t="n">
        <v>1</v>
      </c>
      <c r="F87" s="92" t="inlineStr">
        <is>
          <t>台</t>
        </is>
      </c>
      <c r="G87" s="93">
        <f>IF(L87="","",ROUND(L87*M87,-1))</f>
        <v>286000</v>
      </c>
      <c r="H87" s="91">
        <f>IF(G87="","",ROUND(E87*G87,0))</f>
        <v>286000</v>
      </c>
      <c r="I87" s="94" t="n"/>
      <c r="J87" s="95" t="n">
        <v>52000</v>
      </c>
      <c r="K87" s="95" t="n">
        <v>208000</v>
      </c>
      <c r="L87" s="93">
        <f>J87+K87</f>
        <v>260000</v>
      </c>
      <c r="M87" s="96">
        <f>COEF</f>
        <v>1.1</v>
      </c>
      <c r="N87" s="91">
        <f>E87*L87</f>
        <v>260000</v>
      </c>
      <c r="O87" s="91">
        <f>ROUND(E87*K87*M87,0)</f>
        <v>228800</v>
      </c>
      <c r="P87" s="97" t="inlineStr">
        <is>
          <t>図面カウント</t>
        </is>
      </c>
      <c r="Q87" s="91">
        <f>IF(H87="","",H87-N87)</f>
        <v>26000</v>
      </c>
      <c r="R87" s="98">
        <f>IF(OR(H87="",H87=0),"",Q87/H87)</f>
        <v>0.09090909090909091</v>
      </c>
      <c r="S87" s="99" t="n"/>
    </row>
    <row r="88" ht="18" customHeight="1">
      <c r="A88" s="89" t="inlineStr">
        <is>
          <t xml:space="preserve">　厨房フード③ 製作取付</t>
        </is>
      </c>
      <c r="B88" s="39" t="n"/>
      <c r="C88" s="90" t="inlineStr">
        <is>
          <t>SUS製 1170×1170×800H GF</t>
        </is>
      </c>
      <c r="D88" s="39" t="n"/>
      <c r="E88" s="91" t="n">
        <v>1</v>
      </c>
      <c r="F88" s="92" t="inlineStr">
        <is>
          <t>台</t>
        </is>
      </c>
      <c r="G88" s="93">
        <f>IF(L88="","",ROUND(L88*M88,-1))</f>
        <v>286000</v>
      </c>
      <c r="H88" s="91">
        <f>IF(G88="","",ROUND(E88*G88,0))</f>
        <v>286000</v>
      </c>
      <c r="I88" s="94" t="n"/>
      <c r="J88" s="95" t="n">
        <v>52000</v>
      </c>
      <c r="K88" s="95" t="n">
        <v>208000</v>
      </c>
      <c r="L88" s="93">
        <f>J88+K88</f>
        <v>260000</v>
      </c>
      <c r="M88" s="96">
        <f>COEF</f>
        <v>1.1</v>
      </c>
      <c r="N88" s="91">
        <f>E88*L88</f>
        <v>260000</v>
      </c>
      <c r="O88" s="91">
        <f>ROUND(E88*K88*M88,0)</f>
        <v>228800</v>
      </c>
      <c r="P88" s="97" t="inlineStr">
        <is>
          <t>図面カウント</t>
        </is>
      </c>
      <c r="Q88" s="91">
        <f>IF(H88="","",H88-N88)</f>
        <v>26000</v>
      </c>
      <c r="R88" s="98">
        <f>IF(OR(H88="",H88=0),"",Q88/H88)</f>
        <v>0.09090909090909091</v>
      </c>
      <c r="S88" s="99" t="n"/>
    </row>
    <row r="89" ht="18" customHeight="1">
      <c r="A89" s="89" t="inlineStr">
        <is>
          <t xml:space="preserve">　厨房フード④ 製作取付</t>
        </is>
      </c>
      <c r="B89" s="39" t="n"/>
      <c r="C89" s="90" t="inlineStr">
        <is>
          <t>SUS製 3350×750×800H GF</t>
        </is>
      </c>
      <c r="D89" s="39" t="n"/>
      <c r="E89" s="91" t="n">
        <v>1</v>
      </c>
      <c r="F89" s="92" t="inlineStr">
        <is>
          <t>台</t>
        </is>
      </c>
      <c r="G89" s="93">
        <f>IF(L89="","",ROUND(L89*M89,-1))</f>
        <v>495000</v>
      </c>
      <c r="H89" s="91">
        <f>IF(G89="","",ROUND(E89*G89,0))</f>
        <v>495000</v>
      </c>
      <c r="I89" s="94" t="n"/>
      <c r="J89" s="95" t="n">
        <v>90000</v>
      </c>
      <c r="K89" s="95" t="n">
        <v>360000</v>
      </c>
      <c r="L89" s="93">
        <f>J89+K89</f>
        <v>450000</v>
      </c>
      <c r="M89" s="96">
        <f>COEF</f>
        <v>1.1</v>
      </c>
      <c r="N89" s="91">
        <f>E89*L89</f>
        <v>450000</v>
      </c>
      <c r="O89" s="91">
        <f>ROUND(E89*K89*M89,0)</f>
        <v>396000</v>
      </c>
      <c r="P89" s="97" t="inlineStr">
        <is>
          <t>図面カウント</t>
        </is>
      </c>
      <c r="Q89" s="91">
        <f>IF(H89="","",H89-N89)</f>
        <v>45000</v>
      </c>
      <c r="R89" s="98">
        <f>IF(OR(H89="",H89=0),"",Q89/H89)</f>
        <v>0.09090909090909091</v>
      </c>
      <c r="S89" s="99" t="n"/>
    </row>
    <row r="90" ht="18" customHeight="1">
      <c r="A90" s="89" t="inlineStr">
        <is>
          <t xml:space="preserve">　衣類乾燥機排気用スリーブ</t>
        </is>
      </c>
      <c r="B90" s="39" t="n"/>
      <c r="C90" s="90" t="inlineStr">
        <is>
          <t>スリーブキャップ共</t>
        </is>
      </c>
      <c r="D90" s="39" t="n"/>
      <c r="E90" s="91" t="n">
        <v>2</v>
      </c>
      <c r="F90" s="92" t="inlineStr">
        <is>
          <t>箇所</t>
        </is>
      </c>
      <c r="G90" s="93">
        <f>IF(L90="","",ROUND(L90*M90,-1))</f>
        <v>16500</v>
      </c>
      <c r="H90" s="91">
        <f>IF(G90="","",ROUND(E90*G90,0))</f>
        <v>33000</v>
      </c>
      <c r="I90" s="94" t="n"/>
      <c r="J90" s="95" t="n">
        <v>9800</v>
      </c>
      <c r="K90" s="95" t="n">
        <v>5200</v>
      </c>
      <c r="L90" s="93">
        <f>J90+K90</f>
        <v>15000</v>
      </c>
      <c r="M90" s="96">
        <f>COEF</f>
        <v>1.1</v>
      </c>
      <c r="N90" s="91">
        <f>E90*L90</f>
        <v>30000</v>
      </c>
      <c r="O90" s="91">
        <f>ROUND(E90*K90*M90,0)</f>
        <v>11440</v>
      </c>
      <c r="P90" s="97" t="inlineStr">
        <is>
          <t>図面カウント</t>
        </is>
      </c>
      <c r="Q90" s="91">
        <f>IF(H90="","",H90-N90)</f>
        <v>3000</v>
      </c>
      <c r="R90" s="98">
        <f>IF(OR(H90="",H90=0),"",Q90/H90)</f>
        <v>0.09090909090909091</v>
      </c>
      <c r="S90" s="99" t="inlineStr">
        <is>
          <t>洗濯室 図示</t>
        </is>
      </c>
    </row>
    <row r="91" ht="18" customHeight="1">
      <c r="A91" s="89" t="inlineStr">
        <is>
          <t xml:space="preserve">　試運転調整・風量測定</t>
        </is>
      </c>
      <c r="B91" s="39" t="n"/>
      <c r="C91" s="90" t="inlineStr">
        <is>
          <t>一式</t>
        </is>
      </c>
      <c r="D91" s="39" t="n"/>
      <c r="E91" s="91" t="n">
        <v>1</v>
      </c>
      <c r="F91" s="92" t="inlineStr">
        <is>
          <t>式</t>
        </is>
      </c>
      <c r="G91" s="93">
        <f>IF(L91="","",ROUND(L91*M91,-1))</f>
        <v>132000</v>
      </c>
      <c r="H91" s="91">
        <f>IF(G91="","",ROUND(E91*G91,0))</f>
        <v>132000</v>
      </c>
      <c r="I91" s="94" t="inlineStr">
        <is>
          <t>想定数量（別紙条件書）</t>
        </is>
      </c>
      <c r="J91" s="95" t="n">
        <v>6000</v>
      </c>
      <c r="K91" s="95" t="n">
        <v>114000</v>
      </c>
      <c r="L91" s="93">
        <f>J91+K91</f>
        <v>120000</v>
      </c>
      <c r="M91" s="96">
        <f>COEF</f>
        <v>1.1</v>
      </c>
      <c r="N91" s="91">
        <f>E91*L91</f>
        <v>120000</v>
      </c>
      <c r="O91" s="91">
        <f>ROUND(E91*K91*M91,0)</f>
        <v>125400</v>
      </c>
      <c r="P91" s="100" t="inlineStr">
        <is>
          <t>推測</t>
        </is>
      </c>
      <c r="Q91" s="91">
        <f>IF(H91="","",H91-N91)</f>
        <v>12000</v>
      </c>
      <c r="R91" s="98">
        <f>IF(OR(H91="",H91=0),"",Q91/H91)</f>
        <v>0.09090909090909091</v>
      </c>
      <c r="S91" s="99" t="n"/>
    </row>
    <row r="92" ht="18" customHeight="1">
      <c r="A92" s="102" t="n"/>
      <c r="B92" s="103" t="n"/>
      <c r="C92" s="103" t="n"/>
      <c r="D92" s="103" t="n"/>
      <c r="E92" s="103" t="n"/>
      <c r="F92" s="103" t="n"/>
      <c r="G92" s="103" t="n"/>
      <c r="H92" s="103" t="n"/>
      <c r="I92" s="104" t="n"/>
      <c r="J92" s="103" t="n"/>
      <c r="K92" s="103" t="n"/>
      <c r="L92" s="103" t="n"/>
      <c r="M92" s="103" t="n"/>
      <c r="N92" s="103" t="n"/>
      <c r="O92" s="103" t="n"/>
      <c r="P92" s="103" t="n"/>
      <c r="Q92" s="103" t="n"/>
      <c r="R92" s="103" t="n"/>
      <c r="S92" s="103" t="n"/>
    </row>
    <row r="93" ht="22" customHeight="1">
      <c r="A93" s="105" t="inlineStr">
        <is>
          <t>【小　　計】</t>
        </is>
      </c>
      <c r="B93" s="106" t="n"/>
      <c r="C93" s="106" t="n"/>
      <c r="D93" s="106" t="n"/>
      <c r="E93" s="106" t="n"/>
      <c r="F93" s="106" t="n"/>
      <c r="G93" s="106" t="n"/>
      <c r="H93" s="107">
        <f>SUM(H6:H92)</f>
        <v>9971500</v>
      </c>
      <c r="I93" s="108" t="n"/>
      <c r="J93" s="109" t="n"/>
      <c r="K93" s="109" t="n"/>
      <c r="L93" s="109" t="n"/>
      <c r="M93" s="109" t="n"/>
      <c r="N93" s="110">
        <f>SUM(N6:N92)</f>
        <v>9065000</v>
      </c>
      <c r="O93" s="110">
        <f>SUM(O6:O92)</f>
        <v>6356460</v>
      </c>
      <c r="P93" s="109" t="n"/>
      <c r="Q93" s="110">
        <f>H93-N93</f>
        <v>906500</v>
      </c>
      <c r="R93" s="111">
        <f>IF(H93=0,"",Q93/H93)</f>
        <v>0.09090909090909091</v>
      </c>
      <c r="S93" s="109" t="n"/>
    </row>
  </sheetData>
  <mergeCells count="177">
    <mergeCell ref="A15:B15"/>
    <mergeCell ref="C62:D62"/>
    <mergeCell ref="A64:B64"/>
    <mergeCell ref="C15:D15"/>
    <mergeCell ref="A73:B73"/>
    <mergeCell ref="A51:B51"/>
    <mergeCell ref="C89:D89"/>
    <mergeCell ref="A88:B88"/>
    <mergeCell ref="A70:B70"/>
    <mergeCell ref="C64:D64"/>
    <mergeCell ref="C79:D79"/>
    <mergeCell ref="C73:D73"/>
    <mergeCell ref="A54:B54"/>
    <mergeCell ref="A7:B7"/>
    <mergeCell ref="C54:D54"/>
    <mergeCell ref="A41:B41"/>
    <mergeCell ref="A90:B90"/>
    <mergeCell ref="C41:D41"/>
    <mergeCell ref="C50:D50"/>
    <mergeCell ref="A74:B74"/>
    <mergeCell ref="A56:B56"/>
    <mergeCell ref="A27:B27"/>
    <mergeCell ref="C56:D56"/>
    <mergeCell ref="C43:D43"/>
    <mergeCell ref="A76:B76"/>
    <mergeCell ref="A33:B33"/>
    <mergeCell ref="C27:D27"/>
    <mergeCell ref="C76:D76"/>
    <mergeCell ref="A42:B42"/>
    <mergeCell ref="A85:B85"/>
    <mergeCell ref="C36:D36"/>
    <mergeCell ref="A17:B17"/>
    <mergeCell ref="C17:D17"/>
    <mergeCell ref="A22:B22"/>
    <mergeCell ref="A53:B53"/>
    <mergeCell ref="A35:B35"/>
    <mergeCell ref="A62:B62"/>
    <mergeCell ref="C67:D67"/>
    <mergeCell ref="A19:B19"/>
    <mergeCell ref="A68:B68"/>
    <mergeCell ref="C19:D19"/>
    <mergeCell ref="A28:B28"/>
    <mergeCell ref="C28:D28"/>
    <mergeCell ref="A9:B9"/>
    <mergeCell ref="C3:D3"/>
    <mergeCell ref="A39:B39"/>
    <mergeCell ref="C69:D69"/>
    <mergeCell ref="A48:B48"/>
    <mergeCell ref="A30:B30"/>
    <mergeCell ref="C92:D92"/>
    <mergeCell ref="C30:D30"/>
    <mergeCell ref="A59:B59"/>
    <mergeCell ref="A46:I46"/>
    <mergeCell ref="A11:B11"/>
    <mergeCell ref="C5:D5"/>
    <mergeCell ref="A45:B45"/>
    <mergeCell ref="C14:D14"/>
    <mergeCell ref="C45:D45"/>
    <mergeCell ref="A79:B79"/>
    <mergeCell ref="A61:B61"/>
    <mergeCell ref="A87:B87"/>
    <mergeCell ref="C47:D47"/>
    <mergeCell ref="A37:B37"/>
    <mergeCell ref="A89:B89"/>
    <mergeCell ref="C40:D40"/>
    <mergeCell ref="A26:B26"/>
    <mergeCell ref="C90:D90"/>
    <mergeCell ref="A63:I63"/>
    <mergeCell ref="A71:B71"/>
    <mergeCell ref="C71:D71"/>
    <mergeCell ref="A83:I83"/>
    <mergeCell ref="A8:B8"/>
    <mergeCell ref="C8:D8"/>
    <mergeCell ref="A91:B91"/>
    <mergeCell ref="C91:D91"/>
    <mergeCell ref="A52:B52"/>
    <mergeCell ref="C82:D82"/>
    <mergeCell ref="A10:B10"/>
    <mergeCell ref="C57:D57"/>
    <mergeCell ref="A1:I1"/>
    <mergeCell ref="C66:D66"/>
    <mergeCell ref="C18:D18"/>
    <mergeCell ref="C53:D53"/>
    <mergeCell ref="A77:B77"/>
    <mergeCell ref="A34:B34"/>
    <mergeCell ref="C77:D77"/>
    <mergeCell ref="C34:D34"/>
    <mergeCell ref="A92:B92"/>
    <mergeCell ref="C86:D86"/>
    <mergeCell ref="C68:D68"/>
    <mergeCell ref="A49:B49"/>
    <mergeCell ref="C58:D58"/>
    <mergeCell ref="A36:B36"/>
    <mergeCell ref="A93:D93"/>
    <mergeCell ref="A69:B69"/>
    <mergeCell ref="C20:D20"/>
    <mergeCell ref="A78:B78"/>
    <mergeCell ref="C78:D78"/>
    <mergeCell ref="C29:D29"/>
    <mergeCell ref="C85:D85"/>
    <mergeCell ref="A65:B65"/>
    <mergeCell ref="C65:D65"/>
    <mergeCell ref="A75:B75"/>
    <mergeCell ref="C44:D44"/>
    <mergeCell ref="C75:D75"/>
    <mergeCell ref="C22:D22"/>
    <mergeCell ref="A80:B80"/>
    <mergeCell ref="C84:D84"/>
    <mergeCell ref="C31:D31"/>
    <mergeCell ref="A4:I4"/>
    <mergeCell ref="A3:B3"/>
    <mergeCell ref="C80:D80"/>
    <mergeCell ref="J1:S1"/>
    <mergeCell ref="A55:B55"/>
    <mergeCell ref="A12:B12"/>
    <mergeCell ref="C59:D59"/>
    <mergeCell ref="C12:D12"/>
    <mergeCell ref="A21:B21"/>
    <mergeCell ref="C21:D21"/>
    <mergeCell ref="A57:B57"/>
    <mergeCell ref="C51:D51"/>
    <mergeCell ref="A5:B5"/>
    <mergeCell ref="A32:B32"/>
    <mergeCell ref="A14:B14"/>
    <mergeCell ref="C61:D61"/>
    <mergeCell ref="A23:B23"/>
    <mergeCell ref="C70:D70"/>
    <mergeCell ref="C48:D48"/>
    <mergeCell ref="C23:D23"/>
    <mergeCell ref="A38:B38"/>
    <mergeCell ref="C32:D32"/>
    <mergeCell ref="C7:D7"/>
    <mergeCell ref="C38:D38"/>
    <mergeCell ref="A43:B43"/>
    <mergeCell ref="A6:I6"/>
    <mergeCell ref="A40:B40"/>
    <mergeCell ref="A67:B67"/>
    <mergeCell ref="C49:D49"/>
    <mergeCell ref="A24:B24"/>
    <mergeCell ref="C24:D24"/>
    <mergeCell ref="A82:B82"/>
    <mergeCell ref="C33:D33"/>
    <mergeCell ref="C42:D42"/>
    <mergeCell ref="C74:D74"/>
    <mergeCell ref="C88:D88"/>
    <mergeCell ref="C26:D26"/>
    <mergeCell ref="C35:D35"/>
    <mergeCell ref="A16:B16"/>
    <mergeCell ref="C10:D10"/>
    <mergeCell ref="C16:D16"/>
    <mergeCell ref="A25:B25"/>
    <mergeCell ref="C25:D25"/>
    <mergeCell ref="C55:D55"/>
    <mergeCell ref="A84:B84"/>
    <mergeCell ref="A66:B66"/>
    <mergeCell ref="C9:D9"/>
    <mergeCell ref="A18:B18"/>
    <mergeCell ref="A50:B50"/>
    <mergeCell ref="A86:B86"/>
    <mergeCell ref="C11:D11"/>
    <mergeCell ref="A47:B47"/>
    <mergeCell ref="C52:D52"/>
    <mergeCell ref="C39:D39"/>
    <mergeCell ref="A20:B20"/>
    <mergeCell ref="A72:B72"/>
    <mergeCell ref="A29:B29"/>
    <mergeCell ref="C72:D72"/>
    <mergeCell ref="A81:B81"/>
    <mergeCell ref="A60:I60"/>
    <mergeCell ref="C81:D81"/>
    <mergeCell ref="C37:D37"/>
    <mergeCell ref="A13:B13"/>
    <mergeCell ref="A44:B44"/>
    <mergeCell ref="C13:D13"/>
    <mergeCell ref="A31:B31"/>
    <mergeCell ref="A58:B58"/>
    <mergeCell ref="C87:D87"/>
  </mergeCells>
  <printOptions horizontalCentered="1" gridLines="0"/>
  <pageMargins left="0.4724409448818897" right="0.4724409448818897" top="0.5905511811023622" bottom="0.5905511811023622" header="0.3149606299212598" footer="0.2362204724409449"/>
  <pageSetup orientation="portrait" paperSize="9" fitToHeight="0" fitToWidth="1"/>
  <headerFooter>
    <oddHeader/>
    <oddFooter>&amp;C&amp;"ＭＳ Ｐゴシック,標準"&amp;9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S48"/>
  <sheetViews>
    <sheetView showGridLines="0" tabSelected="0" workbookViewId="0">
      <selection activeCell="A1" sqref="A1"/>
    </sheetView>
  </sheetViews>
  <sheetFormatPr baseColWidth="8" defaultRowHeight="15"/>
  <cols>
    <col width="4" customWidth="1" min="1" max="1"/>
    <col width="27" customWidth="1" min="2" max="2"/>
    <col width="24" customWidth="1" min="3" max="3"/>
    <col width="4" customWidth="1" min="4" max="4"/>
    <col width="8" customWidth="1" min="5" max="5"/>
    <col width="5" customWidth="1" min="6" max="6"/>
    <col width="10" customWidth="1" min="7" max="7"/>
    <col width="13" customWidth="1" min="8" max="8"/>
    <col width="15" customWidth="1" min="9" max="9"/>
    <col width="10" customWidth="1" min="10" max="10"/>
    <col width="10" customWidth="1" min="11" max="11"/>
    <col width="10" customWidth="1" min="12" max="12"/>
    <col width="7" customWidth="1" min="13" max="13"/>
    <col width="12" customWidth="1" min="14" max="14"/>
    <col width="12" customWidth="1" min="15" max="15"/>
    <col width="8" customWidth="1" min="16" max="16"/>
    <col width="12" customWidth="1" min="17" max="17"/>
    <col width="8" customWidth="1" min="18" max="18"/>
    <col width="40" customWidth="1" min="19" max="19"/>
  </cols>
  <sheetData>
    <row r="1" ht="26" customHeight="1">
      <c r="A1" s="112" t="inlineStr">
        <is>
          <t>内　訳　書</t>
        </is>
      </c>
      <c r="J1" s="78" t="inlineStr">
        <is>
          <t>原　価　内　訳　書（内部用・印刷範囲外）</t>
        </is>
      </c>
      <c r="K1" s="79" t="n"/>
      <c r="L1" s="79" t="n"/>
      <c r="M1" s="79" t="n"/>
      <c r="N1" s="79" t="n"/>
      <c r="O1" s="79" t="n"/>
      <c r="P1" s="79" t="n"/>
      <c r="Q1" s="79" t="n"/>
      <c r="R1" s="79" t="n"/>
      <c r="S1" s="79" t="n"/>
    </row>
    <row r="2" ht="18" customHeight="1">
      <c r="A2" s="113" t="inlineStr">
        <is>
          <t>工事名：（仮称）サンフレッチェ広島　三矢寮新築工事　空調設備工事</t>
        </is>
      </c>
      <c r="I2" s="114" t="inlineStr">
        <is>
          <t>内訳書 No.3</t>
        </is>
      </c>
    </row>
    <row r="3" ht="20" customHeight="1">
      <c r="A3" s="80" t="inlineStr">
        <is>
          <t>名　　称</t>
        </is>
      </c>
      <c r="B3" s="29" t="n"/>
      <c r="C3" s="81" t="inlineStr">
        <is>
          <t>規格・寸法</t>
        </is>
      </c>
      <c r="D3" s="29" t="n"/>
      <c r="E3" s="81" t="inlineStr">
        <is>
          <t>数 量</t>
        </is>
      </c>
      <c r="F3" s="81" t="inlineStr">
        <is>
          <t>単位</t>
        </is>
      </c>
      <c r="G3" s="81" t="inlineStr">
        <is>
          <t>単　価</t>
        </is>
      </c>
      <c r="H3" s="81" t="inlineStr">
        <is>
          <t>金　　額</t>
        </is>
      </c>
      <c r="I3" s="82" t="inlineStr">
        <is>
          <t>備　考</t>
        </is>
      </c>
      <c r="J3" s="83" t="inlineStr">
        <is>
          <t>材料単価</t>
        </is>
      </c>
      <c r="K3" s="83" t="inlineStr">
        <is>
          <t>労務単価</t>
        </is>
      </c>
      <c r="L3" s="83" t="inlineStr">
        <is>
          <t>基準単価</t>
        </is>
      </c>
      <c r="M3" s="83" t="inlineStr">
        <is>
          <t>提出係数</t>
        </is>
      </c>
      <c r="N3" s="83" t="inlineStr">
        <is>
          <t>基準原価</t>
        </is>
      </c>
      <c r="O3" s="83" t="inlineStr">
        <is>
          <t>労務費(提出)</t>
        </is>
      </c>
      <c r="P3" s="83" t="inlineStr">
        <is>
          <t>数量根拠</t>
        </is>
      </c>
      <c r="Q3" s="83" t="inlineStr">
        <is>
          <t>粗利</t>
        </is>
      </c>
      <c r="R3" s="83" t="inlineStr">
        <is>
          <t>粗利率</t>
        </is>
      </c>
      <c r="S3" s="83" t="inlineStr">
        <is>
          <t>前提・メモ（内部）</t>
        </is>
      </c>
    </row>
    <row r="4" ht="18" customHeight="1">
      <c r="A4" s="115" t="inlineStr">
        <is>
          <t>３．金額変更案（検討図 08 朱書き・減額は負数表示）</t>
        </is>
      </c>
      <c r="B4" s="37" t="n"/>
      <c r="C4" s="37" t="n"/>
      <c r="D4" s="37" t="n"/>
      <c r="E4" s="37" t="n"/>
      <c r="F4" s="37" t="n"/>
      <c r="G4" s="37" t="n"/>
      <c r="H4" s="37" t="n"/>
      <c r="I4" s="85" t="n"/>
      <c r="J4" s="37" t="n"/>
      <c r="K4" s="37" t="n"/>
      <c r="L4" s="37" t="n"/>
      <c r="M4" s="37" t="n"/>
      <c r="N4" s="37" t="n"/>
      <c r="O4" s="37" t="n"/>
      <c r="P4" s="37" t="n"/>
      <c r="Q4" s="37" t="n"/>
      <c r="R4" s="37" t="n"/>
      <c r="S4" s="37" t="n"/>
    </row>
    <row r="5" ht="18" customHeight="1">
      <c r="A5" s="86" t="n"/>
      <c r="B5" s="39" t="n"/>
      <c r="C5" s="39" t="n"/>
      <c r="D5" s="39" t="n"/>
      <c r="E5" s="39" t="n"/>
      <c r="F5" s="39" t="n"/>
      <c r="G5" s="39" t="n"/>
      <c r="H5" s="39" t="n"/>
      <c r="I5" s="87" t="n"/>
      <c r="J5" s="39" t="n"/>
      <c r="K5" s="39" t="n"/>
      <c r="L5" s="39" t="n"/>
      <c r="M5" s="39" t="n"/>
      <c r="N5" s="39" t="n"/>
      <c r="O5" s="39" t="n"/>
      <c r="P5" s="39" t="n"/>
      <c r="Q5" s="39" t="n"/>
      <c r="R5" s="39" t="n"/>
      <c r="S5" s="39" t="n"/>
    </row>
    <row r="6" ht="18" customHeight="1">
      <c r="A6" s="116" t="inlineStr">
        <is>
          <t>（1）No3・4 ロスナイ中止（減額・代替機器）</t>
        </is>
      </c>
      <c r="B6" s="39" t="n"/>
      <c r="C6" s="39" t="n"/>
      <c r="D6" s="39" t="n"/>
      <c r="E6" s="39" t="n"/>
      <c r="F6" s="39" t="n"/>
      <c r="G6" s="39" t="n"/>
      <c r="H6" s="39" t="n"/>
      <c r="I6" s="87" t="n"/>
      <c r="J6" s="39" t="n"/>
      <c r="K6" s="39" t="n"/>
      <c r="L6" s="39" t="n"/>
      <c r="M6" s="39" t="n"/>
      <c r="N6" s="39" t="n"/>
      <c r="O6" s="39" t="n"/>
      <c r="P6" s="39" t="n"/>
      <c r="Q6" s="39" t="n"/>
      <c r="R6" s="39" t="n"/>
      <c r="S6" s="39" t="n"/>
    </row>
    <row r="7" ht="18" customHeight="1">
      <c r="A7" s="117" t="inlineStr">
        <is>
          <t xml:space="preserve">　HEX-1 全熱交換器 据付 (中止)</t>
        </is>
      </c>
      <c r="B7" s="39" t="n"/>
      <c r="C7" s="118" t="inlineStr">
        <is>
          <t>LGH-N80RXV2 食堂</t>
        </is>
      </c>
      <c r="D7" s="39" t="n"/>
      <c r="E7" s="119" t="n">
        <v>-1</v>
      </c>
      <c r="F7" s="120" t="inlineStr">
        <is>
          <t>台</t>
        </is>
      </c>
      <c r="G7" s="121">
        <f>IF(L7="","",ROUND(L7*M7,-1))</f>
        <v>49500</v>
      </c>
      <c r="H7" s="119">
        <f>IF(G7="","",ROUND(E7*G7,0))</f>
        <v>-49500</v>
      </c>
      <c r="I7" s="122" t="inlineStr">
        <is>
          <t>本体は元請様支給</t>
        </is>
      </c>
      <c r="J7" s="95" t="n">
        <v>6800</v>
      </c>
      <c r="K7" s="95" t="n">
        <v>38200</v>
      </c>
      <c r="L7" s="93">
        <f>J7+K7</f>
        <v>45000</v>
      </c>
      <c r="M7" s="96">
        <f>COEF</f>
        <v>1.1</v>
      </c>
      <c r="N7" s="91">
        <f>E7*L7</f>
        <v>-45000</v>
      </c>
      <c r="O7" s="91">
        <f>ROUND(E7*K7*M7,0)</f>
        <v>-42020</v>
      </c>
      <c r="P7" s="97" t="inlineStr">
        <is>
          <t>図面カウント</t>
        </is>
      </c>
      <c r="Q7" s="91">
        <f>IF(H7="","",H7-N7)</f>
        <v>-4500</v>
      </c>
      <c r="R7" s="98">
        <f>IF(OR(H7="",H7=0),"",Q7/H7)</f>
        <v>0.09090909090909091</v>
      </c>
      <c r="S7" s="99" t="inlineStr">
        <is>
          <t>No3・4 ロスナイ中止</t>
        </is>
      </c>
    </row>
    <row r="8" ht="18" customHeight="1">
      <c r="A8" s="117" t="inlineStr">
        <is>
          <t xml:space="preserve">　HEX-2 全熱交換器 据付 (中止)</t>
        </is>
      </c>
      <c r="B8" s="39" t="n"/>
      <c r="C8" s="118" t="inlineStr">
        <is>
          <t>LGH-N65RXW2 ミーティングルーム</t>
        </is>
      </c>
      <c r="D8" s="39" t="n"/>
      <c r="E8" s="119" t="n">
        <v>-1</v>
      </c>
      <c r="F8" s="120" t="inlineStr">
        <is>
          <t>台</t>
        </is>
      </c>
      <c r="G8" s="121">
        <f>IF(L8="","",ROUND(L8*M8,-1))</f>
        <v>49500</v>
      </c>
      <c r="H8" s="119">
        <f>IF(G8="","",ROUND(E8*G8,0))</f>
        <v>-49500</v>
      </c>
      <c r="I8" s="122" t="inlineStr">
        <is>
          <t>本体は元請様支給</t>
        </is>
      </c>
      <c r="J8" s="95" t="n">
        <v>6800</v>
      </c>
      <c r="K8" s="95" t="n">
        <v>38200</v>
      </c>
      <c r="L8" s="93">
        <f>J8+K8</f>
        <v>45000</v>
      </c>
      <c r="M8" s="96">
        <f>COEF</f>
        <v>1.1</v>
      </c>
      <c r="N8" s="91">
        <f>E8*L8</f>
        <v>-45000</v>
      </c>
      <c r="O8" s="91">
        <f>ROUND(E8*K8*M8,0)</f>
        <v>-42020</v>
      </c>
      <c r="P8" s="97" t="inlineStr">
        <is>
          <t>図面カウント</t>
        </is>
      </c>
      <c r="Q8" s="91">
        <f>IF(H8="","",H8-N8)</f>
        <v>-4500</v>
      </c>
      <c r="R8" s="98">
        <f>IF(OR(H8="",H8=0),"",Q8/H8)</f>
        <v>0.09090909090909091</v>
      </c>
      <c r="S8" s="99" t="n"/>
    </row>
    <row r="9" ht="18" customHeight="1">
      <c r="A9" s="117" t="inlineStr">
        <is>
          <t xml:space="preserve">　HEX-3 全熱交換器 据付 (中止)</t>
        </is>
      </c>
      <c r="B9" s="39" t="n"/>
      <c r="C9" s="118" t="inlineStr">
        <is>
          <t>SKU-50AC コーチルーム・トレーニングルーム</t>
        </is>
      </c>
      <c r="D9" s="39" t="n"/>
      <c r="E9" s="119" t="n">
        <v>-4</v>
      </c>
      <c r="F9" s="120" t="inlineStr">
        <is>
          <t>台</t>
        </is>
      </c>
      <c r="G9" s="121">
        <f>IF(L9="","",ROUND(L9*M9,-1))</f>
        <v>44000</v>
      </c>
      <c r="H9" s="119">
        <f>IF(G9="","",ROUND(E9*G9,0))</f>
        <v>-176000</v>
      </c>
      <c r="I9" s="122" t="inlineStr">
        <is>
          <t>本体は元請様支給</t>
        </is>
      </c>
      <c r="J9" s="95" t="n">
        <v>6000</v>
      </c>
      <c r="K9" s="95" t="n">
        <v>34000</v>
      </c>
      <c r="L9" s="93">
        <f>J9+K9</f>
        <v>40000</v>
      </c>
      <c r="M9" s="96">
        <f>COEF</f>
        <v>1.1</v>
      </c>
      <c r="N9" s="91">
        <f>E9*L9</f>
        <v>-160000</v>
      </c>
      <c r="O9" s="91">
        <f>ROUND(E9*K9*M9,0)</f>
        <v>-149600</v>
      </c>
      <c r="P9" s="97" t="inlineStr">
        <is>
          <t>図面カウント</t>
        </is>
      </c>
      <c r="Q9" s="91">
        <f>IF(H9="","",H9-N9)</f>
        <v>-16000</v>
      </c>
      <c r="R9" s="98">
        <f>IF(OR(H9="",H9=0),"",Q9/H9)</f>
        <v>0.09090909090909091</v>
      </c>
      <c r="S9" s="99" t="n"/>
    </row>
    <row r="10" ht="18" customHeight="1">
      <c r="A10" s="117" t="inlineStr">
        <is>
          <t xml:space="preserve">　HEX-4 壁掛ロスナイ 据付 (中止)</t>
        </is>
      </c>
      <c r="B10" s="39" t="n"/>
      <c r="C10" s="118" t="inlineStr">
        <is>
          <t>VL-10ES3</t>
        </is>
      </c>
      <c r="D10" s="39" t="n"/>
      <c r="E10" s="119" t="n">
        <v>-46</v>
      </c>
      <c r="F10" s="120" t="inlineStr">
        <is>
          <t>台</t>
        </is>
      </c>
      <c r="G10" s="121">
        <f>IF(L10="","",ROUND(L10*M10,-1))</f>
        <v>13200</v>
      </c>
      <c r="H10" s="119">
        <f>IF(G10="","",ROUND(E10*G10,0))</f>
        <v>-607200</v>
      </c>
      <c r="I10" s="122" t="inlineStr">
        <is>
          <t>本体は元請様支給</t>
        </is>
      </c>
      <c r="J10" s="95" t="n">
        <v>1800</v>
      </c>
      <c r="K10" s="95" t="n">
        <v>10200</v>
      </c>
      <c r="L10" s="93">
        <f>J10+K10</f>
        <v>12000</v>
      </c>
      <c r="M10" s="96">
        <f>COEF</f>
        <v>1.1</v>
      </c>
      <c r="N10" s="91">
        <f>E10*L10</f>
        <v>-552000</v>
      </c>
      <c r="O10" s="91">
        <f>ROUND(E10*K10*M10,0)</f>
        <v>-516120</v>
      </c>
      <c r="P10" s="97" t="inlineStr">
        <is>
          <t>図面カウント</t>
        </is>
      </c>
      <c r="Q10" s="91">
        <f>IF(H10="","",H10-N10)</f>
        <v>-55200</v>
      </c>
      <c r="R10" s="98">
        <f>IF(OR(H10="",H10=0),"",Q10/H10)</f>
        <v>0.09090909090909091</v>
      </c>
      <c r="S10" s="99" t="n"/>
    </row>
    <row r="11" ht="18" customHeight="1">
      <c r="A11" s="117" t="inlineStr">
        <is>
          <t xml:space="preserve">　HEX-5 壁掛ロスナイ 据付 (中止)</t>
        </is>
      </c>
      <c r="B11" s="39" t="n"/>
      <c r="C11" s="118" t="inlineStr">
        <is>
          <t>VL-12ESH3</t>
        </is>
      </c>
      <c r="D11" s="39" t="n"/>
      <c r="E11" s="119" t="n">
        <v>-27</v>
      </c>
      <c r="F11" s="120" t="inlineStr">
        <is>
          <t>台</t>
        </is>
      </c>
      <c r="G11" s="121">
        <f>IF(L11="","",ROUND(L11*M11,-1))</f>
        <v>13200</v>
      </c>
      <c r="H11" s="119">
        <f>IF(G11="","",ROUND(E11*G11,0))</f>
        <v>-356400</v>
      </c>
      <c r="I11" s="122" t="inlineStr">
        <is>
          <t>本体は元請様支給</t>
        </is>
      </c>
      <c r="J11" s="95" t="n">
        <v>1800</v>
      </c>
      <c r="K11" s="95" t="n">
        <v>10200</v>
      </c>
      <c r="L11" s="93">
        <f>J11+K11</f>
        <v>12000</v>
      </c>
      <c r="M11" s="96">
        <f>COEF</f>
        <v>1.1</v>
      </c>
      <c r="N11" s="91">
        <f>E11*L11</f>
        <v>-324000</v>
      </c>
      <c r="O11" s="91">
        <f>ROUND(E11*K11*M11,0)</f>
        <v>-302940</v>
      </c>
      <c r="P11" s="97" t="inlineStr">
        <is>
          <t>図面カウント</t>
        </is>
      </c>
      <c r="Q11" s="91">
        <f>IF(H11="","",H11-N11)</f>
        <v>-32400</v>
      </c>
      <c r="R11" s="98">
        <f>IF(OR(H11="",H11=0),"",Q11/H11)</f>
        <v>0.09090909090909091</v>
      </c>
      <c r="S11" s="99" t="n"/>
    </row>
    <row r="12" ht="18" customHeight="1">
      <c r="A12" s="117" t="inlineStr">
        <is>
          <t xml:space="preserve">　全熱交換器 リモコン配線 (中止)</t>
        </is>
      </c>
      <c r="B12" s="39" t="n"/>
      <c r="C12" s="118" t="inlineStr">
        <is>
          <t>HEX-1,2,3 計6台分</t>
        </is>
      </c>
      <c r="D12" s="39" t="n"/>
      <c r="E12" s="119" t="n">
        <v>-6</v>
      </c>
      <c r="F12" s="120" t="inlineStr">
        <is>
          <t>台</t>
        </is>
      </c>
      <c r="G12" s="121">
        <f>IF(L12="","",ROUND(L12*M12,-1))</f>
        <v>8800</v>
      </c>
      <c r="H12" s="119">
        <f>IF(G12="","",ROUND(E12*G12,0))</f>
        <v>-52800</v>
      </c>
      <c r="I12" s="122" t="inlineStr">
        <is>
          <t>図面08 中止に伴う減額</t>
        </is>
      </c>
      <c r="J12" s="95" t="n">
        <v>3200</v>
      </c>
      <c r="K12" s="95" t="n">
        <v>4800</v>
      </c>
      <c r="L12" s="93">
        <f>J12+K12</f>
        <v>8000</v>
      </c>
      <c r="M12" s="96">
        <f>COEF</f>
        <v>1.1</v>
      </c>
      <c r="N12" s="91">
        <f>E12*L12</f>
        <v>-48000</v>
      </c>
      <c r="O12" s="91">
        <f>ROUND(E12*K12*M12,0)</f>
        <v>-31680</v>
      </c>
      <c r="P12" s="97" t="inlineStr">
        <is>
          <t>図面カウント</t>
        </is>
      </c>
      <c r="Q12" s="91">
        <f>IF(H12="","",H12-N12)</f>
        <v>-4800</v>
      </c>
      <c r="R12" s="98">
        <f>IF(OR(H12="",H12=0),"",Q12/H12)</f>
        <v>0.09090909090909091</v>
      </c>
      <c r="S12" s="99" t="n"/>
    </row>
    <row r="13" ht="18" customHeight="1">
      <c r="A13" s="117" t="inlineStr">
        <is>
          <t xml:space="preserve">　HEX-1 → 中間ファン 据付</t>
        </is>
      </c>
      <c r="B13" s="39" t="n"/>
      <c r="C13" s="118" t="inlineStr">
        <is>
          <t>BFS-80SUDC 天井埋込形 250φ 食堂 防振吊金具・リモコン共</t>
        </is>
      </c>
      <c r="D13" s="39" t="n"/>
      <c r="E13" s="119" t="n">
        <v>1</v>
      </c>
      <c r="F13" s="120" t="inlineStr">
        <is>
          <t>台</t>
        </is>
      </c>
      <c r="G13" s="121">
        <f>IF(L13="","",ROUND(L13*M13,-1))</f>
        <v>44000</v>
      </c>
      <c r="H13" s="119">
        <f>IF(G13="","",ROUND(E13*G13,0))</f>
        <v>44000</v>
      </c>
      <c r="I13" s="122" t="inlineStr">
        <is>
          <t>本体は元請様支給</t>
        </is>
      </c>
      <c r="J13" s="95" t="n">
        <v>16000</v>
      </c>
      <c r="K13" s="95" t="n">
        <v>24000</v>
      </c>
      <c r="L13" s="93">
        <f>J13+K13</f>
        <v>40000</v>
      </c>
      <c r="M13" s="96">
        <f>COEF</f>
        <v>1.1</v>
      </c>
      <c r="N13" s="91">
        <f>E13*L13</f>
        <v>40000</v>
      </c>
      <c r="O13" s="91">
        <f>ROUND(E13*K13*M13,0)</f>
        <v>26400</v>
      </c>
      <c r="P13" s="97" t="inlineStr">
        <is>
          <t>図面カウント</t>
        </is>
      </c>
      <c r="Q13" s="91">
        <f>IF(H13="","",H13-N13)</f>
        <v>4000</v>
      </c>
      <c r="R13" s="98">
        <f>IF(OR(H13="",H13=0),"",Q13/H13)</f>
        <v>0.09090909090909091</v>
      </c>
      <c r="S13" s="99" t="inlineStr">
        <is>
          <t>EA側ダクト・HSは図示どおり、OA側は自然給気として残置と想定</t>
        </is>
      </c>
    </row>
    <row r="14" ht="18" customHeight="1">
      <c r="A14" s="117" t="inlineStr">
        <is>
          <t xml:space="preserve">　HEX-2 → 中間ファン 据付</t>
        </is>
      </c>
      <c r="B14" s="39" t="n"/>
      <c r="C14" s="118" t="inlineStr">
        <is>
          <t>BFS-65SUDC 200φ ミーティングルーム</t>
        </is>
      </c>
      <c r="D14" s="39" t="n"/>
      <c r="E14" s="119" t="n">
        <v>1</v>
      </c>
      <c r="F14" s="120" t="inlineStr">
        <is>
          <t>台</t>
        </is>
      </c>
      <c r="G14" s="121">
        <f>IF(L14="","",ROUND(L14*M14,-1))</f>
        <v>41800</v>
      </c>
      <c r="H14" s="119">
        <f>IF(G14="","",ROUND(E14*G14,0))</f>
        <v>41800</v>
      </c>
      <c r="I14" s="122" t="inlineStr">
        <is>
          <t>本体は元請様支給</t>
        </is>
      </c>
      <c r="J14" s="95" t="n">
        <v>5700</v>
      </c>
      <c r="K14" s="95" t="n">
        <v>32300</v>
      </c>
      <c r="L14" s="93">
        <f>J14+K14</f>
        <v>38000</v>
      </c>
      <c r="M14" s="96">
        <f>COEF</f>
        <v>1.1</v>
      </c>
      <c r="N14" s="91">
        <f>E14*L14</f>
        <v>38000</v>
      </c>
      <c r="O14" s="91">
        <f>ROUND(E14*K14*M14,0)</f>
        <v>35530</v>
      </c>
      <c r="P14" s="97" t="inlineStr">
        <is>
          <t>図面カウント</t>
        </is>
      </c>
      <c r="Q14" s="91">
        <f>IF(H14="","",H14-N14)</f>
        <v>3800</v>
      </c>
      <c r="R14" s="98">
        <f>IF(OR(H14="",H14=0),"",Q14/H14)</f>
        <v>0.09090909090909091</v>
      </c>
      <c r="S14" s="99" t="n"/>
    </row>
    <row r="15" ht="18" customHeight="1">
      <c r="A15" s="117" t="inlineStr">
        <is>
          <t xml:space="preserve">　HEX-3 → 中間ファン 据付</t>
        </is>
      </c>
      <c r="B15" s="39" t="n"/>
      <c r="C15" s="118" t="inlineStr">
        <is>
          <t>BFS-40SUDC 天井カセット形 200φ コーチルーム・トレーニングルーム</t>
        </is>
      </c>
      <c r="D15" s="39" t="n"/>
      <c r="E15" s="119" t="n">
        <v>4</v>
      </c>
      <c r="F15" s="120" t="inlineStr">
        <is>
          <t>台</t>
        </is>
      </c>
      <c r="G15" s="121">
        <f>IF(L15="","",ROUND(L15*M15,-1))</f>
        <v>38500</v>
      </c>
      <c r="H15" s="119">
        <f>IF(G15="","",ROUND(E15*G15,0))</f>
        <v>154000</v>
      </c>
      <c r="I15" s="122" t="inlineStr">
        <is>
          <t>本体は元請様支給</t>
        </is>
      </c>
      <c r="J15" s="95" t="n">
        <v>5200</v>
      </c>
      <c r="K15" s="95" t="n">
        <v>29800</v>
      </c>
      <c r="L15" s="93">
        <f>J15+K15</f>
        <v>35000</v>
      </c>
      <c r="M15" s="96">
        <f>COEF</f>
        <v>1.1</v>
      </c>
      <c r="N15" s="91">
        <f>E15*L15</f>
        <v>140000</v>
      </c>
      <c r="O15" s="91">
        <f>ROUND(E15*K15*M15,0)</f>
        <v>131120</v>
      </c>
      <c r="P15" s="97" t="inlineStr">
        <is>
          <t>図面カウント</t>
        </is>
      </c>
      <c r="Q15" s="91">
        <f>IF(H15="","",H15-N15)</f>
        <v>14000</v>
      </c>
      <c r="R15" s="98">
        <f>IF(OR(H15="",H15=0),"",Q15/H15)</f>
        <v>0.09090909090909091</v>
      </c>
      <c r="S15" s="99" t="n"/>
    </row>
    <row r="16" ht="18" customHeight="1">
      <c r="A16" s="117" t="inlineStr">
        <is>
          <t xml:space="preserve">　中間ファン リモコン配線</t>
        </is>
      </c>
      <c r="B16" s="39" t="n"/>
      <c r="C16" s="118" t="inlineStr">
        <is>
          <t>BFS-SUDC用 6台</t>
        </is>
      </c>
      <c r="D16" s="39" t="n"/>
      <c r="E16" s="119" t="n">
        <v>6</v>
      </c>
      <c r="F16" s="120" t="inlineStr">
        <is>
          <t>台</t>
        </is>
      </c>
      <c r="G16" s="121">
        <f>IF(L16="","",ROUND(L16*M16,-1))</f>
        <v>8800</v>
      </c>
      <c r="H16" s="119">
        <f>IF(G16="","",ROUND(E16*G16,0))</f>
        <v>52800</v>
      </c>
      <c r="I16" s="122" t="n"/>
      <c r="J16" s="95" t="n">
        <v>3200</v>
      </c>
      <c r="K16" s="95" t="n">
        <v>4800</v>
      </c>
      <c r="L16" s="93">
        <f>J16+K16</f>
        <v>8000</v>
      </c>
      <c r="M16" s="96">
        <f>COEF</f>
        <v>1.1</v>
      </c>
      <c r="N16" s="91">
        <f>E16*L16</f>
        <v>48000</v>
      </c>
      <c r="O16" s="91">
        <f>ROUND(E16*K16*M16,0)</f>
        <v>31680</v>
      </c>
      <c r="P16" s="97" t="inlineStr">
        <is>
          <t>図面カウント</t>
        </is>
      </c>
      <c r="Q16" s="91">
        <f>IF(H16="","",H16-N16)</f>
        <v>4800</v>
      </c>
      <c r="R16" s="98">
        <f>IF(OR(H16="",H16=0),"",Q16/H16)</f>
        <v>0.09090909090909091</v>
      </c>
      <c r="S16" s="99" t="n"/>
    </row>
    <row r="17" ht="18" customHeight="1">
      <c r="A17" s="117" t="inlineStr">
        <is>
          <t xml:space="preserve">　HEX-4/5 → パイプファン 据付</t>
        </is>
      </c>
      <c r="B17" s="39" t="n"/>
      <c r="C17" s="118" t="inlineStr">
        <is>
          <t>V-08PPXD8 壁掛1パイプ 100φ 来客室・寮室・寮務スタッフ室</t>
        </is>
      </c>
      <c r="D17" s="39" t="n"/>
      <c r="E17" s="119" t="n">
        <v>73</v>
      </c>
      <c r="F17" s="120" t="inlineStr">
        <is>
          <t>台</t>
        </is>
      </c>
      <c r="G17" s="121">
        <f>IF(L17="","",ROUND(L17*M17,-1))</f>
        <v>8800</v>
      </c>
      <c r="H17" s="119">
        <f>IF(G17="","",ROUND(E17*G17,0))</f>
        <v>642400</v>
      </c>
      <c r="I17" s="122" t="inlineStr">
        <is>
          <t>本体は元請様支給</t>
        </is>
      </c>
      <c r="J17" s="95" t="n">
        <v>1200</v>
      </c>
      <c r="K17" s="95" t="n">
        <v>6800</v>
      </c>
      <c r="L17" s="93">
        <f>J17+K17</f>
        <v>8000</v>
      </c>
      <c r="M17" s="96">
        <f>COEF</f>
        <v>1.1</v>
      </c>
      <c r="N17" s="91">
        <f>E17*L17</f>
        <v>584000</v>
      </c>
      <c r="O17" s="91">
        <f>ROUND(E17*K17*M17,0)</f>
        <v>546040</v>
      </c>
      <c r="P17" s="97" t="inlineStr">
        <is>
          <t>図面カウント</t>
        </is>
      </c>
      <c r="Q17" s="91">
        <f>IF(H17="","",H17-N17)</f>
        <v>58400</v>
      </c>
      <c r="R17" s="98">
        <f>IF(OR(H17="",H17=0),"",Q17/H17)</f>
        <v>0.09090909090909091</v>
      </c>
      <c r="S17" s="99" t="inlineStr">
        <is>
          <t>46＋27台</t>
        </is>
      </c>
    </row>
    <row r="18" ht="18" customHeight="1">
      <c r="A18" s="117" t="inlineStr">
        <is>
          <t xml:space="preserve">　吸気口 内部 KS-8841PR3-SG 取付</t>
        </is>
      </c>
      <c r="B18" s="39" t="n"/>
      <c r="C18" s="118" t="inlineStr">
        <is>
          <t>材工 (支給外と想定・要確認)</t>
        </is>
      </c>
      <c r="D18" s="39" t="n"/>
      <c r="E18" s="119" t="n">
        <v>73</v>
      </c>
      <c r="F18" s="120" t="inlineStr">
        <is>
          <t>個</t>
        </is>
      </c>
      <c r="G18" s="121">
        <f>IF(L18="","",ROUND(L18*M18,-1))</f>
        <v>6600</v>
      </c>
      <c r="H18" s="119">
        <f>IF(G18="","",ROUND(E18*G18,0))</f>
        <v>481800</v>
      </c>
      <c r="I18" s="122" t="n"/>
      <c r="J18" s="95" t="n">
        <v>3900</v>
      </c>
      <c r="K18" s="95" t="n">
        <v>2100</v>
      </c>
      <c r="L18" s="93">
        <f>J18+K18</f>
        <v>6000</v>
      </c>
      <c r="M18" s="96">
        <f>COEF</f>
        <v>1.1</v>
      </c>
      <c r="N18" s="91">
        <f>E18*L18</f>
        <v>438000</v>
      </c>
      <c r="O18" s="91">
        <f>ROUND(E18*K18*M18,0)</f>
        <v>168630</v>
      </c>
      <c r="P18" s="97" t="inlineStr">
        <is>
          <t>図面カウント</t>
        </is>
      </c>
      <c r="Q18" s="91">
        <f>IF(H18="","",H18-N18)</f>
        <v>43800</v>
      </c>
      <c r="R18" s="98">
        <f>IF(OR(H18="",H18=0),"",Q18/H18)</f>
        <v>0.09090909090909091</v>
      </c>
      <c r="S18" s="99" t="inlineStr">
        <is>
          <t>朱書き: 吸気口 外部SUS製フード(指定色)・内部KS-8841PR3-SG</t>
        </is>
      </c>
    </row>
    <row r="19" ht="18" customHeight="1">
      <c r="A19" s="117" t="inlineStr">
        <is>
          <t xml:space="preserve">　吸気口用 SUS製フード 取付 (支給品)</t>
        </is>
      </c>
      <c r="B19" s="39" t="n"/>
      <c r="C19" s="118" t="inlineStr">
        <is>
          <t>指定色塗装</t>
        </is>
      </c>
      <c r="D19" s="39" t="n"/>
      <c r="E19" s="119" t="n">
        <v>73</v>
      </c>
      <c r="F19" s="120" t="inlineStr">
        <is>
          <t>箇所</t>
        </is>
      </c>
      <c r="G19" s="121">
        <f>IF(L19="","",ROUND(L19*M19,-1))</f>
        <v>4400</v>
      </c>
      <c r="H19" s="119">
        <f>IF(G19="","",ROUND(E19*G19,0))</f>
        <v>321200</v>
      </c>
      <c r="I19" s="122" t="inlineStr">
        <is>
          <t>支給品の取付費</t>
        </is>
      </c>
      <c r="J19" s="95" t="n">
        <v>400</v>
      </c>
      <c r="K19" s="95" t="n">
        <v>3600</v>
      </c>
      <c r="L19" s="93">
        <f>J19+K19</f>
        <v>4000</v>
      </c>
      <c r="M19" s="96">
        <f>COEF</f>
        <v>1.1</v>
      </c>
      <c r="N19" s="91">
        <f>E19*L19</f>
        <v>292000</v>
      </c>
      <c r="O19" s="91">
        <f>ROUND(E19*K19*M19,0)</f>
        <v>289080</v>
      </c>
      <c r="P19" s="97" t="inlineStr">
        <is>
          <t>図面カウント</t>
        </is>
      </c>
      <c r="Q19" s="91">
        <f>IF(H19="","",H19-N19)</f>
        <v>29200</v>
      </c>
      <c r="R19" s="98">
        <f>IF(OR(H19="",H19=0),"",Q19/H19)</f>
        <v>0.09090909090909091</v>
      </c>
      <c r="S19" s="99" t="inlineStr">
        <is>
          <t>B-5の寮室146箇所と重複なし(排気73・給気73)</t>
        </is>
      </c>
    </row>
    <row r="20" ht="18" customHeight="1">
      <c r="A20" s="116" t="inlineStr">
        <is>
          <t>（2）No5・6 空調追加</t>
        </is>
      </c>
      <c r="B20" s="39" t="n"/>
      <c r="C20" s="39" t="n"/>
      <c r="D20" s="39" t="n"/>
      <c r="E20" s="39" t="n"/>
      <c r="F20" s="39" t="n"/>
      <c r="G20" s="39" t="n"/>
      <c r="H20" s="39" t="n"/>
      <c r="I20" s="87" t="n"/>
      <c r="J20" s="39" t="n"/>
      <c r="K20" s="39" t="n"/>
      <c r="L20" s="39" t="n"/>
      <c r="M20" s="39" t="n"/>
      <c r="N20" s="39" t="n"/>
      <c r="O20" s="39" t="n"/>
      <c r="P20" s="39" t="n"/>
      <c r="Q20" s="39" t="n"/>
      <c r="R20" s="39" t="n"/>
      <c r="S20" s="39" t="n"/>
    </row>
    <row r="21" ht="18" customHeight="1">
      <c r="A21" s="117" t="inlineStr">
        <is>
          <t xml:space="preserve">　追AC1 室内機 据付</t>
        </is>
      </c>
      <c r="B21" s="39" t="n"/>
      <c r="C21" s="118" t="inlineStr">
        <is>
          <t>空冷HP 4方向天井カセット PA-P140U7GTNB(5HP 同時トリプル) 子機 1Fホール・廊下(洗濯室前)・階段ホール</t>
        </is>
      </c>
      <c r="D21" s="39" t="n"/>
      <c r="E21" s="119" t="n">
        <v>3</v>
      </c>
      <c r="F21" s="120" t="inlineStr">
        <is>
          <t>台</t>
        </is>
      </c>
      <c r="G21" s="121">
        <f>IF(L21="","",ROUND(L21*M21,-1))</f>
        <v>49500</v>
      </c>
      <c r="H21" s="119">
        <f>IF(G21="","",ROUND(E21*G21,0))</f>
        <v>148500</v>
      </c>
      <c r="I21" s="122" t="inlineStr">
        <is>
          <t>本体は元請様支給</t>
        </is>
      </c>
      <c r="J21" s="95" t="n">
        <v>6800</v>
      </c>
      <c r="K21" s="95" t="n">
        <v>38200</v>
      </c>
      <c r="L21" s="93">
        <f>J21+K21</f>
        <v>45000</v>
      </c>
      <c r="M21" s="96">
        <f>COEF</f>
        <v>1.1</v>
      </c>
      <c r="N21" s="91">
        <f>E21*L21</f>
        <v>135000</v>
      </c>
      <c r="O21" s="91">
        <f>ROUND(E21*K21*M21,0)</f>
        <v>126060</v>
      </c>
      <c r="P21" s="97" t="inlineStr">
        <is>
          <t>図面カウント</t>
        </is>
      </c>
      <c r="Q21" s="91">
        <f>IF(H21="","",H21-N21)</f>
        <v>13500</v>
      </c>
      <c r="R21" s="98">
        <f>IF(OR(H21="",H21=0),"",Q21/H21)</f>
        <v>0.09090909090909091</v>
      </c>
      <c r="S21" s="99" t="inlineStr">
        <is>
          <t>空調平面図1F 朱書き □3箇所</t>
        </is>
      </c>
    </row>
    <row r="22" ht="18" customHeight="1">
      <c r="A22" s="117" t="inlineStr">
        <is>
          <t xml:space="preserve">　追AC1 室外機 据付</t>
        </is>
      </c>
      <c r="B22" s="39" t="n"/>
      <c r="C22" s="118" t="inlineStr">
        <is>
          <t>5HP 1F物干場側(AC-3室外機隣)</t>
        </is>
      </c>
      <c r="D22" s="39" t="n"/>
      <c r="E22" s="119" t="n">
        <v>1</v>
      </c>
      <c r="F22" s="120" t="inlineStr">
        <is>
          <t>台</t>
        </is>
      </c>
      <c r="G22" s="121">
        <f>IF(L22="","",ROUND(L22*M22,-1))</f>
        <v>38500</v>
      </c>
      <c r="H22" s="119">
        <f>IF(G22="","",ROUND(E22*G22,0))</f>
        <v>38500</v>
      </c>
      <c r="I22" s="122" t="inlineStr">
        <is>
          <t>本体は元請様支給</t>
        </is>
      </c>
      <c r="J22" s="95" t="n">
        <v>5200</v>
      </c>
      <c r="K22" s="95" t="n">
        <v>29800</v>
      </c>
      <c r="L22" s="93">
        <f>J22+K22</f>
        <v>35000</v>
      </c>
      <c r="M22" s="96">
        <f>COEF</f>
        <v>1.1</v>
      </c>
      <c r="N22" s="91">
        <f>E22*L22</f>
        <v>35000</v>
      </c>
      <c r="O22" s="91">
        <f>ROUND(E22*K22*M22,0)</f>
        <v>32780</v>
      </c>
      <c r="P22" s="97" t="inlineStr">
        <is>
          <t>図面カウント</t>
        </is>
      </c>
      <c r="Q22" s="91">
        <f>IF(H22="","",H22-N22)</f>
        <v>3500</v>
      </c>
      <c r="R22" s="98">
        <f>IF(OR(H22="",H22=0),"",Q22/H22)</f>
        <v>0.09090909090909091</v>
      </c>
      <c r="S22" s="99" t="n"/>
    </row>
    <row r="23" ht="18" customHeight="1">
      <c r="A23" s="117" t="inlineStr">
        <is>
          <t xml:space="preserve">　追AC2 室内機 据付</t>
        </is>
      </c>
      <c r="B23" s="39" t="n"/>
      <c r="C23" s="118" t="inlineStr">
        <is>
          <t>空冷HP 2方向天井カセット PA-P224L7HTNB(8HP 同時トリプル) 子機 1F南廊下 3箇所</t>
        </is>
      </c>
      <c r="D23" s="39" t="n"/>
      <c r="E23" s="119" t="n">
        <v>3</v>
      </c>
      <c r="F23" s="120" t="inlineStr">
        <is>
          <t>台</t>
        </is>
      </c>
      <c r="G23" s="121">
        <f>IF(L23="","",ROUND(L23*M23,-1))</f>
        <v>55000</v>
      </c>
      <c r="H23" s="119">
        <f>IF(G23="","",ROUND(E23*G23,0))</f>
        <v>165000</v>
      </c>
      <c r="I23" s="122" t="inlineStr">
        <is>
          <t>本体は元請様支給</t>
        </is>
      </c>
      <c r="J23" s="95" t="n">
        <v>7500</v>
      </c>
      <c r="K23" s="95" t="n">
        <v>42500</v>
      </c>
      <c r="L23" s="93">
        <f>J23+K23</f>
        <v>50000</v>
      </c>
      <c r="M23" s="96">
        <f>COEF</f>
        <v>1.1</v>
      </c>
      <c r="N23" s="91">
        <f>E23*L23</f>
        <v>150000</v>
      </c>
      <c r="O23" s="91">
        <f>ROUND(E23*K23*M23,0)</f>
        <v>140250</v>
      </c>
      <c r="P23" s="97" t="inlineStr">
        <is>
          <t>図面カウント</t>
        </is>
      </c>
      <c r="Q23" s="91">
        <f>IF(H23="","",H23-N23)</f>
        <v>15000</v>
      </c>
      <c r="R23" s="98">
        <f>IF(OR(H23="",H23=0),"",Q23/H23)</f>
        <v>0.09090909090909091</v>
      </c>
      <c r="S23" s="99" t="n"/>
    </row>
    <row r="24" ht="18" customHeight="1">
      <c r="A24" s="117" t="inlineStr">
        <is>
          <t xml:space="preserve">　追AC2 室外機 据付</t>
        </is>
      </c>
      <c r="B24" s="39" t="n"/>
      <c r="C24" s="118" t="inlineStr">
        <is>
          <t>8HP 1F南側(AC-1/AC-5室外機隣)</t>
        </is>
      </c>
      <c r="D24" s="39" t="n"/>
      <c r="E24" s="119" t="n">
        <v>1</v>
      </c>
      <c r="F24" s="120" t="inlineStr">
        <is>
          <t>台</t>
        </is>
      </c>
      <c r="G24" s="121">
        <f>IF(L24="","",ROUND(L24*M24,-1))</f>
        <v>55000</v>
      </c>
      <c r="H24" s="119">
        <f>IF(G24="","",ROUND(E24*G24,0))</f>
        <v>55000</v>
      </c>
      <c r="I24" s="122" t="inlineStr">
        <is>
          <t>本体は元請様支給</t>
        </is>
      </c>
      <c r="J24" s="95" t="n">
        <v>7500</v>
      </c>
      <c r="K24" s="95" t="n">
        <v>42500</v>
      </c>
      <c r="L24" s="93">
        <f>J24+K24</f>
        <v>50000</v>
      </c>
      <c r="M24" s="96">
        <f>COEF</f>
        <v>1.1</v>
      </c>
      <c r="N24" s="91">
        <f>E24*L24</f>
        <v>50000</v>
      </c>
      <c r="O24" s="91">
        <f>ROUND(E24*K24*M24,0)</f>
        <v>46750</v>
      </c>
      <c r="P24" s="97" t="inlineStr">
        <is>
          <t>図面カウント</t>
        </is>
      </c>
      <c r="Q24" s="91">
        <f>IF(H24="","",H24-N24)</f>
        <v>5000</v>
      </c>
      <c r="R24" s="98">
        <f>IF(OR(H24="",H24=0),"",Q24/H24)</f>
        <v>0.09090909090909091</v>
      </c>
      <c r="S24" s="99" t="n"/>
    </row>
    <row r="25" ht="18" customHeight="1">
      <c r="A25" s="117" t="inlineStr">
        <is>
          <t xml:space="preserve">　追AC3 室内機 据付</t>
        </is>
      </c>
      <c r="B25" s="39" t="n"/>
      <c r="C25" s="118" t="inlineStr">
        <is>
          <t>PA-P224L7HTNB 子機 2F北廊下 3箇所</t>
        </is>
      </c>
      <c r="D25" s="39" t="n"/>
      <c r="E25" s="119" t="n">
        <v>3</v>
      </c>
      <c r="F25" s="120" t="inlineStr">
        <is>
          <t>台</t>
        </is>
      </c>
      <c r="G25" s="121">
        <f>IF(L25="","",ROUND(L25*M25,-1))</f>
        <v>55000</v>
      </c>
      <c r="H25" s="119">
        <f>IF(G25="","",ROUND(E25*G25,0))</f>
        <v>165000</v>
      </c>
      <c r="I25" s="122" t="inlineStr">
        <is>
          <t>本体は元請様支給</t>
        </is>
      </c>
      <c r="J25" s="95" t="n">
        <v>7500</v>
      </c>
      <c r="K25" s="95" t="n">
        <v>42500</v>
      </c>
      <c r="L25" s="93">
        <f>J25+K25</f>
        <v>50000</v>
      </c>
      <c r="M25" s="96">
        <f>COEF</f>
        <v>1.1</v>
      </c>
      <c r="N25" s="91">
        <f>E25*L25</f>
        <v>150000</v>
      </c>
      <c r="O25" s="91">
        <f>ROUND(E25*K25*M25,0)</f>
        <v>140250</v>
      </c>
      <c r="P25" s="97" t="inlineStr">
        <is>
          <t>図面カウント</t>
        </is>
      </c>
      <c r="Q25" s="91">
        <f>IF(H25="","",H25-N25)</f>
        <v>15000</v>
      </c>
      <c r="R25" s="98">
        <f>IF(OR(H25="",H25=0),"",Q25/H25)</f>
        <v>0.09090909090909091</v>
      </c>
      <c r="S25" s="99" t="n"/>
    </row>
    <row r="26" ht="18" customHeight="1">
      <c r="A26" s="117" t="inlineStr">
        <is>
          <t xml:space="preserve">　追AC3 室外機 据付</t>
        </is>
      </c>
      <c r="B26" s="39" t="n"/>
      <c r="C26" s="118" t="inlineStr">
        <is>
          <t>8HP 1F東側地上(屋外階段A付近)</t>
        </is>
      </c>
      <c r="D26" s="39" t="n"/>
      <c r="E26" s="119" t="n">
        <v>1</v>
      </c>
      <c r="F26" s="120" t="inlineStr">
        <is>
          <t>台</t>
        </is>
      </c>
      <c r="G26" s="121">
        <f>IF(L26="","",ROUND(L26*M26,-1))</f>
        <v>55000</v>
      </c>
      <c r="H26" s="119">
        <f>IF(G26="","",ROUND(E26*G26,0))</f>
        <v>55000</v>
      </c>
      <c r="I26" s="122" t="inlineStr">
        <is>
          <t>本体は元請様支給</t>
        </is>
      </c>
      <c r="J26" s="95" t="n">
        <v>7500</v>
      </c>
      <c r="K26" s="95" t="n">
        <v>42500</v>
      </c>
      <c r="L26" s="93">
        <f>J26+K26</f>
        <v>50000</v>
      </c>
      <c r="M26" s="96">
        <f>COEF</f>
        <v>1.1</v>
      </c>
      <c r="N26" s="91">
        <f>E26*L26</f>
        <v>50000</v>
      </c>
      <c r="O26" s="91">
        <f>ROUND(E26*K26*M26,0)</f>
        <v>46750</v>
      </c>
      <c r="P26" s="97" t="inlineStr">
        <is>
          <t>図面カウント</t>
        </is>
      </c>
      <c r="Q26" s="91">
        <f>IF(H26="","",H26-N26)</f>
        <v>5000</v>
      </c>
      <c r="R26" s="98">
        <f>IF(OR(H26="",H26=0),"",Q26/H26)</f>
        <v>0.09090909090909091</v>
      </c>
      <c r="S26" s="99" t="n"/>
    </row>
    <row r="27" ht="18" customHeight="1">
      <c r="A27" s="117" t="inlineStr">
        <is>
          <t xml:space="preserve">　追AC4 室内機 据付</t>
        </is>
      </c>
      <c r="B27" s="39" t="n"/>
      <c r="C27" s="118" t="inlineStr">
        <is>
          <t>PA-P224L7HTNB 子機 2F階段ホール2・南廊下1</t>
        </is>
      </c>
      <c r="D27" s="39" t="n"/>
      <c r="E27" s="119" t="n">
        <v>3</v>
      </c>
      <c r="F27" s="120" t="inlineStr">
        <is>
          <t>台</t>
        </is>
      </c>
      <c r="G27" s="121">
        <f>IF(L27="","",ROUND(L27*M27,-1))</f>
        <v>55000</v>
      </c>
      <c r="H27" s="119">
        <f>IF(G27="","",ROUND(E27*G27,0))</f>
        <v>165000</v>
      </c>
      <c r="I27" s="122" t="inlineStr">
        <is>
          <t>本体は元請様支給</t>
        </is>
      </c>
      <c r="J27" s="95" t="n">
        <v>7500</v>
      </c>
      <c r="K27" s="95" t="n">
        <v>42500</v>
      </c>
      <c r="L27" s="93">
        <f>J27+K27</f>
        <v>50000</v>
      </c>
      <c r="M27" s="96">
        <f>COEF</f>
        <v>1.1</v>
      </c>
      <c r="N27" s="91">
        <f>E27*L27</f>
        <v>150000</v>
      </c>
      <c r="O27" s="91">
        <f>ROUND(E27*K27*M27,0)</f>
        <v>140250</v>
      </c>
      <c r="P27" s="97" t="inlineStr">
        <is>
          <t>図面カウント</t>
        </is>
      </c>
      <c r="Q27" s="91">
        <f>IF(H27="","",H27-N27)</f>
        <v>15000</v>
      </c>
      <c r="R27" s="98">
        <f>IF(OR(H27="",H27=0),"",Q27/H27)</f>
        <v>0.09090909090909091</v>
      </c>
      <c r="S27" s="99" t="n"/>
    </row>
    <row r="28" ht="18" customHeight="1">
      <c r="A28" s="117" t="inlineStr">
        <is>
          <t xml:space="preserve">　追AC4 室外機 据付</t>
        </is>
      </c>
      <c r="B28" s="39" t="n"/>
      <c r="C28" s="118" t="inlineStr">
        <is>
          <t>8HP 1F東側地上(倉庫2東)</t>
        </is>
      </c>
      <c r="D28" s="39" t="n"/>
      <c r="E28" s="119" t="n">
        <v>1</v>
      </c>
      <c r="F28" s="120" t="inlineStr">
        <is>
          <t>台</t>
        </is>
      </c>
      <c r="G28" s="121">
        <f>IF(L28="","",ROUND(L28*M28,-1))</f>
        <v>55000</v>
      </c>
      <c r="H28" s="119">
        <f>IF(G28="","",ROUND(E28*G28,0))</f>
        <v>55000</v>
      </c>
      <c r="I28" s="122" t="inlineStr">
        <is>
          <t>本体は元請様支給</t>
        </is>
      </c>
      <c r="J28" s="95" t="n">
        <v>7500</v>
      </c>
      <c r="K28" s="95" t="n">
        <v>42500</v>
      </c>
      <c r="L28" s="93">
        <f>J28+K28</f>
        <v>50000</v>
      </c>
      <c r="M28" s="96">
        <f>COEF</f>
        <v>1.1</v>
      </c>
      <c r="N28" s="91">
        <f>E28*L28</f>
        <v>50000</v>
      </c>
      <c r="O28" s="91">
        <f>ROUND(E28*K28*M28,0)</f>
        <v>46750</v>
      </c>
      <c r="P28" s="97" t="inlineStr">
        <is>
          <t>図面カウント</t>
        </is>
      </c>
      <c r="Q28" s="91">
        <f>IF(H28="","",H28-N28)</f>
        <v>5000</v>
      </c>
      <c r="R28" s="98">
        <f>IF(OR(H28="",H28=0),"",Q28/H28)</f>
        <v>0.09090909090909091</v>
      </c>
      <c r="S28" s="99" t="n"/>
    </row>
    <row r="29" ht="18" customHeight="1">
      <c r="A29" s="117" t="inlineStr">
        <is>
          <t xml:space="preserve">　追AC5 室内機 据付</t>
        </is>
      </c>
      <c r="B29" s="39" t="n"/>
      <c r="C29" s="118" t="inlineStr">
        <is>
          <t>PA-P224L7HTNB 子機 2F南廊下 3箇所</t>
        </is>
      </c>
      <c r="D29" s="39" t="n"/>
      <c r="E29" s="119" t="n">
        <v>3</v>
      </c>
      <c r="F29" s="120" t="inlineStr">
        <is>
          <t>台</t>
        </is>
      </c>
      <c r="G29" s="121">
        <f>IF(L29="","",ROUND(L29*M29,-1))</f>
        <v>55000</v>
      </c>
      <c r="H29" s="119">
        <f>IF(G29="","",ROUND(E29*G29,0))</f>
        <v>165000</v>
      </c>
      <c r="I29" s="122" t="inlineStr">
        <is>
          <t>本体は元請様支給</t>
        </is>
      </c>
      <c r="J29" s="95" t="n">
        <v>7500</v>
      </c>
      <c r="K29" s="95" t="n">
        <v>42500</v>
      </c>
      <c r="L29" s="93">
        <f>J29+K29</f>
        <v>50000</v>
      </c>
      <c r="M29" s="96">
        <f>COEF</f>
        <v>1.1</v>
      </c>
      <c r="N29" s="91">
        <f>E29*L29</f>
        <v>150000</v>
      </c>
      <c r="O29" s="91">
        <f>ROUND(E29*K29*M29,0)</f>
        <v>140250</v>
      </c>
      <c r="P29" s="97" t="inlineStr">
        <is>
          <t>図面カウント</t>
        </is>
      </c>
      <c r="Q29" s="91">
        <f>IF(H29="","",H29-N29)</f>
        <v>15000</v>
      </c>
      <c r="R29" s="98">
        <f>IF(OR(H29="",H29=0),"",Q29/H29)</f>
        <v>0.09090909090909091</v>
      </c>
      <c r="S29" s="99" t="n"/>
    </row>
    <row r="30" ht="18" customHeight="1">
      <c r="A30" s="117" t="inlineStr">
        <is>
          <t xml:space="preserve">　追AC5 室外機 据付</t>
        </is>
      </c>
      <c r="B30" s="39" t="n"/>
      <c r="C30" s="118" t="inlineStr">
        <is>
          <t>8HP 1F東側地上(倉庫2東)</t>
        </is>
      </c>
      <c r="D30" s="39" t="n"/>
      <c r="E30" s="119" t="n">
        <v>1</v>
      </c>
      <c r="F30" s="120" t="inlineStr">
        <is>
          <t>台</t>
        </is>
      </c>
      <c r="G30" s="121">
        <f>IF(L30="","",ROUND(L30*M30,-1))</f>
        <v>55000</v>
      </c>
      <c r="H30" s="119">
        <f>IF(G30="","",ROUND(E30*G30,0))</f>
        <v>55000</v>
      </c>
      <c r="I30" s="122" t="inlineStr">
        <is>
          <t>本体は元請様支給</t>
        </is>
      </c>
      <c r="J30" s="95" t="n">
        <v>7500</v>
      </c>
      <c r="K30" s="95" t="n">
        <v>42500</v>
      </c>
      <c r="L30" s="93">
        <f>J30+K30</f>
        <v>50000</v>
      </c>
      <c r="M30" s="96">
        <f>COEF</f>
        <v>1.1</v>
      </c>
      <c r="N30" s="91">
        <f>E30*L30</f>
        <v>50000</v>
      </c>
      <c r="O30" s="91">
        <f>ROUND(E30*K30*M30,0)</f>
        <v>46750</v>
      </c>
      <c r="P30" s="97" t="inlineStr">
        <is>
          <t>図面カウント</t>
        </is>
      </c>
      <c r="Q30" s="91">
        <f>IF(H30="","",H30-N30)</f>
        <v>5000</v>
      </c>
      <c r="R30" s="98">
        <f>IF(OR(H30="",H30=0),"",Q30/H30)</f>
        <v>0.09090909090909091</v>
      </c>
      <c r="S30" s="99" t="n"/>
    </row>
    <row r="31" ht="18" customHeight="1">
      <c r="A31" s="117" t="inlineStr">
        <is>
          <t xml:space="preserve">　分岐管(トリプル用) 取付</t>
        </is>
      </c>
      <c r="B31" s="39" t="n"/>
      <c r="C31" s="118" t="inlineStr">
        <is>
          <t>各系統2組 ※機器付属として元請支給想定・未支給なら別途</t>
        </is>
      </c>
      <c r="D31" s="39" t="n"/>
      <c r="E31" s="119" t="n">
        <v>10</v>
      </c>
      <c r="F31" s="120" t="inlineStr">
        <is>
          <t>組</t>
        </is>
      </c>
      <c r="G31" s="121">
        <f>IF(L31="","",ROUND(L31*M31,-1))</f>
        <v>6600</v>
      </c>
      <c r="H31" s="119">
        <f>IF(G31="","",ROUND(E31*G31,0))</f>
        <v>66000</v>
      </c>
      <c r="I31" s="122" t="inlineStr">
        <is>
          <t>想定数量（別紙条件書）</t>
        </is>
      </c>
      <c r="J31" s="95" t="n">
        <v>600</v>
      </c>
      <c r="K31" s="95" t="n">
        <v>5400</v>
      </c>
      <c r="L31" s="93">
        <f>J31+K31</f>
        <v>6000</v>
      </c>
      <c r="M31" s="96">
        <f>COEF</f>
        <v>1.1</v>
      </c>
      <c r="N31" s="91">
        <f>E31*L31</f>
        <v>60000</v>
      </c>
      <c r="O31" s="91">
        <f>ROUND(E31*K31*M31,0)</f>
        <v>59400</v>
      </c>
      <c r="P31" s="100" t="inlineStr">
        <is>
          <t>推測</t>
        </is>
      </c>
      <c r="Q31" s="91">
        <f>IF(H31="","",H31-N31)</f>
        <v>6000</v>
      </c>
      <c r="R31" s="98">
        <f>IF(OR(H31="",H31=0),"",Q31/H31)</f>
        <v>0.09090909090909091</v>
      </c>
      <c r="S31" s="99" t="inlineStr">
        <is>
          <t>取付費のみ</t>
        </is>
      </c>
    </row>
    <row r="32" ht="18" customHeight="1">
      <c r="A32" s="117" t="inlineStr">
        <is>
          <t xml:space="preserve">　冷媒配管 ①</t>
        </is>
      </c>
      <c r="B32" s="39" t="n"/>
      <c r="C32" s="118" t="inlineStr">
        <is>
          <t>被覆銅管 9.52/6.35 追AC1 枝管</t>
        </is>
      </c>
      <c r="D32" s="39" t="n"/>
      <c r="E32" s="119" t="n">
        <v>35</v>
      </c>
      <c r="F32" s="120" t="inlineStr">
        <is>
          <t>m</t>
        </is>
      </c>
      <c r="G32" s="121">
        <f>IF(L32="","",ROUND(L32*M32,-1))</f>
        <v>4950</v>
      </c>
      <c r="H32" s="119">
        <f>IF(G32="","",ROUND(E32*G32,0))</f>
        <v>173250</v>
      </c>
      <c r="I32" s="122" t="inlineStr">
        <is>
          <t>想定数量（別紙条件書）</t>
        </is>
      </c>
      <c r="J32" s="95" t="n">
        <v>2500</v>
      </c>
      <c r="K32" s="95" t="n">
        <v>2000</v>
      </c>
      <c r="L32" s="93">
        <f>J32+K32</f>
        <v>4500</v>
      </c>
      <c r="M32" s="96">
        <f>COEF</f>
        <v>1.1</v>
      </c>
      <c r="N32" s="91">
        <f>E32*L32</f>
        <v>157500</v>
      </c>
      <c r="O32" s="91">
        <f>ROUND(E32*K32*M32,0)</f>
        <v>77000</v>
      </c>
      <c r="P32" s="100" t="inlineStr">
        <is>
          <t>推測</t>
        </is>
      </c>
      <c r="Q32" s="91">
        <f>IF(H32="","",H32-N32)</f>
        <v>15750</v>
      </c>
      <c r="R32" s="98">
        <f>IF(OR(H32="",H32=0),"",Q32/H32)</f>
        <v>0.09090909090909091</v>
      </c>
      <c r="S32" s="99" t="inlineStr">
        <is>
          <t>配管経路図示なし 室内外機位置より推定</t>
        </is>
      </c>
    </row>
    <row r="33" ht="18" customHeight="1">
      <c r="A33" s="117" t="inlineStr">
        <is>
          <t xml:space="preserve">　冷媒配管 ③</t>
        </is>
      </c>
      <c r="B33" s="39" t="n"/>
      <c r="C33" s="118" t="inlineStr">
        <is>
          <t>被覆銅管 15.88/9.52 追AC1主管16m・追AC2～5 枝管168m</t>
        </is>
      </c>
      <c r="D33" s="39" t="n"/>
      <c r="E33" s="119" t="n">
        <v>184</v>
      </c>
      <c r="F33" s="120" t="inlineStr">
        <is>
          <t>m</t>
        </is>
      </c>
      <c r="G33" s="121">
        <f>IF(L33="","",ROUND(L33*M33,-1))</f>
        <v>7150</v>
      </c>
      <c r="H33" s="119">
        <f>IF(G33="","",ROUND(E33*G33,0))</f>
        <v>1315600</v>
      </c>
      <c r="I33" s="122" t="inlineStr">
        <is>
          <t>想定数量（別紙条件書）</t>
        </is>
      </c>
      <c r="J33" s="95" t="n">
        <v>3600</v>
      </c>
      <c r="K33" s="95" t="n">
        <v>2900</v>
      </c>
      <c r="L33" s="93">
        <f>J33+K33</f>
        <v>6500</v>
      </c>
      <c r="M33" s="96">
        <f>COEF</f>
        <v>1.1</v>
      </c>
      <c r="N33" s="91">
        <f>E33*L33</f>
        <v>1196000</v>
      </c>
      <c r="O33" s="91">
        <f>ROUND(E33*K33*M33,0)</f>
        <v>586960</v>
      </c>
      <c r="P33" s="100" t="inlineStr">
        <is>
          <t>推測</t>
        </is>
      </c>
      <c r="Q33" s="91">
        <f>IF(H33="","",H33-N33)</f>
        <v>119600</v>
      </c>
      <c r="R33" s="98">
        <f>IF(OR(H33="",H33=0),"",Q33/H33)</f>
        <v>0.09090909090909091</v>
      </c>
      <c r="S33" s="99" t="inlineStr">
        <is>
          <t>同上</t>
        </is>
      </c>
    </row>
    <row r="34" ht="18" customHeight="1">
      <c r="A34" s="117" t="inlineStr">
        <is>
          <t xml:space="preserve">　冷媒配管 ⑥</t>
        </is>
      </c>
      <c r="B34" s="39" t="n"/>
      <c r="C34" s="118" t="inlineStr">
        <is>
          <t>被覆銅管 25.4/9.52 追AC2～5 主管 (立管2F→1F含む)</t>
        </is>
      </c>
      <c r="D34" s="39" t="n"/>
      <c r="E34" s="119" t="n">
        <v>73</v>
      </c>
      <c r="F34" s="120" t="inlineStr">
        <is>
          <t>m</t>
        </is>
      </c>
      <c r="G34" s="121">
        <f>IF(L34="","",ROUND(L34*M34,-1))</f>
        <v>10450</v>
      </c>
      <c r="H34" s="119">
        <f>IF(G34="","",ROUND(E34*G34,0))</f>
        <v>762850</v>
      </c>
      <c r="I34" s="122" t="inlineStr">
        <is>
          <t>想定数量（別紙条件書）</t>
        </is>
      </c>
      <c r="J34" s="95" t="n">
        <v>5200</v>
      </c>
      <c r="K34" s="95" t="n">
        <v>4300</v>
      </c>
      <c r="L34" s="93">
        <f>J34+K34</f>
        <v>9500</v>
      </c>
      <c r="M34" s="96">
        <f>COEF</f>
        <v>1.1</v>
      </c>
      <c r="N34" s="91">
        <f>E34*L34</f>
        <v>693500</v>
      </c>
      <c r="O34" s="91">
        <f>ROUND(E34*K34*M34,0)</f>
        <v>345290</v>
      </c>
      <c r="P34" s="100" t="inlineStr">
        <is>
          <t>推測</t>
        </is>
      </c>
      <c r="Q34" s="91">
        <f>IF(H34="","",H34-N34)</f>
        <v>69350</v>
      </c>
      <c r="R34" s="98">
        <f>IF(OR(H34="",H34=0),"",Q34/H34)</f>
        <v>0.09090909090909091</v>
      </c>
      <c r="S34" s="99" t="inlineStr">
        <is>
          <t>追AC2 12・AC3 14・AC4 31・AC5 16</t>
        </is>
      </c>
    </row>
    <row r="35" ht="18" customHeight="1">
      <c r="A35" s="117" t="inlineStr">
        <is>
          <t xml:space="preserve">　冷媒配管 化粧ケース</t>
        </is>
      </c>
      <c r="B35" s="39" t="n"/>
      <c r="C35" s="118" t="inlineStr">
        <is>
          <t>屋外露出部</t>
        </is>
      </c>
      <c r="D35" s="39" t="n"/>
      <c r="E35" s="119" t="n">
        <v>13</v>
      </c>
      <c r="F35" s="120" t="inlineStr">
        <is>
          <t>m</t>
        </is>
      </c>
      <c r="G35" s="121">
        <f>IF(L35="","",ROUND(L35*M35,-1))</f>
        <v>3300</v>
      </c>
      <c r="H35" s="119">
        <f>IF(G35="","",ROUND(E35*G35,0))</f>
        <v>42900</v>
      </c>
      <c r="I35" s="122" t="inlineStr">
        <is>
          <t>想定数量（別紙条件書）</t>
        </is>
      </c>
      <c r="J35" s="95" t="n">
        <v>1800</v>
      </c>
      <c r="K35" s="95" t="n">
        <v>1200</v>
      </c>
      <c r="L35" s="93">
        <f>J35+K35</f>
        <v>3000</v>
      </c>
      <c r="M35" s="96">
        <f>COEF</f>
        <v>1.1</v>
      </c>
      <c r="N35" s="91">
        <f>E35*L35</f>
        <v>39000</v>
      </c>
      <c r="O35" s="91">
        <f>ROUND(E35*K35*M35,0)</f>
        <v>17160</v>
      </c>
      <c r="P35" s="100" t="inlineStr">
        <is>
          <t>推測</t>
        </is>
      </c>
      <c r="Q35" s="91">
        <f>IF(H35="","",H35-N35)</f>
        <v>3900</v>
      </c>
      <c r="R35" s="98">
        <f>IF(OR(H35="",H35=0),"",Q35/H35)</f>
        <v>0.09090909090909091</v>
      </c>
      <c r="S35" s="99" t="inlineStr">
        <is>
          <t>5系統×2.5m</t>
        </is>
      </c>
    </row>
    <row r="36" ht="18" customHeight="1">
      <c r="A36" s="117" t="inlineStr">
        <is>
          <t xml:space="preserve">　外壁貫通スリーブ材</t>
        </is>
      </c>
      <c r="B36" s="39" t="n"/>
      <c r="C36" s="118" t="inlineStr">
        <is>
          <t>VP100</t>
        </is>
      </c>
      <c r="D36" s="39" t="n"/>
      <c r="E36" s="119" t="n">
        <v>5</v>
      </c>
      <c r="F36" s="120" t="inlineStr">
        <is>
          <t>箇所</t>
        </is>
      </c>
      <c r="G36" s="121">
        <f>IF(L36="","",ROUND(L36*M36,-1))</f>
        <v>2750</v>
      </c>
      <c r="H36" s="119">
        <f>IF(G36="","",ROUND(E36*G36,0))</f>
        <v>13750</v>
      </c>
      <c r="I36" s="122" t="inlineStr">
        <is>
          <t>想定数量（別紙条件書）</t>
        </is>
      </c>
      <c r="J36" s="95" t="n">
        <v>1300</v>
      </c>
      <c r="K36" s="95" t="n">
        <v>1200</v>
      </c>
      <c r="L36" s="93">
        <f>J36+K36</f>
        <v>2500</v>
      </c>
      <c r="M36" s="96">
        <f>COEF</f>
        <v>1.1</v>
      </c>
      <c r="N36" s="91">
        <f>E36*L36</f>
        <v>12500</v>
      </c>
      <c r="O36" s="91">
        <f>ROUND(E36*K36*M36,0)</f>
        <v>6600</v>
      </c>
      <c r="P36" s="100" t="inlineStr">
        <is>
          <t>推測</t>
        </is>
      </c>
      <c r="Q36" s="91">
        <f>IF(H36="","",H36-N36)</f>
        <v>1250</v>
      </c>
      <c r="R36" s="98">
        <f>IF(OR(H36="",H36=0),"",Q36/H36)</f>
        <v>0.09090909090909091</v>
      </c>
      <c r="S36" s="99" t="n"/>
    </row>
    <row r="37" ht="18" customHeight="1">
      <c r="A37" s="117" t="inlineStr">
        <is>
          <t xml:space="preserve">　区画貫通処理</t>
        </is>
      </c>
      <c r="B37" s="39" t="n"/>
      <c r="C37" s="118" t="inlineStr">
        <is>
          <t>冷媒管・ドレン管 フィブロック 廊下区画壁</t>
        </is>
      </c>
      <c r="D37" s="39" t="n"/>
      <c r="E37" s="119" t="n">
        <v>5</v>
      </c>
      <c r="F37" s="120" t="inlineStr">
        <is>
          <t>箇所</t>
        </is>
      </c>
      <c r="G37" s="121">
        <f>IF(L37="","",ROUND(L37*M37,-1))</f>
        <v>13200</v>
      </c>
      <c r="H37" s="119">
        <f>IF(G37="","",ROUND(E37*G37,0))</f>
        <v>66000</v>
      </c>
      <c r="I37" s="122" t="inlineStr">
        <is>
          <t>想定数量（別紙条件書）</t>
        </is>
      </c>
      <c r="J37" s="95" t="n">
        <v>6000</v>
      </c>
      <c r="K37" s="95" t="n">
        <v>6000</v>
      </c>
      <c r="L37" s="93">
        <f>J37+K37</f>
        <v>12000</v>
      </c>
      <c r="M37" s="96">
        <f>COEF</f>
        <v>1.1</v>
      </c>
      <c r="N37" s="91">
        <f>E37*L37</f>
        <v>60000</v>
      </c>
      <c r="O37" s="91">
        <f>ROUND(E37*K37*M37,0)</f>
        <v>33000</v>
      </c>
      <c r="P37" s="100" t="inlineStr">
        <is>
          <t>推測</t>
        </is>
      </c>
      <c r="Q37" s="91">
        <f>IF(H37="","",H37-N37)</f>
        <v>6000</v>
      </c>
      <c r="R37" s="98">
        <f>IF(OR(H37="",H37=0),"",Q37/H37)</f>
        <v>0.09090909090909091</v>
      </c>
      <c r="S37" s="99" t="inlineStr">
        <is>
          <t>各系統1箇所と仮定</t>
        </is>
      </c>
    </row>
    <row r="38" ht="18" customHeight="1">
      <c r="A38" s="117" t="inlineStr">
        <is>
          <t xml:space="preserve">　ドレン管 VP25</t>
        </is>
      </c>
      <c r="B38" s="39" t="n"/>
      <c r="C38" s="118" t="inlineStr">
        <is>
          <t>継手・支持共 15台×8m</t>
        </is>
      </c>
      <c r="D38" s="39" t="n"/>
      <c r="E38" s="119" t="n">
        <v>120</v>
      </c>
      <c r="F38" s="120" t="inlineStr">
        <is>
          <t>m</t>
        </is>
      </c>
      <c r="G38" s="121">
        <f>IF(L38="","",ROUND(L38*M38,-1))</f>
        <v>3520</v>
      </c>
      <c r="H38" s="119">
        <f>IF(G38="","",ROUND(E38*G38,0))</f>
        <v>422400</v>
      </c>
      <c r="I38" s="122" t="inlineStr">
        <is>
          <t>想定数量（別紙条件書）</t>
        </is>
      </c>
      <c r="J38" s="95" t="n">
        <v>1600</v>
      </c>
      <c r="K38" s="95" t="n">
        <v>1600</v>
      </c>
      <c r="L38" s="93">
        <f>J38+K38</f>
        <v>3200</v>
      </c>
      <c r="M38" s="96">
        <f>COEF</f>
        <v>1.1</v>
      </c>
      <c r="N38" s="91">
        <f>E38*L38</f>
        <v>384000</v>
      </c>
      <c r="O38" s="91">
        <f>ROUND(E38*K38*M38,0)</f>
        <v>211200</v>
      </c>
      <c r="P38" s="100" t="inlineStr">
        <is>
          <t>推測</t>
        </is>
      </c>
      <c r="Q38" s="91">
        <f>IF(H38="","",H38-N38)</f>
        <v>38400</v>
      </c>
      <c r="R38" s="98">
        <f>IF(OR(H38="",H38=0),"",Q38/H38)</f>
        <v>0.09090909090909091</v>
      </c>
      <c r="S38" s="99" t="n"/>
    </row>
    <row r="39" ht="18" customHeight="1">
      <c r="A39" s="117" t="inlineStr">
        <is>
          <t xml:space="preserve">　ドレン管 VP40</t>
        </is>
      </c>
      <c r="B39" s="39" t="n"/>
      <c r="C39" s="118" t="inlineStr">
        <is>
          <t>継手・支持共 集合管・立下り</t>
        </is>
      </c>
      <c r="D39" s="39" t="n"/>
      <c r="E39" s="119" t="n">
        <v>30</v>
      </c>
      <c r="F39" s="120" t="inlineStr">
        <is>
          <t>m</t>
        </is>
      </c>
      <c r="G39" s="121">
        <f>IF(L39="","",ROUND(L39*M39,-1))</f>
        <v>4400</v>
      </c>
      <c r="H39" s="119">
        <f>IF(G39="","",ROUND(E39*G39,0))</f>
        <v>132000</v>
      </c>
      <c r="I39" s="122" t="inlineStr">
        <is>
          <t>想定数量（別紙条件書）</t>
        </is>
      </c>
      <c r="J39" s="95" t="n">
        <v>2000</v>
      </c>
      <c r="K39" s="95" t="n">
        <v>2000</v>
      </c>
      <c r="L39" s="93">
        <f>J39+K39</f>
        <v>4000</v>
      </c>
      <c r="M39" s="96">
        <f>COEF</f>
        <v>1.1</v>
      </c>
      <c r="N39" s="91">
        <f>E39*L39</f>
        <v>120000</v>
      </c>
      <c r="O39" s="91">
        <f>ROUND(E39*K39*M39,0)</f>
        <v>66000</v>
      </c>
      <c r="P39" s="100" t="inlineStr">
        <is>
          <t>推測</t>
        </is>
      </c>
      <c r="Q39" s="91">
        <f>IF(H39="","",H39-N39)</f>
        <v>12000</v>
      </c>
      <c r="R39" s="98">
        <f>IF(OR(H39="",H39=0),"",Q39/H39)</f>
        <v>0.09090909090909091</v>
      </c>
      <c r="S39" s="99" t="n"/>
    </row>
    <row r="40" ht="18" customHeight="1">
      <c r="A40" s="117" t="inlineStr">
        <is>
          <t xml:space="preserve">　ドレン管 保温</t>
        </is>
      </c>
      <c r="B40" s="39" t="n"/>
      <c r="C40" s="118" t="inlineStr">
        <is>
          <t>GW保温筒20 ALGC</t>
        </is>
      </c>
      <c r="D40" s="39" t="n"/>
      <c r="E40" s="119" t="n">
        <v>150</v>
      </c>
      <c r="F40" s="120" t="inlineStr">
        <is>
          <t>m</t>
        </is>
      </c>
      <c r="G40" s="121">
        <f>IF(L40="","",ROUND(L40*M40,-1))</f>
        <v>2750</v>
      </c>
      <c r="H40" s="119">
        <f>IF(G40="","",ROUND(E40*G40,0))</f>
        <v>412500</v>
      </c>
      <c r="I40" s="122" t="inlineStr">
        <is>
          <t>想定数量（別紙条件書）</t>
        </is>
      </c>
      <c r="J40" s="95" t="n">
        <v>1100</v>
      </c>
      <c r="K40" s="95" t="n">
        <v>1400</v>
      </c>
      <c r="L40" s="93">
        <f>J40+K40</f>
        <v>2500</v>
      </c>
      <c r="M40" s="96">
        <f>COEF</f>
        <v>1.1</v>
      </c>
      <c r="N40" s="91">
        <f>E40*L40</f>
        <v>375000</v>
      </c>
      <c r="O40" s="91">
        <f>ROUND(E40*K40*M40,0)</f>
        <v>231000</v>
      </c>
      <c r="P40" s="100" t="inlineStr">
        <is>
          <t>推測</t>
        </is>
      </c>
      <c r="Q40" s="91">
        <f>IF(H40="","",H40-N40)</f>
        <v>37500</v>
      </c>
      <c r="R40" s="98">
        <f>IF(OR(H40="",H40=0),"",Q40/H40)</f>
        <v>0.09090909090909091</v>
      </c>
      <c r="S40" s="99" t="n"/>
    </row>
    <row r="41" ht="18" customHeight="1">
      <c r="A41" s="117" t="inlineStr">
        <is>
          <t xml:space="preserve">　気密試験・真空引き・冷媒追加充填 作業</t>
        </is>
      </c>
      <c r="B41" s="39" t="n"/>
      <c r="C41" s="118" t="n"/>
      <c r="D41" s="39" t="n"/>
      <c r="E41" s="119" t="n">
        <v>5</v>
      </c>
      <c r="F41" s="120" t="inlineStr">
        <is>
          <t>系統</t>
        </is>
      </c>
      <c r="G41" s="121">
        <f>IF(L41="","",ROUND(L41*M41,-1))</f>
        <v>16500</v>
      </c>
      <c r="H41" s="119">
        <f>IF(G41="","",ROUND(E41*G41,0))</f>
        <v>82500</v>
      </c>
      <c r="I41" s="122" t="n"/>
      <c r="J41" s="95" t="n">
        <v>13500</v>
      </c>
      <c r="K41" s="95" t="n">
        <v>1500</v>
      </c>
      <c r="L41" s="93">
        <f>J41+K41</f>
        <v>15000</v>
      </c>
      <c r="M41" s="96">
        <f>COEF</f>
        <v>1.1</v>
      </c>
      <c r="N41" s="91">
        <f>E41*L41</f>
        <v>75000</v>
      </c>
      <c r="O41" s="91">
        <f>ROUND(E41*K41*M41,0)</f>
        <v>8250</v>
      </c>
      <c r="P41" s="97" t="inlineStr">
        <is>
          <t>図面カウント</t>
        </is>
      </c>
      <c r="Q41" s="91">
        <f>IF(H41="","",H41-N41)</f>
        <v>7500</v>
      </c>
      <c r="R41" s="98">
        <f>IF(OR(H41="",H41=0),"",Q41/H41)</f>
        <v>0.09090909090909091</v>
      </c>
      <c r="S41" s="99" t="n"/>
    </row>
    <row r="42" ht="18" customHeight="1">
      <c r="A42" s="117" t="inlineStr">
        <is>
          <t xml:space="preserve">　冷媒追加充填 (冷媒代)</t>
        </is>
      </c>
      <c r="B42" s="39" t="n"/>
      <c r="C42" s="118" t="n"/>
      <c r="D42" s="39" t="n"/>
      <c r="E42" s="119" t="n">
        <v>6</v>
      </c>
      <c r="F42" s="120" t="inlineStr">
        <is>
          <t>kg</t>
        </is>
      </c>
      <c r="G42" s="121">
        <f>IF(L42="","",ROUND(L42*M42,-1))</f>
        <v>6600</v>
      </c>
      <c r="H42" s="119">
        <f>IF(G42="","",ROUND(E42*G42,0))</f>
        <v>39600</v>
      </c>
      <c r="I42" s="122" t="inlineStr">
        <is>
          <t>想定数量（別紙条件書）</t>
        </is>
      </c>
      <c r="J42" s="95" t="n">
        <v>5400</v>
      </c>
      <c r="K42" s="95" t="n">
        <v>600</v>
      </c>
      <c r="L42" s="93">
        <f>J42+K42</f>
        <v>6000</v>
      </c>
      <c r="M42" s="96">
        <f>COEF</f>
        <v>1.1</v>
      </c>
      <c r="N42" s="91">
        <f>E42*L42</f>
        <v>36000</v>
      </c>
      <c r="O42" s="91">
        <f>ROUND(E42*K42*M42,0)</f>
        <v>3960</v>
      </c>
      <c r="P42" s="100" t="inlineStr">
        <is>
          <t>推測</t>
        </is>
      </c>
      <c r="Q42" s="91">
        <f>IF(H42="","",H42-N42)</f>
        <v>3600</v>
      </c>
      <c r="R42" s="98">
        <f>IF(OR(H42="",H42=0),"",Q42/H42)</f>
        <v>0.09090909090909091</v>
      </c>
      <c r="S42" s="99" t="n"/>
    </row>
    <row r="43" ht="18" customHeight="1">
      <c r="A43" s="117" t="inlineStr">
        <is>
          <t xml:space="preserve">　リモコン線・内外連絡線 配線</t>
        </is>
      </c>
      <c r="B43" s="39" t="n"/>
      <c r="C43" s="118" t="inlineStr">
        <is>
          <t>ワイヤードリモコン 系統毎</t>
        </is>
      </c>
      <c r="D43" s="39" t="n"/>
      <c r="E43" s="119" t="n">
        <v>5</v>
      </c>
      <c r="F43" s="120" t="inlineStr">
        <is>
          <t>系統</t>
        </is>
      </c>
      <c r="G43" s="121">
        <f>IF(L43="","",ROUND(L43*M43,-1))</f>
        <v>16500</v>
      </c>
      <c r="H43" s="119">
        <f>IF(G43="","",ROUND(E43*G43,0))</f>
        <v>82500</v>
      </c>
      <c r="I43" s="122" t="n"/>
      <c r="J43" s="95" t="n">
        <v>6000</v>
      </c>
      <c r="K43" s="95" t="n">
        <v>9000</v>
      </c>
      <c r="L43" s="93">
        <f>J43+K43</f>
        <v>15000</v>
      </c>
      <c r="M43" s="96">
        <f>COEF</f>
        <v>1.1</v>
      </c>
      <c r="N43" s="91">
        <f>E43*L43</f>
        <v>75000</v>
      </c>
      <c r="O43" s="91">
        <f>ROUND(E43*K43*M43,0)</f>
        <v>49500</v>
      </c>
      <c r="P43" s="97" t="inlineStr">
        <is>
          <t>図面カウント</t>
        </is>
      </c>
      <c r="Q43" s="91">
        <f>IF(H43="","",H43-N43)</f>
        <v>7500</v>
      </c>
      <c r="R43" s="98">
        <f>IF(OR(H43="",H43=0),"",Q43/H43)</f>
        <v>0.09090909090909091</v>
      </c>
      <c r="S43" s="99" t="inlineStr">
        <is>
          <t>子機3台渡り</t>
        </is>
      </c>
    </row>
    <row r="44" ht="18" customHeight="1">
      <c r="A44" s="117" t="inlineStr">
        <is>
          <t xml:space="preserve">　集中リモコン CR-1 制御配線 追加</t>
        </is>
      </c>
      <c r="B44" s="39" t="n"/>
      <c r="C44" s="118" t="inlineStr">
        <is>
          <t>S-LINK 5系統分</t>
        </is>
      </c>
      <c r="D44" s="39" t="n"/>
      <c r="E44" s="119" t="n">
        <v>1</v>
      </c>
      <c r="F44" s="120" t="inlineStr">
        <is>
          <t>式</t>
        </is>
      </c>
      <c r="G44" s="121">
        <f>IF(L44="","",ROUND(L44*M44,-1))</f>
        <v>27500</v>
      </c>
      <c r="H44" s="119">
        <f>IF(G44="","",ROUND(E44*G44,0))</f>
        <v>27500</v>
      </c>
      <c r="I44" s="122" t="inlineStr">
        <is>
          <t>想定数量（別紙条件書）</t>
        </is>
      </c>
      <c r="J44" s="95" t="n">
        <v>10000</v>
      </c>
      <c r="K44" s="95" t="n">
        <v>15000</v>
      </c>
      <c r="L44" s="93">
        <f>J44+K44</f>
        <v>25000</v>
      </c>
      <c r="M44" s="96">
        <f>COEF</f>
        <v>1.1</v>
      </c>
      <c r="N44" s="91">
        <f>E44*L44</f>
        <v>25000</v>
      </c>
      <c r="O44" s="91">
        <f>ROUND(E44*K44*M44,0)</f>
        <v>16500</v>
      </c>
      <c r="P44" s="100" t="inlineStr">
        <is>
          <t>推測</t>
        </is>
      </c>
      <c r="Q44" s="91">
        <f>IF(H44="","",H44-N44)</f>
        <v>2500</v>
      </c>
      <c r="R44" s="98">
        <f>IF(OR(H44="",H44=0),"",Q44/H44)</f>
        <v>0.09090909090909091</v>
      </c>
      <c r="S44" s="99" t="n"/>
    </row>
    <row r="45" ht="18" customHeight="1">
      <c r="A45" s="117" t="inlineStr">
        <is>
          <t xml:space="preserve">　試運転調整</t>
        </is>
      </c>
      <c r="B45" s="39" t="n"/>
      <c r="C45" s="118" t="n"/>
      <c r="D45" s="39" t="n"/>
      <c r="E45" s="119" t="n">
        <v>5</v>
      </c>
      <c r="F45" s="120" t="inlineStr">
        <is>
          <t>系統</t>
        </is>
      </c>
      <c r="G45" s="121">
        <f>IF(L45="","",ROUND(L45*M45,-1))</f>
        <v>8800</v>
      </c>
      <c r="H45" s="119">
        <f>IF(G45="","",ROUND(E45*G45,0))</f>
        <v>44000</v>
      </c>
      <c r="I45" s="122" t="n"/>
      <c r="J45" s="95" t="n">
        <v>400</v>
      </c>
      <c r="K45" s="95" t="n">
        <v>7600</v>
      </c>
      <c r="L45" s="93">
        <f>J45+K45</f>
        <v>8000</v>
      </c>
      <c r="M45" s="96">
        <f>COEF</f>
        <v>1.1</v>
      </c>
      <c r="N45" s="91">
        <f>E45*L45</f>
        <v>40000</v>
      </c>
      <c r="O45" s="91">
        <f>ROUND(E45*K45*M45,0)</f>
        <v>41800</v>
      </c>
      <c r="P45" s="97" t="inlineStr">
        <is>
          <t>図面カウント</t>
        </is>
      </c>
      <c r="Q45" s="91">
        <f>IF(H45="","",H45-N45)</f>
        <v>4000</v>
      </c>
      <c r="R45" s="98">
        <f>IF(OR(H45="",H45=0),"",Q45/H45)</f>
        <v>0.09090909090909091</v>
      </c>
      <c r="S45" s="99" t="n"/>
    </row>
    <row r="46" ht="18" customHeight="1">
      <c r="A46" s="117" t="inlineStr">
        <is>
          <t xml:space="preserve">　機器搬入・揚重・養生 追加</t>
        </is>
      </c>
      <c r="B46" s="39" t="n"/>
      <c r="C46" s="118" t="n"/>
      <c r="D46" s="39" t="n"/>
      <c r="E46" s="119" t="n">
        <v>1</v>
      </c>
      <c r="F46" s="120" t="inlineStr">
        <is>
          <t>式</t>
        </is>
      </c>
      <c r="G46" s="121">
        <f>IF(L46="","",ROUND(L46*M46,-1))</f>
        <v>66000</v>
      </c>
      <c r="H46" s="119">
        <f>IF(G46="","",ROUND(E46*G46,0))</f>
        <v>66000</v>
      </c>
      <c r="I46" s="122" t="inlineStr">
        <is>
          <t>想定数量（別紙条件書）</t>
        </is>
      </c>
      <c r="J46" s="95" t="n">
        <v>6000</v>
      </c>
      <c r="K46" s="95" t="n">
        <v>54000</v>
      </c>
      <c r="L46" s="93">
        <f>J46+K46</f>
        <v>60000</v>
      </c>
      <c r="M46" s="96">
        <f>COEF</f>
        <v>1.1</v>
      </c>
      <c r="N46" s="91">
        <f>E46*L46</f>
        <v>60000</v>
      </c>
      <c r="O46" s="91">
        <f>ROUND(E46*K46*M46,0)</f>
        <v>59400</v>
      </c>
      <c r="P46" s="100" t="inlineStr">
        <is>
          <t>推測</t>
        </is>
      </c>
      <c r="Q46" s="91">
        <f>IF(H46="","",H46-N46)</f>
        <v>6000</v>
      </c>
      <c r="R46" s="98">
        <f>IF(OR(H46="",H46=0),"",Q46/H46)</f>
        <v>0.09090909090909091</v>
      </c>
      <c r="S46" s="99" t="n"/>
    </row>
    <row r="47" ht="18" customHeight="1">
      <c r="A47" s="102" t="n"/>
      <c r="B47" s="103" t="n"/>
      <c r="C47" s="103" t="n"/>
      <c r="D47" s="103" t="n"/>
      <c r="E47" s="103" t="n"/>
      <c r="F47" s="103" t="n"/>
      <c r="G47" s="103" t="n"/>
      <c r="H47" s="103" t="n"/>
      <c r="I47" s="104" t="n"/>
      <c r="J47" s="103" t="n"/>
      <c r="K47" s="103" t="n"/>
      <c r="L47" s="103" t="n"/>
      <c r="M47" s="103" t="n"/>
      <c r="N47" s="103" t="n"/>
      <c r="O47" s="103" t="n"/>
      <c r="P47" s="103" t="n"/>
      <c r="Q47" s="103" t="n"/>
      <c r="R47" s="103" t="n"/>
      <c r="S47" s="103" t="n"/>
    </row>
    <row r="48" ht="22" customHeight="1">
      <c r="A48" s="123" t="inlineStr">
        <is>
          <t>【小　　計】</t>
        </is>
      </c>
      <c r="B48" s="106" t="n"/>
      <c r="C48" s="106" t="n"/>
      <c r="D48" s="106" t="n"/>
      <c r="E48" s="106" t="n"/>
      <c r="F48" s="106" t="n"/>
      <c r="G48" s="106" t="n"/>
      <c r="H48" s="124">
        <f>SUM(H6:H47)</f>
        <v>5262950</v>
      </c>
      <c r="I48" s="108" t="n"/>
      <c r="J48" s="109" t="n"/>
      <c r="K48" s="109" t="n"/>
      <c r="L48" s="109" t="n"/>
      <c r="M48" s="109" t="n"/>
      <c r="N48" s="110">
        <f>SUM(N6:N47)</f>
        <v>4784500</v>
      </c>
      <c r="O48" s="110">
        <f>SUM(O6:O47)</f>
        <v>2863960</v>
      </c>
      <c r="P48" s="109" t="n"/>
      <c r="Q48" s="110">
        <f>H48-N48</f>
        <v>478450</v>
      </c>
      <c r="R48" s="111">
        <f>IF(H48=0,"",Q48/H48)</f>
        <v>0.09090909090909091</v>
      </c>
      <c r="S48" s="109" t="n"/>
    </row>
  </sheetData>
  <mergeCells count="90">
    <mergeCell ref="A15:B15"/>
    <mergeCell ref="C15:D15"/>
    <mergeCell ref="A7:B7"/>
    <mergeCell ref="A41:B41"/>
    <mergeCell ref="C41:D41"/>
    <mergeCell ref="A27:B27"/>
    <mergeCell ref="C43:D43"/>
    <mergeCell ref="A33:B33"/>
    <mergeCell ref="C27:D27"/>
    <mergeCell ref="A42:B42"/>
    <mergeCell ref="C36:D36"/>
    <mergeCell ref="A17:B17"/>
    <mergeCell ref="C17:D17"/>
    <mergeCell ref="A22:B22"/>
    <mergeCell ref="A35:B35"/>
    <mergeCell ref="A19:B19"/>
    <mergeCell ref="C19:D19"/>
    <mergeCell ref="A28:B28"/>
    <mergeCell ref="C28:D28"/>
    <mergeCell ref="A9:B9"/>
    <mergeCell ref="C3:D3"/>
    <mergeCell ref="A39:B39"/>
    <mergeCell ref="A30:B30"/>
    <mergeCell ref="C30:D30"/>
    <mergeCell ref="A11:B11"/>
    <mergeCell ref="C5:D5"/>
    <mergeCell ref="A45:B45"/>
    <mergeCell ref="C14:D14"/>
    <mergeCell ref="C45:D45"/>
    <mergeCell ref="C47:D47"/>
    <mergeCell ref="A48:D48"/>
    <mergeCell ref="A37:B37"/>
    <mergeCell ref="A46:B46"/>
    <mergeCell ref="C40:D40"/>
    <mergeCell ref="A26:B26"/>
    <mergeCell ref="A8:B8"/>
    <mergeCell ref="C8:D8"/>
    <mergeCell ref="A10:B10"/>
    <mergeCell ref="A1:I1"/>
    <mergeCell ref="C18:D18"/>
    <mergeCell ref="A34:B34"/>
    <mergeCell ref="C34:D34"/>
    <mergeCell ref="A36:B36"/>
    <mergeCell ref="C29:D29"/>
    <mergeCell ref="C44:D44"/>
    <mergeCell ref="C22:D22"/>
    <mergeCell ref="C31:D31"/>
    <mergeCell ref="A4:I4"/>
    <mergeCell ref="A3:B3"/>
    <mergeCell ref="J1:S1"/>
    <mergeCell ref="A12:B12"/>
    <mergeCell ref="C12:D12"/>
    <mergeCell ref="A21:B21"/>
    <mergeCell ref="C46:D46"/>
    <mergeCell ref="C21:D21"/>
    <mergeCell ref="A5:B5"/>
    <mergeCell ref="A32:B32"/>
    <mergeCell ref="A14:B14"/>
    <mergeCell ref="A23:B23"/>
    <mergeCell ref="C23:D23"/>
    <mergeCell ref="A38:B38"/>
    <mergeCell ref="C32:D32"/>
    <mergeCell ref="C7:D7"/>
    <mergeCell ref="C38:D38"/>
    <mergeCell ref="A43:B43"/>
    <mergeCell ref="A6:I6"/>
    <mergeCell ref="A40:B40"/>
    <mergeCell ref="A24:B24"/>
    <mergeCell ref="C24:D24"/>
    <mergeCell ref="C33:D33"/>
    <mergeCell ref="C42:D42"/>
    <mergeCell ref="C26:D26"/>
    <mergeCell ref="C35:D35"/>
    <mergeCell ref="A16:B16"/>
    <mergeCell ref="C10:D10"/>
    <mergeCell ref="C16:D16"/>
    <mergeCell ref="A25:B25"/>
    <mergeCell ref="C25:D25"/>
    <mergeCell ref="C9:D9"/>
    <mergeCell ref="A18:B18"/>
    <mergeCell ref="A20:I20"/>
    <mergeCell ref="C11:D11"/>
    <mergeCell ref="A47:B47"/>
    <mergeCell ref="C39:D39"/>
    <mergeCell ref="A29:B29"/>
    <mergeCell ref="C37:D37"/>
    <mergeCell ref="A13:B13"/>
    <mergeCell ref="A44:B44"/>
    <mergeCell ref="C13:D13"/>
    <mergeCell ref="A31:B31"/>
  </mergeCells>
  <printOptions horizontalCentered="1" gridLines="0"/>
  <pageMargins left="0.4724409448818897" right="0.4724409448818897" top="0.5905511811023622" bottom="0.5905511811023622" header="0.3149606299212598" footer="0.2362204724409449"/>
  <pageSetup orientation="portrait" paperSize="9" fitToHeight="0" fitToWidth="1"/>
  <headerFooter>
    <oddHeader/>
    <oddFooter>&amp;C&amp;"ＭＳ Ｐゴシック,標準"&amp;9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B1:G30"/>
  <sheetViews>
    <sheetView showGridLines="0" tabSelected="0" workbookViewId="0">
      <selection activeCell="A1" sqref="A1"/>
    </sheetView>
  </sheetViews>
  <sheetFormatPr baseColWidth="8" defaultRowHeight="15"/>
  <cols>
    <col width="2" customWidth="1" min="1" max="1"/>
    <col width="25" customWidth="1" min="2" max="2"/>
    <col width="9" customWidth="1" min="3" max="3"/>
    <col width="9" customWidth="1" min="4" max="4"/>
    <col width="14" customWidth="1" min="5" max="5"/>
    <col width="16" customWidth="1" min="6" max="6"/>
    <col width="31" customWidth="1" min="7" max="7"/>
  </cols>
  <sheetData>
    <row r="1" ht="26" customHeight="1">
      <c r="B1" s="125" t="inlineStr">
        <is>
          <t>法 定 福 利 費 内 訳 明 細 書</t>
        </is>
      </c>
    </row>
    <row r="2" ht="16" customHeight="1">
      <c r="B2" s="126" t="str">
        <f>"（御見積書 No."&amp;'表紙(工事)'!K3&amp;" の添付資料）"</f>
        <v>（御見積書 No. の添付資料）</v>
      </c>
    </row>
    <row r="3" ht="8" customHeight="1"/>
    <row r="4" ht="20" customHeight="1">
      <c r="B4" s="127" t="inlineStr">
        <is>
          <t>見積年月日</t>
        </is>
      </c>
      <c r="C4" s="128">
        <f>'表紙(工事)'!J4</f>
        <v>46300</v>
      </c>
      <c r="D4" s="35" t="n"/>
      <c r="E4" s="35" t="n"/>
      <c r="F4" s="127" t="inlineStr">
        <is>
          <t>見積No.</t>
        </is>
      </c>
      <c r="G4" s="129" t="str">
        <f>IF('表紙(工事)'!K3="","",'表紙(工事)'!K3)</f>
        <v/>
      </c>
    </row>
    <row r="5" ht="20" customHeight="1">
      <c r="B5" s="127" t="inlineStr">
        <is>
          <t>発注者名</t>
        </is>
      </c>
      <c r="C5" s="34" t="inlineStr">
        <is>
          <t>株式会社共栄店舗　御中</t>
        </is>
      </c>
      <c r="D5" s="35" t="n"/>
      <c r="E5" s="35" t="n"/>
      <c r="F5" s="35" t="n"/>
      <c r="G5" s="35" t="n"/>
    </row>
    <row r="6" ht="20" customHeight="1">
      <c r="B6" s="127" t="inlineStr">
        <is>
          <t>工事名</t>
        </is>
      </c>
      <c r="C6" s="34" t="inlineStr">
        <is>
          <t>（仮称）サンフレッチェ広島　三矢寮新築工事　空調設備工事</t>
        </is>
      </c>
      <c r="D6" s="35" t="n"/>
      <c r="E6" s="35" t="n"/>
      <c r="F6" s="35" t="n"/>
      <c r="G6" s="35" t="n"/>
    </row>
    <row r="7" ht="20" customHeight="1">
      <c r="B7" s="127" t="inlineStr">
        <is>
          <t>施工場所</t>
        </is>
      </c>
      <c r="C7" s="34" t="inlineStr">
        <is>
          <t>広島県安芸高田市吉田町西浦字日南山835-27</t>
        </is>
      </c>
      <c r="D7" s="35" t="n"/>
      <c r="E7" s="35" t="n"/>
      <c r="F7" s="35" t="n"/>
      <c r="G7" s="35" t="n"/>
    </row>
    <row r="8" ht="20" customHeight="1">
      <c r="B8" s="127" t="inlineStr">
        <is>
          <t>会社名</t>
        </is>
      </c>
      <c r="C8" s="129" t="inlineStr">
        <is>
          <t>宮地機工株式会社</t>
        </is>
      </c>
      <c r="D8" s="35" t="n"/>
      <c r="E8" s="35" t="n"/>
      <c r="F8" s="127" t="inlineStr">
        <is>
          <t>所在地</t>
        </is>
      </c>
      <c r="G8" s="129" t="inlineStr">
        <is>
          <t>広島県尾道市東尾道9-9</t>
        </is>
      </c>
    </row>
    <row r="9" ht="10" customHeight="1"/>
    <row r="10" ht="20" customHeight="1">
      <c r="B10" s="130" t="inlineStr">
        <is>
          <t>【1】　労務費の内訳（法定福利費の算定基礎）</t>
        </is>
      </c>
    </row>
    <row r="11" ht="28" customHeight="1">
      <c r="B11" s="131" t="inlineStr">
        <is>
          <t>※ 本見積の労務費は、内訳書各項目の材工共単価のうち労務費相当額（自社施工分）の合計です。機器は元請様手配のため含みません。</t>
        </is>
      </c>
    </row>
    <row r="12" ht="20" customHeight="1">
      <c r="B12" s="80" t="inlineStr">
        <is>
          <t>項　　目</t>
        </is>
      </c>
      <c r="C12" s="81" t="inlineStr">
        <is>
          <t>労務費（円）</t>
        </is>
      </c>
      <c r="D12" s="29" t="n"/>
      <c r="E12" s="81" t="inlineStr">
        <is>
          <t>摘　　要</t>
        </is>
      </c>
      <c r="F12" s="29" t="n"/>
      <c r="G12" s="132" t="n"/>
    </row>
    <row r="13" ht="20" customHeight="1">
      <c r="B13" s="133" t="inlineStr">
        <is>
          <t>空調工事 労務費</t>
        </is>
      </c>
      <c r="C13" s="41">
        <f>'内訳書(1.空調工事)'!O58</f>
        <v>6749050</v>
      </c>
      <c r="D13" s="35" t="n"/>
      <c r="E13" s="134" t="inlineStr">
        <is>
          <t>内訳書 No.1 各項目の労務費相当額の合計</t>
        </is>
      </c>
      <c r="F13" s="35" t="n"/>
      <c r="G13" s="36" t="n"/>
    </row>
    <row r="14" ht="20" customHeight="1">
      <c r="B14" s="133" t="inlineStr">
        <is>
          <t>換気工事 労務費</t>
        </is>
      </c>
      <c r="C14" s="41">
        <f>'内訳書(2.換気工事)'!O93</f>
        <v>6356460</v>
      </c>
      <c r="D14" s="35" t="n"/>
      <c r="E14" s="134" t="inlineStr">
        <is>
          <t>内訳書 No.2 各項目の労務費相当額の合計</t>
        </is>
      </c>
      <c r="F14" s="35" t="n"/>
      <c r="G14" s="36" t="n"/>
    </row>
    <row r="15" ht="20" customHeight="1">
      <c r="B15" s="135" t="inlineStr">
        <is>
          <t>金額変更案 労務費</t>
        </is>
      </c>
      <c r="C15" s="136">
        <f>'内訳書(3.金額変更案)'!O48</f>
        <v>2863960</v>
      </c>
      <c r="D15" s="58" t="n"/>
      <c r="E15" s="137" t="inlineStr">
        <is>
          <t>内訳書 No.3 各項目の労務費相当額の合計</t>
        </is>
      </c>
      <c r="F15" s="58" t="n"/>
      <c r="G15" s="138" t="n"/>
    </row>
    <row r="16" ht="20" customHeight="1">
      <c r="B16" s="139" t="inlineStr">
        <is>
          <t>労 務 費 合 計</t>
        </is>
      </c>
      <c r="C16" s="67">
        <f>SUM(C13:C15)</f>
        <v>15969470</v>
      </c>
      <c r="D16" s="66" t="n"/>
      <c r="E16" s="140" t="inlineStr">
        <is>
          <t>← 法定福利費の算定基礎額</t>
        </is>
      </c>
      <c r="F16" s="66" t="n"/>
      <c r="G16" s="141" t="n"/>
    </row>
    <row r="17" ht="10" customHeight="1"/>
    <row r="18" ht="20" customHeight="1">
      <c r="B18" s="130" t="inlineStr">
        <is>
          <t>【2】　法定福利費の算定</t>
        </is>
      </c>
    </row>
    <row r="19" ht="18" customHeight="1">
      <c r="B19" s="142" t="inlineStr">
        <is>
          <t>計算式：　法定福利費 ＝ 労務費 × 事業主負担料率　（保険ごとに円未満切捨て）</t>
        </is>
      </c>
    </row>
    <row r="20" ht="22" customHeight="1">
      <c r="B20" s="80" t="inlineStr">
        <is>
          <t>保険の種類</t>
        </is>
      </c>
      <c r="C20" s="143" t="inlineStr">
        <is>
          <t>対象労務費（円）</t>
        </is>
      </c>
      <c r="D20" s="29" t="n"/>
      <c r="E20" s="143" t="inlineStr">
        <is>
          <t>事業主負担料率</t>
        </is>
      </c>
      <c r="F20" s="143" t="inlineStr">
        <is>
          <t>法定福利費（円）</t>
        </is>
      </c>
      <c r="G20" s="82" t="inlineStr">
        <is>
          <t>算定根拠</t>
        </is>
      </c>
    </row>
    <row r="21" ht="27.5" customHeight="1">
      <c r="B21" s="133" t="inlineStr">
        <is>
          <t>健康保険料</t>
        </is>
      </c>
      <c r="C21" s="41">
        <f>$C$16</f>
        <v>15969470</v>
      </c>
      <c r="D21" s="35" t="n"/>
      <c r="E21" s="144" t="n">
        <v>0.0489</v>
      </c>
      <c r="F21" s="41">
        <f>ROUNDDOWN(C21*E21,0)</f>
        <v>780907</v>
      </c>
      <c r="G21" s="145" t="inlineStr">
        <is>
          <t>健康保険料率 9.780%（協会けんぽ 広島県 令和8年度）×1/2（労使折半）</t>
        </is>
      </c>
    </row>
    <row r="22" ht="27.5" customHeight="1">
      <c r="B22" s="133" t="inlineStr">
        <is>
          <t>介護保険料</t>
        </is>
      </c>
      <c r="C22" s="41">
        <f>$C$16</f>
        <v>15969470</v>
      </c>
      <c r="D22" s="35" t="n"/>
      <c r="E22" s="144" t="n">
        <v>0.0081</v>
      </c>
      <c r="F22" s="41">
        <f>ROUNDDOWN(C22*E22,0)</f>
        <v>129352</v>
      </c>
      <c r="G22" s="145" t="inlineStr">
        <is>
          <t>介護保険料率 1.620%（全国一律 令和8年度）×1/2（労使折半）</t>
        </is>
      </c>
    </row>
    <row r="23" ht="27.5" customHeight="1">
      <c r="B23" s="133" t="inlineStr">
        <is>
          <t>子ども・子育て支援金</t>
        </is>
      </c>
      <c r="C23" s="41">
        <f>$C$16</f>
        <v>15969470</v>
      </c>
      <c r="D23" s="35" t="n"/>
      <c r="E23" s="144" t="n">
        <v>0.00115</v>
      </c>
      <c r="F23" s="41">
        <f>ROUNDDOWN(C23*E23,0)</f>
        <v>18364</v>
      </c>
      <c r="G23" s="145" t="inlineStr">
        <is>
          <t>支援金率 0.230%（令和8年4月分〜）×1/2（労使折半）</t>
        </is>
      </c>
    </row>
    <row r="24" ht="27.5" customHeight="1">
      <c r="B24" s="133" t="inlineStr">
        <is>
          <t>厚生年金保険料</t>
        </is>
      </c>
      <c r="C24" s="41">
        <f>$C$16</f>
        <v>15969470</v>
      </c>
      <c r="D24" s="35" t="n"/>
      <c r="E24" s="144" t="n">
        <v>0.0915</v>
      </c>
      <c r="F24" s="41">
        <f>ROUNDDOWN(C24*E24,0)</f>
        <v>1461206</v>
      </c>
      <c r="G24" s="145" t="inlineStr">
        <is>
          <t>厚生年金保険料率 18.300%（平成29年9月以降固定）×1/2（労使折半）</t>
        </is>
      </c>
    </row>
    <row r="25" ht="27.5" customHeight="1">
      <c r="B25" s="133" t="inlineStr">
        <is>
          <t>雇用保険料</t>
        </is>
      </c>
      <c r="C25" s="41">
        <f>$C$16</f>
        <v>15969470</v>
      </c>
      <c r="D25" s="35" t="n"/>
      <c r="E25" s="144" t="n">
        <v>0.0105</v>
      </c>
      <c r="F25" s="41">
        <f>ROUNDDOWN(C25*E25,0)</f>
        <v>167679</v>
      </c>
      <c r="G25" s="145" t="inlineStr">
        <is>
          <t>雇用保険料率（建設の事業）事業主負担分 1.050%</t>
        </is>
      </c>
    </row>
    <row r="26" ht="22" customHeight="1">
      <c r="B26" s="135" t="inlineStr">
        <is>
          <t>子ども・子育て拠出金</t>
        </is>
      </c>
      <c r="C26" s="136">
        <f>$C$16</f>
        <v>15969470</v>
      </c>
      <c r="D26" s="58" t="n"/>
      <c r="E26" s="146" t="n">
        <v>0.0036</v>
      </c>
      <c r="F26" s="136">
        <f>ROUNDDOWN(C26*E26,0)</f>
        <v>57490</v>
      </c>
      <c r="G26" s="147" t="inlineStr">
        <is>
          <t>拠出金率 0.360%（事業主全額負担）</t>
        </is>
      </c>
    </row>
    <row r="27" ht="24" customHeight="1">
      <c r="B27" s="139" t="inlineStr">
        <is>
          <t>合　　計</t>
        </is>
      </c>
      <c r="C27" s="66" t="n"/>
      <c r="D27" s="66" t="n"/>
      <c r="E27" s="148">
        <f>SUM(E21:E26)</f>
        <v>0.16375</v>
      </c>
      <c r="F27" s="67">
        <f>SUM(F21:F26)</f>
        <v>2614998</v>
      </c>
      <c r="G27" s="141" t="n"/>
    </row>
    <row r="28" ht="10" customHeight="1"/>
    <row r="29" ht="28" customHeight="1">
      <c r="B29" s="131" t="inlineStr">
        <is>
          <t>※ 料率は見積作成時点（令和8年度）の公表料率によります。料率が改定された場合は改定後の料率により精算させていただきます。</t>
        </is>
      </c>
    </row>
    <row r="30" ht="15.5" customHeight="1">
      <c r="B30" s="131" t="inlineStr">
        <is>
          <t>※ 法定福利費は御見積書の④に計上しています。</t>
        </is>
      </c>
    </row>
  </sheetData>
  <mergeCells count="29">
    <mergeCell ref="B2:G2"/>
    <mergeCell ref="E13:G13"/>
    <mergeCell ref="C24:D24"/>
    <mergeCell ref="C6:G6"/>
    <mergeCell ref="C15:D15"/>
    <mergeCell ref="B1:G1"/>
    <mergeCell ref="C5:G5"/>
    <mergeCell ref="C14:D14"/>
    <mergeCell ref="E15:G15"/>
    <mergeCell ref="C26:D26"/>
    <mergeCell ref="B29:G29"/>
    <mergeCell ref="B19:G19"/>
    <mergeCell ref="C20:D20"/>
    <mergeCell ref="C16:D16"/>
    <mergeCell ref="C25:D25"/>
    <mergeCell ref="C8:E8"/>
    <mergeCell ref="C22:D22"/>
    <mergeCell ref="B30:G30"/>
    <mergeCell ref="E16:G16"/>
    <mergeCell ref="C12:D12"/>
    <mergeCell ref="C21:D21"/>
    <mergeCell ref="C27:D27"/>
    <mergeCell ref="E12:G12"/>
    <mergeCell ref="C23:D23"/>
    <mergeCell ref="C7:G7"/>
    <mergeCell ref="E14:G14"/>
    <mergeCell ref="C4:E4"/>
    <mergeCell ref="C13:D13"/>
    <mergeCell ref="B11:G11"/>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6.xml><?xml version="1.0" encoding="utf-8"?>
<worksheet xmlns="http://schemas.openxmlformats.org/spreadsheetml/2006/main">
  <sheetPr>
    <outlinePr summaryBelow="1" summaryRight="1"/>
    <pageSetUpPr fitToPage="1"/>
  </sheetPr>
  <dimension ref="A1:F61"/>
  <sheetViews>
    <sheetView showGridLines="0" tabSelected="0" workbookViewId="0">
      <selection activeCell="A1" sqref="A1"/>
    </sheetView>
  </sheetViews>
  <sheetFormatPr baseColWidth="8" defaultRowHeight="15"/>
  <cols>
    <col width="5" customWidth="1" min="1" max="1"/>
    <col width="10" customWidth="1" min="2" max="2"/>
    <col width="25" customWidth="1" min="3" max="3"/>
    <col width="20" customWidth="1" min="4" max="4"/>
    <col width="16" customWidth="1" min="5" max="5"/>
    <col width="19" customWidth="1" min="6" max="6"/>
  </cols>
  <sheetData>
    <row r="1" ht="24" customHeight="1">
      <c r="A1" s="149" t="inlineStr">
        <is>
          <t>御見積条件・注意事項</t>
        </is>
      </c>
    </row>
    <row r="2" ht="16" customHeight="1">
      <c r="A2" s="142" t="inlineStr">
        <is>
          <t>（仮称）サンフレッチェ広島　三矢寮新築工事　空調設備工事　御見積書 添付</t>
        </is>
      </c>
    </row>
    <row r="3" ht="8" customHeight="1"/>
    <row r="4" ht="22" customHeight="1">
      <c r="A4" s="19" t="inlineStr">
        <is>
          <t>【1】御見積条件・注意事項</t>
        </is>
      </c>
    </row>
    <row r="5" ht="63" customHeight="1">
      <c r="A5" s="150" t="inlineStr">
        <is>
          <t>1.</t>
        </is>
      </c>
      <c r="B5" s="151" t="inlineStr">
        <is>
          <t>本見積は機械設備図 06（特記仕様書・空調機器表・換気機器表・空調平面図・換気平面図・厨房廻り詳細図）に基づき当社にて拾い出した数量により積算しております。配管・ダクトの平面延長は図面（A3 1:300、厨房詳細 1:70）から計測し、立上り・立下り・機器接続部および図面に経路の記載がない部分は想定数量として計上しています（別紙【2】参照）。</t>
        </is>
      </c>
    </row>
    <row r="6" ht="63" customHeight="1">
      <c r="A6" s="150" t="inlineStr">
        <is>
          <t>2.</t>
        </is>
      </c>
      <c r="B6" s="151" t="inlineStr">
        <is>
          <t>金額変更案検討図 08 のうち No3・4（ロスナイ中止）および No5・6（空調追加）を内訳書 No.3 に朱書きで計上しています。ロスナイ中止はベース計上分の減額と代替機器（中間ファン・パイプファン・吸気口）の計上を併記しています。No1（庇中止）・No2（既存フェンス再利用）は対象外です。</t>
        </is>
      </c>
    </row>
    <row r="7" ht="63" customHeight="1">
      <c r="A7" s="150" t="inlineStr">
        <is>
          <t>3.</t>
        </is>
      </c>
      <c r="B7" s="151" t="inlineStr">
        <is>
          <t>空調機器・換気機器は元請様手配のため本見積には含みません（室内機・室外機・集中リモコン・換気扇・中間ファン・全熱交換器・パイプファン・有圧扇・屋外機架台（2段架台含む）・ドレンアップ・SUS製フード・ウェザーカバー等、機器表記載の本体および付属品）。本見積は上記機器の搬入・据付・取付費のみを計上しています。</t>
        </is>
      </c>
    </row>
    <row r="8" ht="35.5" customHeight="1">
      <c r="A8" s="150" t="inlineStr">
        <is>
          <t>4.</t>
        </is>
      </c>
      <c r="B8" s="151" t="inlineStr">
        <is>
          <t>追加空調（追AC1〜5 同時トリプル）の分岐管は機器付属品として元請様支給を想定し、取付費のみ計上しています。支給外の場合は別途申し受けます。</t>
        </is>
      </c>
    </row>
    <row r="9" ht="49.2" customHeight="1">
      <c r="A9" s="150" t="inlineStr">
        <is>
          <t>5.</t>
        </is>
      </c>
      <c r="B9" s="151" t="inlineStr">
        <is>
          <t>機器の電源供給（電源・動力配線、盤、接地、インバータ盤）は電気工事とし含みません。機器付属の制御盤およびリモコン制御の配管・配線（工事区分表「機械」）は本見積に計上しています。</t>
        </is>
      </c>
    </row>
    <row r="10" ht="49.2" customHeight="1">
      <c r="A10" s="150" t="inlineStr">
        <is>
          <t>6.</t>
        </is>
      </c>
      <c r="B10" s="151" t="inlineStr">
        <is>
          <t>基礎（室外機基礎）、躯体・外壁の穴明け、スリーブ・型枠の穴埋め、天井点検口、天井・壁の開口補強および仕上げ補修は建築工事とし含みません（工事区分表による）。外壁貫通スリーブ材のみ計上しています。</t>
        </is>
      </c>
    </row>
    <row r="11" ht="35.5" customHeight="1">
      <c r="A11" s="150" t="inlineStr">
        <is>
          <t>7.</t>
        </is>
      </c>
      <c r="B11" s="151" t="inlineStr">
        <is>
          <t>冷媒管は被覆銅管（製造者標準品）とし、露出部は化粧ケース仕上げとして計上しています。特記仕様書は脱酸銅管／被覆銅管とも未選択のため、管種凡例（被覆銅管）によっています。</t>
        </is>
      </c>
    </row>
    <row r="12" ht="35.5" customHeight="1">
      <c r="A12" s="150" t="inlineStr">
        <is>
          <t>8.</t>
        </is>
      </c>
      <c r="B12" s="151" t="inlineStr">
        <is>
          <t>ドレン管の保温は特記仕様書の保温表に記載がないため、公共建築工事標準仕様書に準じ天井内 GW保温筒20 ALGC として計上しています。不要の場合は減額いたします。</t>
        </is>
      </c>
    </row>
    <row r="13" ht="35.5" customHeight="1">
      <c r="A13" s="150" t="inlineStr">
        <is>
          <t>9.</t>
        </is>
      </c>
      <c r="B13" s="151" t="inlineStr">
        <is>
          <t>厨房フード①〜④（SUS製、グリスフィルター付）は機械設備図のフードリストにより本見積に計上しています。厨房機器工事の範囲となる場合は減額いたします。</t>
        </is>
      </c>
    </row>
    <row r="14" ht="35.5" customHeight="1">
      <c r="A14" s="150" t="inlineStr">
        <is>
          <t>10.</t>
        </is>
      </c>
      <c r="B14" s="151" t="inlineStr">
        <is>
          <t>ロスナイ中止後の OA 側ダクト・制気口は図示どおり自然給気として残置する前提で計上しています。撤去・変更がある場合は別途協議とさせていただきます。</t>
        </is>
      </c>
    </row>
    <row r="15" ht="21.8" customHeight="1">
      <c r="A15" s="150" t="inlineStr">
        <is>
          <t>11.</t>
        </is>
      </c>
      <c r="B15" s="151" t="inlineStr">
        <is>
          <t>冷媒配管の追加充填ガスは想定量で計上しています。系統・配管長の確定後に精算いたします。</t>
        </is>
      </c>
    </row>
    <row r="16" ht="35.5" customHeight="1">
      <c r="A16" s="150" t="inlineStr">
        <is>
          <t>12.</t>
        </is>
      </c>
      <c r="B16" s="151" t="inlineStr">
        <is>
          <t>施工図・竣工図（完成図）の作成、風量測定・試験成績書の作成、官庁検査対応は含みません。必要な場合は別途お見積りいたします。</t>
        </is>
      </c>
    </row>
    <row r="17" ht="35.5" customHeight="1">
      <c r="A17" s="150" t="inlineStr">
        <is>
          <t>13.</t>
        </is>
      </c>
      <c r="B17" s="151" t="inlineStr">
        <is>
          <t>仮設（足場・高所作業車・仮設電気・水道・資材置場等）および産業廃棄物の処分費は元請様にてご負担願います（当社発生材は指定集積場所への分別搬出まで）。</t>
        </is>
      </c>
    </row>
    <row r="18" ht="49.2" customHeight="1">
      <c r="A18" s="150" t="inlineStr">
        <is>
          <t>14.</t>
        </is>
      </c>
      <c r="B18" s="151" t="inlineStr">
        <is>
          <t>工期は全体工程表（2026.8.18 共栄店舗）に基づく通常の日中作業を前提としております。夜間・休日作業、工程の大幅な変更や他工事との輻輳による手待ち、工期延長に伴う経費増は別途協議とさせていただきます。</t>
        </is>
      </c>
    </row>
    <row r="19" ht="35.5" customHeight="1">
      <c r="A19" s="150" t="inlineStr">
        <is>
          <t>15.</t>
        </is>
      </c>
      <c r="B19" s="151" t="inlineStr">
        <is>
          <t>本見積書に記載なき事項については別途とさせていただきます。工事に係る電気・水道は無償支給願います。</t>
        </is>
      </c>
    </row>
    <row r="20" ht="35.5" customHeight="1">
      <c r="A20" s="150" t="inlineStr">
        <is>
          <t>16.</t>
        </is>
      </c>
      <c r="B20" s="151" t="inlineStr">
        <is>
          <t>本見積金額には消費税は含まれておりません。労務費に係る法定福利費（事業主負担分）は別紙「法定福利費内訳明細書」のとおり計上しています。</t>
        </is>
      </c>
    </row>
    <row r="21" ht="10" customHeight="1"/>
    <row r="22" ht="22" customHeight="1">
      <c r="A22" s="19" t="inlineStr">
        <is>
          <t>【2】想定数量（推測）項目の前提</t>
        </is>
      </c>
    </row>
    <row r="23" ht="29" customHeight="1">
      <c r="A23" s="131" t="inlineStr">
        <is>
          <t>図面に数量・経路の記載がなく当社にて想定した項目です。「図面実測＋想定」は平面延長を図面計測し、立上り等を想定加算したものです。実数量確定後に精算させていただきます。</t>
        </is>
      </c>
    </row>
    <row r="24" ht="20" customHeight="1">
      <c r="A24" s="152" t="inlineStr">
        <is>
          <t>No.</t>
        </is>
      </c>
      <c r="B24" s="143" t="inlineStr">
        <is>
          <t>内訳書</t>
        </is>
      </c>
      <c r="C24" s="143" t="inlineStr">
        <is>
          <t>項　　目</t>
        </is>
      </c>
      <c r="D24" s="143" t="inlineStr">
        <is>
          <t>前提・想定内容</t>
        </is>
      </c>
      <c r="E24" s="29" t="n"/>
      <c r="F24" s="153" t="inlineStr">
        <is>
          <t>数量（区分）</t>
        </is>
      </c>
    </row>
    <row r="25" ht="41.5" customHeight="1">
      <c r="A25" s="154" t="n">
        <v>1</v>
      </c>
      <c r="B25" s="155" t="inlineStr">
        <is>
          <t>No.1</t>
        </is>
      </c>
      <c r="C25" s="156" t="inlineStr">
        <is>
          <t>冷媒配管 ① 被覆銅管 9.52/6.35 (RAC-1,2 1F 及び RAC-3 2F)</t>
        </is>
      </c>
      <c r="D25" s="156" t="inlineStr">
        <is>
          <t>平面実測34.3m＋推測(RAC-3 66台×4m、来客室RAC-2 5台×4m、RAC-1補正8m、立上り10台×3m)</t>
        </is>
      </c>
      <c r="E25" s="35" t="n"/>
      <c r="F25" s="157" t="inlineStr">
        <is>
          <t>360 m（実測＋想定）</t>
        </is>
      </c>
    </row>
    <row r="26" ht="41.5" customHeight="1">
      <c r="A26" s="154" t="n">
        <v>2</v>
      </c>
      <c r="B26" s="155" t="inlineStr">
        <is>
          <t>No.1</t>
        </is>
      </c>
      <c r="C26" s="156" t="inlineStr">
        <is>
          <t>冷媒配管 ② 被覆銅管 12.7/6.35 (AC-5,7,8 AC-3枝 RAC-4)</t>
        </is>
      </c>
      <c r="D26" s="156" t="inlineStr">
        <is>
          <t>平面実測56m＋推測(立上り4系統×4m、RAC-4 5m)</t>
        </is>
      </c>
      <c r="E26" s="35" t="n"/>
      <c r="F26" s="157" t="inlineStr">
        <is>
          <t>77 m（実測＋想定）</t>
        </is>
      </c>
    </row>
    <row r="27" ht="41.5" customHeight="1">
      <c r="A27" s="154" t="n">
        <v>3</v>
      </c>
      <c r="B27" s="155" t="inlineStr">
        <is>
          <t>No.1</t>
        </is>
      </c>
      <c r="C27" s="156" t="inlineStr">
        <is>
          <t>冷媒配管 ③ 被覆銅管 15.88/9.52 (AC-1/2枝 AC-3主 AC-6,9,10)</t>
        </is>
      </c>
      <c r="D27" s="156" t="inlineStr">
        <is>
          <t>平面実測72.2m＋推測(立上り3系統×4m、AC-10 2F分3.5m＋立管8m)</t>
        </is>
      </c>
      <c r="E27" s="35" t="n"/>
      <c r="F27" s="157" t="inlineStr">
        <is>
          <t>96 m（実測＋想定）</t>
        </is>
      </c>
    </row>
    <row r="28" ht="29" customHeight="1">
      <c r="A28" s="154" t="n">
        <v>4</v>
      </c>
      <c r="B28" s="155" t="inlineStr">
        <is>
          <t>No.1</t>
        </is>
      </c>
      <c r="C28" s="156" t="inlineStr">
        <is>
          <t>冷媒配管 ⑥ 被覆銅管 25.4/9.52 (AC-2主管)</t>
        </is>
      </c>
      <c r="D28" s="156" t="inlineStr">
        <is>
          <t>平面実測5m＋立上り4m</t>
        </is>
      </c>
      <c r="E28" s="35" t="n"/>
      <c r="F28" s="157" t="inlineStr">
        <is>
          <t>9 m（実測＋想定）</t>
        </is>
      </c>
    </row>
    <row r="29" ht="41.5" customHeight="1">
      <c r="A29" s="154" t="n">
        <v>5</v>
      </c>
      <c r="B29" s="155" t="inlineStr">
        <is>
          <t>No.1</t>
        </is>
      </c>
      <c r="C29" s="156" t="inlineStr">
        <is>
          <t>冷媒配管 ⑦ 被覆銅管 25.4/12.7 (AC-1主管 4系統)</t>
        </is>
      </c>
      <c r="D29" s="156" t="inlineStr">
        <is>
          <t>平面実測41m＋立上り4系統×4m</t>
        </is>
      </c>
      <c r="E29" s="35" t="n"/>
      <c r="F29" s="157" t="inlineStr">
        <is>
          <t>57 m（実測＋想定）</t>
        </is>
      </c>
    </row>
    <row r="30" ht="54" customHeight="1">
      <c r="A30" s="154" t="n">
        <v>6</v>
      </c>
      <c r="B30" s="155" t="inlineStr">
        <is>
          <t>No.1</t>
        </is>
      </c>
      <c r="C30" s="156" t="inlineStr">
        <is>
          <t>冷媒配管 化粧ケース 屋外・屋内露出部 (管種凡例: 露出管は化粧ケース仕上)</t>
        </is>
      </c>
      <c r="D30" s="156" t="inlineStr">
        <is>
          <t>PAC13+RAC1F10箇所×2.5m、RAC-3/4 67台×1.0m</t>
        </is>
      </c>
      <c r="E30" s="35" t="n"/>
      <c r="F30" s="157" t="inlineStr">
        <is>
          <t>125 m（想定）</t>
        </is>
      </c>
    </row>
    <row r="31" ht="41.5" customHeight="1">
      <c r="A31" s="154" t="n">
        <v>7</v>
      </c>
      <c r="B31" s="155" t="inlineStr">
        <is>
          <t>No.1</t>
        </is>
      </c>
      <c r="C31" s="156" t="inlineStr">
        <is>
          <t>外壁貫通スリーブ材 VP100 冷媒・ドレン用 (穴明けは建築工事)</t>
        </is>
      </c>
      <c r="D31" s="156" t="inlineStr">
        <is>
          <t>RAC77＋PAC13</t>
        </is>
      </c>
      <c r="E31" s="35" t="n"/>
      <c r="F31" s="157" t="inlineStr">
        <is>
          <t>90 箇所（想定）</t>
        </is>
      </c>
    </row>
    <row r="32" ht="29" customHeight="1">
      <c r="A32" s="154" t="n">
        <v>8</v>
      </c>
      <c r="B32" s="155" t="inlineStr">
        <is>
          <t>No.1</t>
        </is>
      </c>
      <c r="C32" s="156" t="inlineStr">
        <is>
          <t>冷媒追加充填 (冷媒代) R32/R410A</t>
        </is>
      </c>
      <c r="D32" s="156" t="inlineStr">
        <is>
          <t>配管延長より約20g/m換算</t>
        </is>
      </c>
      <c r="E32" s="35" t="n"/>
      <c r="F32" s="157" t="inlineStr">
        <is>
          <t>8 kg（想定）</t>
        </is>
      </c>
    </row>
    <row r="33" ht="29" customHeight="1">
      <c r="A33" s="154" t="n">
        <v>9</v>
      </c>
      <c r="B33" s="155" t="inlineStr">
        <is>
          <t>No.1</t>
        </is>
      </c>
      <c r="C33" s="156" t="inlineStr">
        <is>
          <t>ドレン管 VP20 硬質塩化ビニル管 継手・支持共</t>
        </is>
      </c>
      <c r="D33" s="156" t="inlineStr">
        <is>
          <t>平面実測7m＋推測(RAC-1/2 ドレンアップ吐出→屋外 10台×3m)</t>
        </is>
      </c>
      <c r="E33" s="35" t="n"/>
      <c r="F33" s="157" t="inlineStr">
        <is>
          <t>37 m（実測＋想定）</t>
        </is>
      </c>
    </row>
    <row r="34" ht="29" customHeight="1">
      <c r="A34" s="154" t="n">
        <v>10</v>
      </c>
      <c r="B34" s="155" t="inlineStr">
        <is>
          <t>No.1</t>
        </is>
      </c>
      <c r="C34" s="156" t="inlineStr">
        <is>
          <t>ドレン管 VP25 硬質塩化ビニル管 継手・支持共</t>
        </is>
      </c>
      <c r="D34" s="156" t="inlineStr">
        <is>
          <t>平面実測1F 87.3m・2F 6.1m(未判読分比例配分含む)</t>
        </is>
      </c>
      <c r="E34" s="35" t="n"/>
      <c r="F34" s="157" t="inlineStr">
        <is>
          <t>94 m（実測＋想定）</t>
        </is>
      </c>
    </row>
    <row r="35" ht="29" customHeight="1">
      <c r="A35" s="154" t="n">
        <v>11</v>
      </c>
      <c r="B35" s="155" t="inlineStr">
        <is>
          <t>No.1</t>
        </is>
      </c>
      <c r="C35" s="156" t="inlineStr">
        <is>
          <t>ドレン管 VP40 硬質塩化ビニル管 継手・支持共</t>
        </is>
      </c>
      <c r="D35" s="156" t="inlineStr">
        <is>
          <t>平面実測50.2m＋推測(立下り・屋外放流部12箇所×1.5m)</t>
        </is>
      </c>
      <c r="E35" s="35" t="n"/>
      <c r="F35" s="157" t="inlineStr">
        <is>
          <t>68 m（実測＋想定）</t>
        </is>
      </c>
    </row>
    <row r="36" ht="66.5" customHeight="1">
      <c r="A36" s="154" t="n">
        <v>12</v>
      </c>
      <c r="B36" s="155" t="inlineStr">
        <is>
          <t>No.1</t>
        </is>
      </c>
      <c r="C36" s="156" t="inlineStr">
        <is>
          <t>ドレン管 保温 GW保温筒20 ALGC 天井内 (特記仕様書 保温表は空欄・標準仕様に準じ計上 要確認)</t>
        </is>
      </c>
      <c r="D36" s="156" t="inlineStr">
        <is>
          <t>VP25・VP40 天井内相当分</t>
        </is>
      </c>
      <c r="E36" s="35" t="n"/>
      <c r="F36" s="157" t="inlineStr">
        <is>
          <t>143 m（想定）</t>
        </is>
      </c>
    </row>
    <row r="37" ht="41.5" customHeight="1">
      <c r="A37" s="154" t="n">
        <v>13</v>
      </c>
      <c r="B37" s="155" t="inlineStr">
        <is>
          <t>No.1</t>
        </is>
      </c>
      <c r="C37" s="156" t="inlineStr">
        <is>
          <t>ドレン管 区画貫通処理 耐火二層管／フィブロック</t>
        </is>
      </c>
      <c r="D37" s="156" t="inlineStr">
        <is>
          <t>冷媒管と同位置</t>
        </is>
      </c>
      <c r="E37" s="35" t="n"/>
      <c r="F37" s="157" t="inlineStr">
        <is>
          <t>2 箇所（想定）</t>
        </is>
      </c>
    </row>
    <row r="38" ht="54" customHeight="1">
      <c r="A38" s="154" t="n">
        <v>14</v>
      </c>
      <c r="B38" s="155" t="inlineStr">
        <is>
          <t>No.1</t>
        </is>
      </c>
      <c r="C38" s="156" t="inlineStr">
        <is>
          <t>AC-8 ビルトインダクト用 ダクト・制気口 吹出口・吸込口・チャンバー・フレキ 一式</t>
        </is>
      </c>
      <c r="D38" s="156" t="inlineStr">
        <is>
          <t>図面に系統詳細なし</t>
        </is>
      </c>
      <c r="E38" s="35" t="n"/>
      <c r="F38" s="157" t="inlineStr">
        <is>
          <t>1 式（想定）</t>
        </is>
      </c>
    </row>
    <row r="39" ht="41.5" customHeight="1">
      <c r="A39" s="154" t="n">
        <v>15</v>
      </c>
      <c r="B39" s="155" t="inlineStr">
        <is>
          <t>No.2</t>
        </is>
      </c>
      <c r="C39" s="156" t="inlineStr">
        <is>
          <t>スパイラルダクト 200φ (EA) 亜鉛鉄板 低速 継手・支持共</t>
        </is>
      </c>
      <c r="D39" s="156" t="inlineStr">
        <is>
          <t>1F 25.2m・2F 9.8m 実測＋厨房詳細図 9m 推測</t>
        </is>
      </c>
      <c r="E39" s="35" t="n"/>
      <c r="F39" s="157" t="inlineStr">
        <is>
          <t>44 m（実測＋想定）</t>
        </is>
      </c>
    </row>
    <row r="40" ht="41.5" customHeight="1">
      <c r="A40" s="154" t="n">
        <v>16</v>
      </c>
      <c r="B40" s="155" t="inlineStr">
        <is>
          <t>No.2</t>
        </is>
      </c>
      <c r="C40" s="156" t="inlineStr">
        <is>
          <t>スパイラルダクト 250φ (EA 厨房) 亜鉛鉄板 継手・支持共</t>
        </is>
      </c>
      <c r="D40" s="156" t="inlineStr">
        <is>
          <t>厨房廻り平面詳細図より</t>
        </is>
      </c>
      <c r="E40" s="35" t="n"/>
      <c r="F40" s="157" t="inlineStr">
        <is>
          <t>6 m（想定）</t>
        </is>
      </c>
    </row>
    <row r="41" ht="41.5" customHeight="1">
      <c r="A41" s="154" t="n">
        <v>17</v>
      </c>
      <c r="B41" s="155" t="inlineStr">
        <is>
          <t>No.2</t>
        </is>
      </c>
      <c r="C41" s="156" t="inlineStr">
        <is>
          <t>スパイラルダクト 300φ (EA 厨房) 亜鉛鉄板 継手・支持共</t>
        </is>
      </c>
      <c r="D41" s="156" t="inlineStr">
        <is>
          <t>フード③④→F-3 3台</t>
        </is>
      </c>
      <c r="E41" s="35" t="n"/>
      <c r="F41" s="157" t="inlineStr">
        <is>
          <t>5 m（想定）</t>
        </is>
      </c>
    </row>
    <row r="42" ht="41.5" customHeight="1">
      <c r="A42" s="154" t="n">
        <v>18</v>
      </c>
      <c r="B42" s="155" t="inlineStr">
        <is>
          <t>No.2</t>
        </is>
      </c>
      <c r="C42" s="156" t="inlineStr">
        <is>
          <t>スパイラルダクト 200φ (OA) 亜鉛鉄板 継手・支持共</t>
        </is>
      </c>
      <c r="D42" s="156" t="inlineStr">
        <is>
          <t>1F 45.7m・2F 3.5m 実測＋厨房FS-1 7.5m 推測</t>
        </is>
      </c>
      <c r="E42" s="35" t="n"/>
      <c r="F42" s="157" t="inlineStr">
        <is>
          <t>57 m（実測＋想定）</t>
        </is>
      </c>
    </row>
    <row r="43" ht="41.5" customHeight="1">
      <c r="A43" s="154" t="n">
        <v>19</v>
      </c>
      <c r="B43" s="155" t="inlineStr">
        <is>
          <t>No.2</t>
        </is>
      </c>
      <c r="C43" s="156" t="inlineStr">
        <is>
          <t>外壁貫通部ダクト (フード接続) 150φ相当 1.0m/箇所</t>
        </is>
      </c>
      <c r="D43" s="156" t="inlineStr">
        <is>
          <t>1F フード48箇所・2F廊下10箇所</t>
        </is>
      </c>
      <c r="E43" s="35" t="n"/>
      <c r="F43" s="157" t="inlineStr">
        <is>
          <t>58 m（想定）</t>
        </is>
      </c>
    </row>
    <row r="44" ht="41.5" customHeight="1">
      <c r="A44" s="154" t="n">
        <v>20</v>
      </c>
      <c r="B44" s="155" t="inlineStr">
        <is>
          <t>No.2</t>
        </is>
      </c>
      <c r="C44" s="156" t="inlineStr">
        <is>
          <t>OAダクト 保温 GW保温筒25 ALGC 隠蔽(天井内) 特記仕様書 保温表</t>
        </is>
      </c>
      <c r="D44" s="156" t="inlineStr">
        <is>
          <t>OAダクト全長</t>
        </is>
      </c>
      <c r="E44" s="35" t="n"/>
      <c r="F44" s="157" t="inlineStr">
        <is>
          <t>123 m（実測＋想定）</t>
        </is>
      </c>
    </row>
    <row r="45" ht="41.5" customHeight="1">
      <c r="A45" s="154" t="n">
        <v>21</v>
      </c>
      <c r="B45" s="155" t="inlineStr">
        <is>
          <t>No.2</t>
        </is>
      </c>
      <c r="C45" s="156" t="inlineStr">
        <is>
          <t>厨房排気ダクト 保温 RW保温筒50 ＋アルミガラスクロス＋亀甲金網巻</t>
        </is>
      </c>
      <c r="D45" s="156" t="inlineStr">
        <is>
          <t>厨房200/250/300φ EA</t>
        </is>
      </c>
      <c r="E45" s="35" t="n"/>
      <c r="F45" s="157" t="inlineStr">
        <is>
          <t>20 m（想定）</t>
        </is>
      </c>
    </row>
    <row r="46" ht="41.5" customHeight="1">
      <c r="A46" s="154" t="n">
        <v>22</v>
      </c>
      <c r="B46" s="155" t="inlineStr">
        <is>
          <t>No.2</t>
        </is>
      </c>
      <c r="C46" s="156" t="inlineStr">
        <is>
          <t>SUS製フード 取付 (支給品) 指定色塗装 外壁貫通部</t>
        </is>
      </c>
      <c r="D46" s="156" t="inlineStr">
        <is>
          <t>1F 48・2F廊下10・寮室146(HEX-4/5分)</t>
        </is>
      </c>
      <c r="E46" s="35" t="n"/>
      <c r="F46" s="157" t="inlineStr">
        <is>
          <t>204 箇所（想定）</t>
        </is>
      </c>
    </row>
    <row r="47" ht="54" customHeight="1">
      <c r="A47" s="154" t="n">
        <v>23</v>
      </c>
      <c r="B47" s="155" t="inlineStr">
        <is>
          <t>No.3</t>
        </is>
      </c>
      <c r="C47" s="156" t="inlineStr">
        <is>
          <t>分岐管(トリプル用) 取付 各系統2組 ※機器付属として元請支給想定・未支給なら別途</t>
        </is>
      </c>
      <c r="D47" s="156" t="inlineStr">
        <is>
          <t>取付費のみ</t>
        </is>
      </c>
      <c r="E47" s="35" t="n"/>
      <c r="F47" s="157" t="inlineStr">
        <is>
          <t>10 組（想定）</t>
        </is>
      </c>
    </row>
    <row r="48" ht="29" customHeight="1">
      <c r="A48" s="154" t="n">
        <v>24</v>
      </c>
      <c r="B48" s="155" t="inlineStr">
        <is>
          <t>No.3</t>
        </is>
      </c>
      <c r="C48" s="156" t="inlineStr">
        <is>
          <t>冷媒配管 ① 被覆銅管 9.52/6.35 追AC1 枝管</t>
        </is>
      </c>
      <c r="D48" s="156" t="inlineStr">
        <is>
          <t>配管経路図示なし 室内外機位置より推定</t>
        </is>
      </c>
      <c r="E48" s="35" t="n"/>
      <c r="F48" s="157" t="inlineStr">
        <is>
          <t>35 m（想定）</t>
        </is>
      </c>
    </row>
    <row r="49" ht="41.5" customHeight="1">
      <c r="A49" s="154" t="n">
        <v>25</v>
      </c>
      <c r="B49" s="155" t="inlineStr">
        <is>
          <t>No.3</t>
        </is>
      </c>
      <c r="C49" s="156" t="inlineStr">
        <is>
          <t>冷媒配管 ③ 被覆銅管 15.88/9.52 追AC1主管16m・追AC2～5 枝管168m</t>
        </is>
      </c>
      <c r="D49" s="156" t="inlineStr">
        <is>
          <t>同上</t>
        </is>
      </c>
      <c r="E49" s="35" t="n"/>
      <c r="F49" s="157" t="inlineStr">
        <is>
          <t>184 m（想定）</t>
        </is>
      </c>
    </row>
    <row r="50" ht="41.5" customHeight="1">
      <c r="A50" s="154" t="n">
        <v>26</v>
      </c>
      <c r="B50" s="155" t="inlineStr">
        <is>
          <t>No.3</t>
        </is>
      </c>
      <c r="C50" s="156" t="inlineStr">
        <is>
          <t>冷媒配管 ⑥ 被覆銅管 25.4/9.52 追AC2～5 主管 (立管2F→1F含む)</t>
        </is>
      </c>
      <c r="D50" s="156" t="inlineStr">
        <is>
          <t>追AC2 12・AC3 14・AC4 31・AC5 16</t>
        </is>
      </c>
      <c r="E50" s="35" t="n"/>
      <c r="F50" s="157" t="inlineStr">
        <is>
          <t>73 m（想定）</t>
        </is>
      </c>
    </row>
    <row r="51" ht="29" customHeight="1">
      <c r="A51" s="154" t="n">
        <v>27</v>
      </c>
      <c r="B51" s="155" t="inlineStr">
        <is>
          <t>No.3</t>
        </is>
      </c>
      <c r="C51" s="156" t="inlineStr">
        <is>
          <t>冷媒配管 化粧ケース 屋外露出部</t>
        </is>
      </c>
      <c r="D51" s="156" t="inlineStr">
        <is>
          <t>5系統×2.5m</t>
        </is>
      </c>
      <c r="E51" s="35" t="n"/>
      <c r="F51" s="157" t="inlineStr">
        <is>
          <t>13 m（想定）</t>
        </is>
      </c>
    </row>
    <row r="52" ht="41.5" customHeight="1">
      <c r="A52" s="158" t="n">
        <v>28</v>
      </c>
      <c r="B52" s="159" t="inlineStr">
        <is>
          <t>No.3</t>
        </is>
      </c>
      <c r="C52" s="160" t="inlineStr">
        <is>
          <t>区画貫通処理 冷媒管・ドレン管 フィブロック 廊下区画壁</t>
        </is>
      </c>
      <c r="D52" s="160" t="inlineStr">
        <is>
          <t>各系統1箇所と仮定</t>
        </is>
      </c>
      <c r="E52" s="161" t="n"/>
      <c r="F52" s="162" t="inlineStr">
        <is>
          <t>5 箇所（想定）</t>
        </is>
      </c>
    </row>
    <row r="53" ht="10" customHeight="1"/>
    <row r="54" ht="22" customHeight="1">
      <c r="A54" s="19" t="inlineStr">
        <is>
          <t>【3】図面読み取りに関する確認事項</t>
        </is>
      </c>
    </row>
    <row r="55" ht="35.5" customHeight="1">
      <c r="A55" s="150" t="inlineStr">
        <is>
          <t>1.</t>
        </is>
      </c>
      <c r="B55" s="151" t="inlineStr">
        <is>
          <t>宛名は元請様を株式会社共栄店舗（詳細工程表作成者）と想定して記載しています。ご指定があれば修正します。</t>
        </is>
      </c>
    </row>
    <row r="56" ht="49.2" customHeight="1">
      <c r="A56" s="150" t="inlineStr">
        <is>
          <t>2.</t>
        </is>
      </c>
      <c r="B56" s="151" t="inlineStr">
        <is>
          <t>空調平面図の配管線（冷媒管＝黒線、ドレン管＝青線）および換気平面図のダクト線（排気＝黒太線、給気＝青線）をベクトルデータから計測しています。機器記号と重なる短い線分は除外しているため、実測値は若干少なめになる傾向があります。</t>
        </is>
      </c>
    </row>
    <row r="57" ht="35.5" customHeight="1">
      <c r="A57" s="150" t="inlineStr">
        <is>
          <t>3.</t>
        </is>
      </c>
      <c r="B57" s="151" t="inlineStr">
        <is>
          <t>2F 寮室のルームエアコン（RAC-3 66台）は図面に配管線の記載がなく、壁掛機→バルコニー屋外機 4m/台 の想定です。</t>
        </is>
      </c>
    </row>
    <row r="58" ht="35.5" customHeight="1">
      <c r="A58" s="150" t="inlineStr">
        <is>
          <t>4.</t>
        </is>
      </c>
      <c r="B58" s="151" t="inlineStr">
        <is>
          <t>追AC1〜5 は図面08に配管経路の記載がなく、室内機・室外機の位置から経路長を推定しています（別紙【2】）。</t>
        </is>
      </c>
    </row>
    <row r="59" ht="35.5" customHeight="1">
      <c r="A59" s="150" t="inlineStr">
        <is>
          <t>5.</t>
        </is>
      </c>
      <c r="B59" s="151" t="inlineStr">
        <is>
          <t>区画貫通処理は空調平面図1Fの区画貫通部記号（●）2箇所と、追加空調の廊下区画壁 各系統1箇所の想定です。</t>
        </is>
      </c>
    </row>
    <row r="60" ht="35.5" customHeight="1">
      <c r="A60" s="150" t="inlineStr">
        <is>
          <t>6.</t>
        </is>
      </c>
      <c r="B60" s="151" t="inlineStr">
        <is>
          <t>SUS製フード・ウェザーカバーは換気機器表の付属品として元請様支給と解釈し、取付費のみ計上しています。</t>
        </is>
      </c>
    </row>
    <row r="61" ht="35.5" customHeight="1">
      <c r="A61" s="150" t="inlineStr">
        <is>
          <t>7.</t>
        </is>
      </c>
      <c r="B61" s="151" t="inlineStr">
        <is>
          <t>吸気口 KS-8841PR3-SG（図面08 朱書き）は支給範囲が不明のため材工で計上しています。支給の場合は材料分を減額します。</t>
        </is>
      </c>
    </row>
  </sheetData>
  <mergeCells count="53">
    <mergeCell ref="B7:F7"/>
    <mergeCell ref="B16:F16"/>
    <mergeCell ref="D34:E34"/>
    <mergeCell ref="B59:F59"/>
    <mergeCell ref="D46:E46"/>
    <mergeCell ref="D40:E40"/>
    <mergeCell ref="D36:E36"/>
    <mergeCell ref="D31:E31"/>
    <mergeCell ref="B18:F18"/>
    <mergeCell ref="D45:E45"/>
    <mergeCell ref="B56:F56"/>
    <mergeCell ref="B58:F58"/>
    <mergeCell ref="B12:F12"/>
    <mergeCell ref="D52:E52"/>
    <mergeCell ref="D49:E49"/>
    <mergeCell ref="B11:F11"/>
    <mergeCell ref="A23:F23"/>
    <mergeCell ref="D27:E27"/>
    <mergeCell ref="B60:F60"/>
    <mergeCell ref="D32:E32"/>
    <mergeCell ref="B61:F61"/>
    <mergeCell ref="B14:F14"/>
    <mergeCell ref="B8:F8"/>
    <mergeCell ref="D41:E41"/>
    <mergeCell ref="D48:E48"/>
    <mergeCell ref="B17:F17"/>
    <mergeCell ref="B13:F13"/>
    <mergeCell ref="B57:F57"/>
    <mergeCell ref="D47:E47"/>
    <mergeCell ref="B10:F10"/>
    <mergeCell ref="D43:E43"/>
    <mergeCell ref="B19:F19"/>
    <mergeCell ref="D37:E37"/>
    <mergeCell ref="D28:E28"/>
    <mergeCell ref="B9:F9"/>
    <mergeCell ref="D39:E39"/>
    <mergeCell ref="D25:E25"/>
    <mergeCell ref="B55:F55"/>
    <mergeCell ref="B6:F6"/>
    <mergeCell ref="D24:E24"/>
    <mergeCell ref="D30:E30"/>
    <mergeCell ref="B20:F20"/>
    <mergeCell ref="B15:F15"/>
    <mergeCell ref="D33:E33"/>
    <mergeCell ref="D29:E29"/>
    <mergeCell ref="D42:E42"/>
    <mergeCell ref="D51:E51"/>
    <mergeCell ref="B5:F5"/>
    <mergeCell ref="D38:E38"/>
    <mergeCell ref="D50:E50"/>
    <mergeCell ref="D26:E26"/>
    <mergeCell ref="D44:E44"/>
    <mergeCell ref="D35:E35"/>
  </mergeCells>
  <printOptions horizontalCentered="1" gridLines="0"/>
  <pageMargins left="0.4724409448818897" right="0.4724409448818897" top="0.5905511811023622" bottom="0.5905511811023622" header="0.3149606299212598" footer="0.2362204724409449"/>
  <pageSetup orientation="portrait" paperSize="9" fitToHeight="0" fitToWidth="1"/>
  <rowBreaks count="1" manualBreakCount="1">
    <brk id="21" min="0" max="16383" man="1"/>
  </rowBreaks>
</worksheet>
</file>

<file path=xl/worksheets/sheet7.xml><?xml version="1.0" encoding="utf-8"?>
<worksheet xmlns="http://schemas.openxmlformats.org/spreadsheetml/2006/main">
  <sheetPr>
    <outlinePr summaryBelow="1" summaryRight="1"/>
    <pageSetUpPr fitToPage="1"/>
  </sheetPr>
  <dimension ref="A1:H56"/>
  <sheetViews>
    <sheetView showGridLines="0" tabSelected="0" workbookViewId="0">
      <selection activeCell="A1" sqref="A1"/>
    </sheetView>
  </sheetViews>
  <sheetFormatPr baseColWidth="8" defaultRowHeight="15"/>
  <cols>
    <col width="36" customWidth="1" min="1" max="1"/>
    <col width="18" customWidth="1" min="2" max="2"/>
    <col width="12" customWidth="1" min="3" max="3"/>
    <col width="12" customWidth="1" min="4" max="4"/>
    <col width="12" customWidth="1" min="5" max="5"/>
    <col width="12" customWidth="1" min="6" max="6"/>
    <col width="12" customWidth="1" min="7" max="7"/>
    <col width="60" customWidth="1" min="8" max="8"/>
  </cols>
  <sheetData>
    <row r="1">
      <c r="A1" s="163" t="inlineStr">
        <is>
          <t>数量拾い根拠（内部用）　※計測方法: PDF図面(A3 1:300、厨房詳細 1:70)のベクトル線分を色・線幅で分離し延長を集計。「実測」=図面線分の平面延長、「推測」=図面に無い部分の推定</t>
        </is>
      </c>
    </row>
    <row r="3">
      <c r="A3" s="164" t="inlineStr">
        <is>
          <t>1. 冷媒配管（ベース06）系統別</t>
        </is>
      </c>
    </row>
    <row r="4">
      <c r="A4" s="165" t="inlineStr">
        <is>
          <t>系統</t>
        </is>
      </c>
      <c r="B4" s="165" t="inlineStr">
        <is>
          <t>口径記号</t>
        </is>
      </c>
      <c r="C4" s="165" t="inlineStr">
        <is>
          <t>平面実測(m)</t>
        </is>
      </c>
      <c r="D4" s="165" t="inlineStr">
        <is>
          <t>推測加算(m)</t>
        </is>
      </c>
      <c r="E4" s="165" t="inlineStr">
        <is>
          <t>合計(m)</t>
        </is>
      </c>
      <c r="F4" s="165" t="inlineStr">
        <is>
          <t>推測内容</t>
        </is>
      </c>
    </row>
    <row r="5">
      <c r="A5" s="166" t="inlineStr">
        <is>
          <t>RAC-2×3 和室・洋室・DK</t>
        </is>
      </c>
      <c r="B5" s="166" t="inlineStr">
        <is>
          <t>①</t>
        </is>
      </c>
      <c r="C5" s="167" t="n">
        <v>28.1</v>
      </c>
      <c r="D5" s="167" t="n">
        <v>9</v>
      </c>
      <c r="E5" s="167" t="n">
        <v>37.1</v>
      </c>
      <c r="F5" s="166" t="inlineStr">
        <is>
          <t>屋外機→屋内機 立上り 3台×3m</t>
        </is>
      </c>
    </row>
    <row r="6">
      <c r="A6" s="166" t="inlineStr">
        <is>
          <t>AC-7 面談室</t>
        </is>
      </c>
      <c r="B6" s="166" t="inlineStr">
        <is>
          <t>②</t>
        </is>
      </c>
      <c r="C6" s="167" t="n">
        <v>13</v>
      </c>
      <c r="D6" s="167" t="n">
        <v>4</v>
      </c>
      <c r="E6" s="167" t="n">
        <v>17</v>
      </c>
      <c r="F6" s="166" t="inlineStr">
        <is>
          <t>北西ゾーン実測60.3mを3系統に配分。立上り4m</t>
        </is>
      </c>
    </row>
    <row r="7">
      <c r="A7" s="166" t="inlineStr">
        <is>
          <t>AC-5 管理人室</t>
        </is>
      </c>
      <c r="B7" s="166" t="inlineStr">
        <is>
          <t>②</t>
        </is>
      </c>
      <c r="C7" s="167" t="n">
        <v>18</v>
      </c>
      <c r="D7" s="167" t="n">
        <v>4</v>
      </c>
      <c r="E7" s="167" t="n">
        <v>22</v>
      </c>
      <c r="F7" s="166" t="inlineStr">
        <is>
          <t>同上</t>
        </is>
      </c>
    </row>
    <row r="8">
      <c r="A8" s="166" t="inlineStr">
        <is>
          <t>AC-1 ホール(ツイン)</t>
        </is>
      </c>
      <c r="B8" s="166" t="inlineStr">
        <is>
          <t>⑦主/③枝</t>
        </is>
      </c>
      <c r="C8" s="167" t="n">
        <v>29</v>
      </c>
      <c r="D8" s="167" t="n">
        <v>4</v>
      </c>
      <c r="E8" s="167" t="n">
        <v>33</v>
      </c>
      <c r="F8" s="166" t="inlineStr">
        <is>
          <t>主管17m・枝管12m。立上り4m(⑦)</t>
        </is>
      </c>
    </row>
    <row r="9">
      <c r="A9" s="166" t="inlineStr">
        <is>
          <t>AC-6/AC-8/AC-9/RAC-1×2 厨房ブロック</t>
        </is>
      </c>
      <c r="B9" s="166" t="inlineStr">
        <is>
          <t>③/②/③/①</t>
        </is>
      </c>
      <c r="C9" s="167" t="n">
        <v>22.2</v>
      </c>
      <c r="D9" s="167" t="n">
        <v>20</v>
      </c>
      <c r="E9" s="167" t="n">
        <v>42.2</v>
      </c>
      <c r="F9" s="166" t="inlineStr">
        <is>
          <t>重なり配管の未計測補正8m(RAC-1休憩室)・立上り4系統×3〜4m</t>
        </is>
      </c>
    </row>
    <row r="10">
      <c r="A10" s="166" t="inlineStr">
        <is>
          <t>AC-1 食堂・ミーティング(ツイン×2)</t>
        </is>
      </c>
      <c r="B10" s="166" t="inlineStr">
        <is>
          <t>⑦主/③枝</t>
        </is>
      </c>
      <c r="C10" s="167" t="n">
        <v>30.7</v>
      </c>
      <c r="D10" s="167" t="n">
        <v>8</v>
      </c>
      <c r="E10" s="167" t="n">
        <v>38.7</v>
      </c>
      <c r="F10" s="166" t="inlineStr">
        <is>
          <t>各系統 主管8m・枝管7.5m。立上り各4m</t>
        </is>
      </c>
    </row>
    <row r="11">
      <c r="A11" s="166" t="inlineStr">
        <is>
          <t>AC-10 多目的スペース(2F)</t>
        </is>
      </c>
      <c r="B11" s="166" t="inlineStr">
        <is>
          <t>③</t>
        </is>
      </c>
      <c r="C11" s="167" t="n">
        <v>10.2</v>
      </c>
      <c r="D11" s="167" t="n">
        <v>11.5</v>
      </c>
      <c r="E11" s="167" t="n">
        <v>21.7</v>
      </c>
      <c r="F11" s="166" t="inlineStr">
        <is>
          <t>2F平面3.5m・立管(1F地上→2F天井)8m</t>
        </is>
      </c>
    </row>
    <row r="12">
      <c r="A12" s="166" t="inlineStr">
        <is>
          <t>AC-2 コーチルーム(ツイン)</t>
        </is>
      </c>
      <c r="B12" s="166" t="inlineStr">
        <is>
          <t>⑥主/③枝</t>
        </is>
      </c>
      <c r="C12" s="167" t="n">
        <v>11.1</v>
      </c>
      <c r="D12" s="167" t="n">
        <v>4</v>
      </c>
      <c r="E12" s="167" t="n">
        <v>15.1</v>
      </c>
      <c r="F12" s="166" t="inlineStr">
        <is>
          <t>主管5m・枝管6m。立上り4m</t>
        </is>
      </c>
    </row>
    <row r="13">
      <c r="A13" s="166" t="inlineStr">
        <is>
          <t>AC-1 トレーニング(ツイン)＋AC-5 ケア室</t>
        </is>
      </c>
      <c r="B13" s="166" t="inlineStr">
        <is>
          <t>⑦/③ ・ ②</t>
        </is>
      </c>
      <c r="C13" s="167" t="n">
        <v>32</v>
      </c>
      <c r="D13" s="167" t="n">
        <v>8</v>
      </c>
      <c r="E13" s="167" t="n">
        <v>40</v>
      </c>
      <c r="F13" s="166" t="inlineStr">
        <is>
          <t>AC-1 主8m枝12m・AC-5 12m。立上り各4m</t>
        </is>
      </c>
    </row>
    <row r="14">
      <c r="A14" s="166" t="inlineStr">
        <is>
          <t>AC-3 脱衣室(ツイン)</t>
        </is>
      </c>
      <c r="B14" s="166" t="inlineStr">
        <is>
          <t>③主/②枝</t>
        </is>
      </c>
      <c r="C14" s="167" t="n">
        <v>13.9</v>
      </c>
      <c r="D14" s="167" t="n">
        <v>4</v>
      </c>
      <c r="E14" s="167" t="n">
        <v>17.9</v>
      </c>
      <c r="F14" s="166" t="inlineStr">
        <is>
          <t>主管7m・枝管7m。立上り4m</t>
        </is>
      </c>
    </row>
    <row r="15">
      <c r="A15" s="166" t="inlineStr">
        <is>
          <t>RAC-2×5 来客室</t>
        </is>
      </c>
      <c r="B15" s="166" t="inlineStr">
        <is>
          <t>①</t>
        </is>
      </c>
      <c r="C15" s="167" t="n">
        <v>2.7</v>
      </c>
      <c r="D15" s="167" t="n">
        <v>18</v>
      </c>
      <c r="E15" s="167" t="n">
        <v>20.7</v>
      </c>
      <c r="F15" s="166" t="inlineStr">
        <is>
          <t>屋外機が各室直近。1台4m×5台</t>
        </is>
      </c>
    </row>
    <row r="16">
      <c r="A16" s="166" t="inlineStr">
        <is>
          <t>RAC-3×66 2F寮室等</t>
        </is>
      </c>
      <c r="B16" s="166" t="inlineStr">
        <is>
          <t>①</t>
        </is>
      </c>
      <c r="C16" s="167" t="n">
        <v>0</v>
      </c>
      <c r="D16" s="167" t="n">
        <v>264</v>
      </c>
      <c r="E16" s="167" t="n">
        <v>264</v>
      </c>
      <c r="F16" s="166" t="inlineStr">
        <is>
          <t>図面に配管線なし。壁掛機→バルコニー屋外機 4m/台</t>
        </is>
      </c>
    </row>
    <row r="17">
      <c r="A17" s="166" t="inlineStr">
        <is>
          <t>RAC-4 寮務スタッフ室</t>
        </is>
      </c>
      <c r="B17" s="166" t="inlineStr">
        <is>
          <t>②</t>
        </is>
      </c>
      <c r="C17" s="167" t="n">
        <v>0</v>
      </c>
      <c r="D17" s="167" t="n">
        <v>5</v>
      </c>
      <c r="E17" s="167" t="n">
        <v>5</v>
      </c>
      <c r="F17" s="166" t="inlineStr">
        <is>
          <t>同上 5m</t>
        </is>
      </c>
    </row>
    <row r="18">
      <c r="A18" s="168" t="inlineStr">
        <is>
          <t>合計</t>
        </is>
      </c>
      <c r="B18" s="168" t="inlineStr"/>
      <c r="C18" s="169" t="n">
        <v>211</v>
      </c>
      <c r="D18" s="169" t="n">
        <v>363.5</v>
      </c>
      <c r="E18" s="169" t="n">
        <v>574.5</v>
      </c>
      <c r="F18" s="168" t="inlineStr">
        <is>
          <t>口径別: ①360 ②77 ③96 ⑥9 ⑦57 (m・端数調整後)</t>
        </is>
      </c>
    </row>
    <row r="20">
      <c r="A20" s="164" t="inlineStr">
        <is>
          <t>2. ドレン配管（ベース06）</t>
        </is>
      </c>
    </row>
    <row r="21">
      <c r="A21" s="165" t="inlineStr">
        <is>
          <t>区分</t>
        </is>
      </c>
      <c r="B21" s="165" t="inlineStr">
        <is>
          <t>口径</t>
        </is>
      </c>
      <c r="C21" s="165" t="inlineStr">
        <is>
          <t>平面実測(m)</t>
        </is>
      </c>
      <c r="D21" s="165" t="inlineStr">
        <is>
          <t>推測加算(m)</t>
        </is>
      </c>
      <c r="E21" s="165" t="inlineStr">
        <is>
          <t>合計(m)</t>
        </is>
      </c>
      <c r="F21" s="165" t="inlineStr">
        <is>
          <t>備考</t>
        </is>
      </c>
    </row>
    <row r="22">
      <c r="A22" s="166" t="inlineStr">
        <is>
          <t>1F 空調平面図 青線(D)</t>
        </is>
      </c>
      <c r="B22" s="166" t="inlineStr">
        <is>
          <t>VP20</t>
        </is>
      </c>
      <c r="C22" s="167" t="n">
        <v>6.6</v>
      </c>
      <c r="D22" s="167" t="n">
        <v>30</v>
      </c>
      <c r="E22" s="167" t="n">
        <v>36.6</v>
      </c>
      <c r="F22" s="166" t="inlineStr">
        <is>
          <t>RAC-1/2 ドレンアップ吐出→屋外 10台×3m</t>
        </is>
      </c>
    </row>
    <row r="23">
      <c r="A23" s="166" t="inlineStr">
        <is>
          <t>1F 空調平面図 青線(D)</t>
        </is>
      </c>
      <c r="B23" s="166" t="inlineStr">
        <is>
          <t>VP25</t>
        </is>
      </c>
      <c r="C23" s="167" t="n">
        <v>87.3</v>
      </c>
      <c r="D23" s="167" t="n">
        <v>0</v>
      </c>
      <c r="E23" s="167" t="n">
        <v>87.3</v>
      </c>
      <c r="F23" s="166" t="inlineStr">
        <is>
          <t>口径ラベル未割当31.3mを25/40へ比例配分済</t>
        </is>
      </c>
    </row>
    <row r="24">
      <c r="A24" s="166" t="inlineStr">
        <is>
          <t>1F 空調平面図 青線(D)</t>
        </is>
      </c>
      <c r="B24" s="166" t="inlineStr">
        <is>
          <t>VP40</t>
        </is>
      </c>
      <c r="C24" s="167" t="n">
        <v>50.2</v>
      </c>
      <c r="D24" s="167" t="n">
        <v>18</v>
      </c>
      <c r="E24" s="167" t="n">
        <v>68.2</v>
      </c>
      <c r="F24" s="166" t="inlineStr">
        <is>
          <t>立下り・屋外放流部 12箇所×1.5m</t>
        </is>
      </c>
    </row>
    <row r="25">
      <c r="A25" s="166" t="inlineStr">
        <is>
          <t>2F 空調平面図 青線(D) AC-10</t>
        </is>
      </c>
      <c r="B25" s="166" t="inlineStr">
        <is>
          <t>VP25</t>
        </is>
      </c>
      <c r="C25" s="167" t="n">
        <v>6.1</v>
      </c>
      <c r="D25" s="167" t="n">
        <v>0</v>
      </c>
      <c r="E25" s="167" t="n">
        <v>6.1</v>
      </c>
      <c r="F25" s="166" t="inlineStr"/>
    </row>
    <row r="26">
      <c r="A26" s="168" t="inlineStr">
        <is>
          <t>合計</t>
        </is>
      </c>
      <c r="B26" s="168" t="inlineStr"/>
      <c r="C26" s="169" t="n">
        <v>150.2</v>
      </c>
      <c r="D26" s="169" t="n">
        <v>48</v>
      </c>
      <c r="E26" s="169" t="n">
        <v>198.2</v>
      </c>
      <c r="F26" s="168" t="inlineStr"/>
    </row>
    <row r="28">
      <c r="A28" s="164" t="inlineStr">
        <is>
          <t>3. 冷媒配管（図面08 追加空調・すべて推測）</t>
        </is>
      </c>
    </row>
    <row r="29">
      <c r="A29" s="165" t="inlineStr">
        <is>
          <t>系統</t>
        </is>
      </c>
      <c r="B29" s="165" t="inlineStr">
        <is>
          <t>口径記号</t>
        </is>
      </c>
      <c r="C29" s="165" t="inlineStr">
        <is>
          <t>平面実測(m)</t>
        </is>
      </c>
      <c r="D29" s="165" t="inlineStr">
        <is>
          <t>推測(m)</t>
        </is>
      </c>
      <c r="E29" s="165" t="inlineStr">
        <is>
          <t>合計(m)</t>
        </is>
      </c>
      <c r="F29" s="165" t="inlineStr">
        <is>
          <t>推定根拠</t>
        </is>
      </c>
    </row>
    <row r="30">
      <c r="A30" s="166" t="inlineStr">
        <is>
          <t>追AC1 PA-P140U7GTNB トリプル</t>
        </is>
      </c>
      <c r="B30" s="166" t="inlineStr">
        <is>
          <t>③主/①枝</t>
        </is>
      </c>
      <c r="C30" s="170" t="n">
        <v>0</v>
      </c>
      <c r="D30" s="170" t="n">
        <v>51</v>
      </c>
      <c r="E30" s="170" t="n">
        <v>51</v>
      </c>
      <c r="F30" s="166" t="inlineStr">
        <is>
          <t>室外機:物干場側(AC-3隣) 室内機:ホール・洗濯室前廊下・階段ホール</t>
        </is>
      </c>
    </row>
    <row r="31">
      <c r="A31" s="166" t="inlineStr">
        <is>
          <t>追AC2 PA-P224L7HTNB トリプル</t>
        </is>
      </c>
      <c r="B31" s="166" t="inlineStr">
        <is>
          <t>⑥主/③枝</t>
        </is>
      </c>
      <c r="C31" s="170" t="n">
        <v>0</v>
      </c>
      <c r="D31" s="170" t="n">
        <v>57</v>
      </c>
      <c r="E31" s="170" t="n">
        <v>57</v>
      </c>
      <c r="F31" s="166" t="inlineStr">
        <is>
          <t>室外機:南側(AC-1/5隣) 室内機:1F南廊下3箇所</t>
        </is>
      </c>
    </row>
    <row r="32">
      <c r="A32" s="166" t="inlineStr">
        <is>
          <t>追AC3 PA-P224L7HTNB トリプル</t>
        </is>
      </c>
      <c r="B32" s="166" t="inlineStr">
        <is>
          <t>⑥主/③枝</t>
        </is>
      </c>
      <c r="C32" s="170" t="n">
        <v>0</v>
      </c>
      <c r="D32" s="170" t="n">
        <v>64</v>
      </c>
      <c r="E32" s="170" t="n">
        <v>64</v>
      </c>
      <c r="F32" s="166" t="inlineStr">
        <is>
          <t>室外機:東側地上 室内機:2F北廊下3箇所</t>
        </is>
      </c>
    </row>
    <row r="33">
      <c r="A33" s="166" t="inlineStr">
        <is>
          <t>追AC4 PA-P224L7HTNB トリプル</t>
        </is>
      </c>
      <c r="B33" s="166" t="inlineStr">
        <is>
          <t>⑥主/③枝</t>
        </is>
      </c>
      <c r="C33" s="170" t="n">
        <v>0</v>
      </c>
      <c r="D33" s="170" t="n">
        <v>51</v>
      </c>
      <c r="E33" s="170" t="n">
        <v>51</v>
      </c>
      <c r="F33" s="166" t="inlineStr">
        <is>
          <t>室外機:東側地上(倉庫2東) 室内機:階段ホール2・南廊下1</t>
        </is>
      </c>
    </row>
    <row r="34">
      <c r="A34" s="166" t="inlineStr">
        <is>
          <t>追AC5 PA-P224L7HTNB トリプル</t>
        </is>
      </c>
      <c r="B34" s="166" t="inlineStr">
        <is>
          <t>⑥主/③枝</t>
        </is>
      </c>
      <c r="C34" s="170" t="n">
        <v>0</v>
      </c>
      <c r="D34" s="170" t="n">
        <v>69</v>
      </c>
      <c r="E34" s="170" t="n">
        <v>69</v>
      </c>
      <c r="F34" s="166" t="inlineStr">
        <is>
          <t>室外機:東側地上 室内機:2F南廊下3箇所</t>
        </is>
      </c>
    </row>
    <row r="35">
      <c r="A35" s="168" t="inlineStr">
        <is>
          <t>合計</t>
        </is>
      </c>
      <c r="B35" s="168" t="inlineStr"/>
      <c r="C35" s="171" t="n">
        <v>0</v>
      </c>
      <c r="D35" s="171" t="n">
        <v>292</v>
      </c>
      <c r="E35" s="171" t="n">
        <v>292</v>
      </c>
      <c r="F35" s="168" t="inlineStr">
        <is>
          <t>口径別: ①35 ③184 ⑥73</t>
        </is>
      </c>
    </row>
    <row r="37">
      <c r="A37" s="164" t="inlineStr">
        <is>
          <t>4. ダクト（ベース06）</t>
        </is>
      </c>
    </row>
    <row r="38">
      <c r="A38" s="165" t="inlineStr">
        <is>
          <t>図面</t>
        </is>
      </c>
      <c r="B38" s="165" t="inlineStr">
        <is>
          <t>系統</t>
        </is>
      </c>
      <c r="C38" s="165" t="inlineStr">
        <is>
          <t>100φ(m)</t>
        </is>
      </c>
      <c r="D38" s="165" t="inlineStr">
        <is>
          <t>150φ(m)</t>
        </is>
      </c>
      <c r="E38" s="165" t="inlineStr">
        <is>
          <t>200φ(m)</t>
        </is>
      </c>
      <c r="F38" s="165" t="inlineStr">
        <is>
          <t>250φ(m)</t>
        </is>
      </c>
      <c r="G38" s="165" t="inlineStr">
        <is>
          <t>300φ(m)</t>
        </is>
      </c>
      <c r="H38" s="165" t="inlineStr">
        <is>
          <t>備考</t>
        </is>
      </c>
    </row>
    <row r="39">
      <c r="A39" s="166" t="inlineStr">
        <is>
          <t>1F換気平面図(p22) 黒太線</t>
        </is>
      </c>
      <c r="B39" s="166" t="inlineStr">
        <is>
          <t>EA</t>
        </is>
      </c>
      <c r="C39" s="167" t="n">
        <v>62.6</v>
      </c>
      <c r="D39" s="167" t="n">
        <v>122.4</v>
      </c>
      <c r="E39" s="167" t="n">
        <v>25.2</v>
      </c>
      <c r="F39" s="170" t="n">
        <v>0</v>
      </c>
      <c r="G39" s="170" t="n">
        <v>0</v>
      </c>
      <c r="H39" s="166" t="inlineStr">
        <is>
          <t>150φに口径未判読16.6m含む（実測）</t>
        </is>
      </c>
    </row>
    <row r="40">
      <c r="A40" s="166" t="inlineStr">
        <is>
          <t>1F換気平面図(p22) 青線</t>
        </is>
      </c>
      <c r="B40" s="166" t="inlineStr">
        <is>
          <t>OA</t>
        </is>
      </c>
      <c r="C40" s="167" t="n">
        <v>3.5</v>
      </c>
      <c r="D40" s="167" t="n">
        <v>50.4</v>
      </c>
      <c r="E40" s="167" t="n">
        <v>45.7</v>
      </c>
      <c r="F40" s="170" t="n">
        <v>0</v>
      </c>
      <c r="G40" s="170" t="n">
        <v>0</v>
      </c>
      <c r="H40" s="166" t="inlineStr">
        <is>
          <t>150φに未判読9.1m含む（実測）</t>
        </is>
      </c>
    </row>
    <row r="41">
      <c r="A41" s="166" t="inlineStr">
        <is>
          <t>2F換気平面図(p23) 黒太線</t>
        </is>
      </c>
      <c r="B41" s="166" t="inlineStr">
        <is>
          <t>EA</t>
        </is>
      </c>
      <c r="C41" s="167" t="n">
        <v>5.2</v>
      </c>
      <c r="D41" s="167" t="n">
        <v>28.2</v>
      </c>
      <c r="E41" s="167" t="n">
        <v>9.800000000000001</v>
      </c>
      <c r="F41" s="170" t="n">
        <v>0</v>
      </c>
      <c r="G41" s="170" t="n">
        <v>0</v>
      </c>
      <c r="H41" s="166" t="inlineStr">
        <is>
          <t>実測</t>
        </is>
      </c>
    </row>
    <row r="42">
      <c r="A42" s="166" t="inlineStr">
        <is>
          <t>2F換気平面図(p23) 青線</t>
        </is>
      </c>
      <c r="B42" s="166" t="inlineStr">
        <is>
          <t>OA</t>
        </is>
      </c>
      <c r="C42" s="170" t="n">
        <v>0</v>
      </c>
      <c r="D42" s="170" t="n">
        <v>0</v>
      </c>
      <c r="E42" s="167" t="n">
        <v>3.5</v>
      </c>
      <c r="F42" s="170" t="n">
        <v>0</v>
      </c>
      <c r="G42" s="170" t="n">
        <v>0</v>
      </c>
      <c r="H42" s="166" t="inlineStr">
        <is>
          <t>実測</t>
        </is>
      </c>
    </row>
    <row r="43">
      <c r="A43" s="166" t="inlineStr">
        <is>
          <t>厨房廻り詳細図(p24) 1:70</t>
        </is>
      </c>
      <c r="B43" s="166" t="inlineStr">
        <is>
          <t>EA</t>
        </is>
      </c>
      <c r="C43" s="170" t="n">
        <v>0</v>
      </c>
      <c r="D43" s="170" t="n">
        <v>0</v>
      </c>
      <c r="E43" s="167" t="n">
        <v>9</v>
      </c>
      <c r="F43" s="167" t="n">
        <v>6</v>
      </c>
      <c r="G43" s="167" t="n">
        <v>5</v>
      </c>
      <c r="H43" s="166" t="inlineStr">
        <is>
          <t>推測（二重線表記のため目視換算）</t>
        </is>
      </c>
    </row>
    <row r="44">
      <c r="A44" s="166" t="inlineStr">
        <is>
          <t>厨房廻り詳細図(p24) 1:70</t>
        </is>
      </c>
      <c r="B44" s="166" t="inlineStr">
        <is>
          <t>OA(FS-1/2・F-3給気)</t>
        </is>
      </c>
      <c r="C44" s="170" t="n">
        <v>0</v>
      </c>
      <c r="D44" s="170" t="n">
        <v>0</v>
      </c>
      <c r="E44" s="167" t="n">
        <v>7.5</v>
      </c>
      <c r="F44" s="167" t="n">
        <v>6</v>
      </c>
      <c r="G44" s="167" t="n">
        <v>3</v>
      </c>
      <c r="H44" s="166" t="inlineStr">
        <is>
          <t>推測</t>
        </is>
      </c>
    </row>
    <row r="45">
      <c r="A45" s="166" t="inlineStr">
        <is>
          <t>外壁貫通部・フード接続</t>
        </is>
      </c>
      <c r="B45" s="166" t="inlineStr">
        <is>
          <t>EA/OA</t>
        </is>
      </c>
      <c r="C45" s="170" t="n">
        <v>0</v>
      </c>
      <c r="D45" s="167" t="n">
        <v>58</v>
      </c>
      <c r="E45" s="170" t="n">
        <v>0</v>
      </c>
      <c r="F45" s="170" t="n">
        <v>0</v>
      </c>
      <c r="G45" s="170" t="n">
        <v>0</v>
      </c>
      <c r="H45" s="166" t="inlineStr">
        <is>
          <t>推測 1.0m/箇所×58</t>
        </is>
      </c>
    </row>
    <row r="46">
      <c r="A46" s="168" t="inlineStr">
        <is>
          <t>合計</t>
        </is>
      </c>
      <c r="B46" s="168" t="inlineStr"/>
      <c r="C46" s="169" t="n">
        <v>71.3</v>
      </c>
      <c r="D46" s="169" t="n">
        <v>259</v>
      </c>
      <c r="E46" s="169" t="n">
        <v>100.7</v>
      </c>
      <c r="F46" s="169" t="n">
        <v>12</v>
      </c>
      <c r="G46" s="169" t="n">
        <v>8</v>
      </c>
      <c r="H46" s="168" t="inlineStr">
        <is>
          <t>内訳書は端数切上げ</t>
        </is>
      </c>
    </row>
    <row r="48">
      <c r="A48" s="164" t="inlineStr">
        <is>
          <t>5. 機器台数（図面カウント）</t>
        </is>
      </c>
    </row>
    <row r="49">
      <c r="A49" s="165" t="inlineStr">
        <is>
          <t>記号</t>
        </is>
      </c>
      <c r="B49" s="165" t="inlineStr">
        <is>
          <t>台数</t>
        </is>
      </c>
      <c r="C49" s="165" t="inlineStr">
        <is>
          <t>備考</t>
        </is>
      </c>
    </row>
    <row r="50">
      <c r="A50" s="166" t="inlineStr">
        <is>
          <t>AC-1 (ツイン) 室内8/室外4</t>
        </is>
      </c>
      <c r="B50" s="166" t="inlineStr">
        <is>
          <t>4系統</t>
        </is>
      </c>
      <c r="C50" s="166" t="inlineStr">
        <is>
          <t>空調機器表・平面図</t>
        </is>
      </c>
    </row>
    <row r="51">
      <c r="A51" s="166" t="inlineStr">
        <is>
          <t>AC-2,3 (ツイン) 室内各2/室外各1</t>
        </is>
      </c>
      <c r="B51" s="166" t="inlineStr">
        <is>
          <t>2系統</t>
        </is>
      </c>
      <c r="C51" s="166" t="inlineStr"/>
    </row>
    <row r="52">
      <c r="A52" s="166" t="inlineStr">
        <is>
          <t>AC-5,6,7,8,9,10 室内各1/室外各1</t>
        </is>
      </c>
      <c r="B52" s="166" t="inlineStr">
        <is>
          <t>7台</t>
        </is>
      </c>
      <c r="C52" s="166" t="inlineStr">
        <is>
          <t>AC-5は2台</t>
        </is>
      </c>
    </row>
    <row r="53">
      <c r="A53" s="166" t="inlineStr">
        <is>
          <t>RAC-1/2/3/4</t>
        </is>
      </c>
      <c r="B53" s="166" t="inlineStr">
        <is>
          <t>2/8/66/1</t>
        </is>
      </c>
      <c r="C53" s="166" t="inlineStr">
        <is>
          <t>2F寮室×16+×3+×11+×8+×4+×24=66</t>
        </is>
      </c>
    </row>
    <row r="54">
      <c r="A54" s="166" t="inlineStr">
        <is>
          <t>追AC1 室内3/室外1、追AC2〜5 室内各3/室外各1</t>
        </is>
      </c>
      <c r="B54" s="166" t="inlineStr">
        <is>
          <t>5系統</t>
        </is>
      </c>
      <c r="C54" s="166" t="inlineStr">
        <is>
          <t>図面08 p19・p20 朱書き □ 位置より</t>
        </is>
      </c>
    </row>
    <row r="55">
      <c r="A55" s="166" t="inlineStr">
        <is>
          <t>区画貫通部 ●</t>
        </is>
      </c>
      <c r="B55" s="166" t="inlineStr">
        <is>
          <t>1F 2箇所</t>
        </is>
      </c>
      <c r="C55" s="166" t="inlineStr">
        <is>
          <t>空調平面図1F 凡例</t>
        </is>
      </c>
    </row>
    <row r="56">
      <c r="A56" s="168" t="inlineStr">
        <is>
          <t>VD</t>
        </is>
      </c>
      <c r="B56" s="168" t="inlineStr">
        <is>
          <t>1F 9・2F 4</t>
        </is>
      </c>
      <c r="C56" s="168" t="inlineStr">
        <is>
          <t>換気平面図ラベル数</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宮地機工株式会社</dc:creator>
  <dc:title>御見積書 （仮称）サンフレッチェ広島　三矢寮新築工事　空調設備工事</dc:title>
  <dcterms:created xsi:type="dcterms:W3CDTF">2026-10-05T23:48:21Z</dcterms:created>
  <dcterms:modified xsi:type="dcterms:W3CDTF">2026-10-05T23:48:22Z</dcterms:modified>
</cp:coreProperties>
</file>