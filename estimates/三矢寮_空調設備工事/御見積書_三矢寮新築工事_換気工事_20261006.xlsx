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表紙(工事)" sheetId="1" state="visible" r:id="rId1"/>
    <sheet name="内訳書(1.換気工事)" sheetId="2" state="visible" r:id="rId2"/>
    <sheet name="内訳書(2.ロスナイ中止)" sheetId="3" state="visible" r:id="rId3"/>
    <sheet name="法定福利費内訳明細書" sheetId="4" state="visible" r:id="rId4"/>
    <sheet name="御見積条件" sheetId="5" state="visible" r:id="rId5"/>
    <sheet name="数量拾い根拠(内部)" sheetId="6" state="visible" r:id="rId6"/>
    <sheet name="単価マスタ(内部)" sheetId="7" state="visible" r:id="rId7"/>
  </sheets>
  <definedNames>
    <definedName name="COEF">'表紙(工事)'!$N$4</definedName>
    <definedName name="OVERHEAD_RATE">'表紙(工事)'!$N$5</definedName>
    <definedName name="ROUND_UNIT">'表紙(工事)'!$N$6</definedName>
    <definedName name="WELFARE_RATE">'法定福利費内訳明細書'!$E$26</definedName>
    <definedName name="LABOR_DAY">'表紙(工事)'!$N$8</definedName>
    <definedName name="TARGET">'表紙(工事)'!$N$9</definedName>
    <definedName name="_xlnm.Print_Area" localSheetId="0">'表紙(工事)'!$A$1:$L$37</definedName>
    <definedName name="_xlnm.Print_Titles" localSheetId="1">'内訳書(1.換気工事)'!$1:$3</definedName>
    <definedName name="_xlnm.Print_Area" localSheetId="1">'内訳書(1.換気工事)'!$A$1:$I$93</definedName>
    <definedName name="_xlnm.Print_Titles" localSheetId="2">'内訳書(2.ロスナイ中止)'!$1:$3</definedName>
    <definedName name="_xlnm.Print_Area" localSheetId="2">'内訳書(2.ロスナイ中止)'!$A$1:$I$21</definedName>
    <definedName name="_xlnm.Print_Area" localSheetId="3">'法定福利費内訳明細書'!$B$1:$G$29</definedName>
    <definedName name="_xlnm.Print_Area" localSheetId="4">'御見積条件'!$A$1:$F$34</definedName>
    <definedName name="_xlnm.Print_Area" localSheetId="5">'数量拾い根拠(内部)'!$A$1:$H$24</definedName>
    <definedName name="_xlnm.Print_Area" localSheetId="6">'単価マスタ(内部)'!$A$1:$I$66</definedName>
  </definedNames>
  <calcPr calcId="124519" fullCalcOnLoad="1"/>
</workbook>
</file>

<file path=xl/styles.xml><?xml version="1.0" encoding="utf-8"?>
<styleSheet xmlns="http://schemas.openxmlformats.org/spreadsheetml/2006/main">
  <numFmts count="10">
    <numFmt numFmtId="164" formatCode="#,##0_ ;[Red]-#,##0_ "/>
    <numFmt numFmtId="165" formatCode="#,##0_ "/>
    <numFmt numFmtId="166" formatCode="0.0%"/>
    <numFmt numFmtId="167" formatCode="#,##0.0"/>
    <numFmt numFmtId="168" formatCode="yyyy&quot;年&quot;m&quot;月&quot;d&quot;日&quot;"/>
    <numFmt numFmtId="169" formatCode="0.000%_ "/>
    <numFmt numFmtId="170" formatCode="yyyy-mm-dd"/>
    <numFmt numFmtId="171" formatCode="0.000%"/>
    <numFmt numFmtId="172" formatCode="&quot;粗利率 &quot;0%"/>
    <numFmt numFmtId="173" formatCode="0.000"/>
  </numFmts>
  <fonts count="20">
    <font>
      <name val="ＭＳ Ｐゴシック"/>
      <charset val="128"/>
      <family val="3"/>
      <sz val="11"/>
    </font>
    <font>
      <name val="ＭＳ Ｐゴシック"/>
      <charset val="128"/>
      <family val="3"/>
      <b val="1"/>
      <sz val="16"/>
    </font>
    <font>
      <name val="ＭＳ Ｐゴシック"/>
      <charset val="128"/>
      <family val="3"/>
      <b val="1"/>
      <color rgb="007F7F7F"/>
      <sz val="11"/>
    </font>
    <font>
      <name val="ＭＳ Ｐゴシック"/>
      <charset val="128"/>
      <family val="3"/>
      <color rgb="007F7F7F"/>
      <sz val="9"/>
    </font>
    <font>
      <name val="ＭＳ Ｐゴシック"/>
      <charset val="128"/>
      <family val="3"/>
      <b val="1"/>
      <sz val="11"/>
    </font>
    <font>
      <name val="ＭＳ Ｐゴシック"/>
      <charset val="128"/>
      <family val="3"/>
      <b val="1"/>
      <sz val="10"/>
    </font>
    <font>
      <name val="ＭＳ Ｐゴシック"/>
      <charset val="128"/>
      <family val="3"/>
      <sz val="10"/>
    </font>
    <font>
      <name val="ＭＳ Ｐゴシック"/>
      <charset val="128"/>
      <family val="3"/>
      <sz val="9"/>
    </font>
    <font>
      <name val="ＭＳ Ｐゴシック"/>
      <charset val="128"/>
      <family val="3"/>
      <b val="1"/>
      <color rgb="00C00000"/>
      <sz val="16"/>
    </font>
    <font>
      <name val="ＭＳ Ｐゴシック"/>
      <charset val="128"/>
      <family val="3"/>
      <color rgb="00C00000"/>
      <sz val="11"/>
    </font>
    <font>
      <name val="ＭＳ Ｐゴシック"/>
      <charset val="128"/>
      <family val="3"/>
      <b val="1"/>
      <color rgb="00C00000"/>
      <sz val="11"/>
    </font>
    <font>
      <name val="ＭＳ Ｐゴシック"/>
      <charset val="128"/>
      <family val="3"/>
      <b val="1"/>
      <color rgb="00C00000"/>
      <sz val="10"/>
    </font>
    <font>
      <name val="ＭＳ Ｐゴシック"/>
      <charset val="128"/>
      <family val="3"/>
      <color rgb="00C00000"/>
      <sz val="10"/>
    </font>
    <font>
      <name val="ＭＳ Ｐゴシック"/>
      <charset val="128"/>
      <family val="3"/>
      <b val="1"/>
      <sz val="14"/>
    </font>
    <font>
      <name val="ＭＳ Ｐゴシック"/>
      <charset val="128"/>
      <family val="3"/>
      <b val="1"/>
      <sz val="20"/>
    </font>
    <font>
      <name val="ＭＳ Ｐゴシック"/>
      <charset val="128"/>
      <family val="3"/>
      <sz val="14"/>
    </font>
    <font>
      <name val="ＭＳ Ｐゴシック"/>
      <charset val="128"/>
      <family val="3"/>
      <sz val="12"/>
    </font>
    <font>
      <name val="ＭＳ Ｐゴシック"/>
      <charset val="128"/>
      <family val="3"/>
      <b val="1"/>
      <sz val="12"/>
    </font>
    <font>
      <name val="ＭＳ Ｐゴシック"/>
      <charset val="128"/>
      <family val="3"/>
      <sz val="9.5"/>
    </font>
    <font>
      <name val="ＭＳ Ｐゴシック"/>
      <charset val="128"/>
      <family val="3"/>
      <color rgb="007F7F7F"/>
      <sz val="10"/>
    </font>
  </fonts>
  <fills count="6">
    <fill>
      <patternFill/>
    </fill>
    <fill>
      <patternFill patternType="gray125"/>
    </fill>
    <fill>
      <patternFill patternType="solid">
        <fgColor rgb="00D9D9D9"/>
      </patternFill>
    </fill>
    <fill>
      <patternFill patternType="solid">
        <fgColor rgb="00FFF2CC"/>
      </patternFill>
    </fill>
    <fill>
      <patternFill patternType="solid">
        <fgColor rgb="00FDE9E9"/>
      </patternFill>
    </fill>
    <fill>
      <patternFill patternType="solid">
        <fgColor rgb="00F2F2F2"/>
      </patternFill>
    </fill>
  </fills>
  <borders count="36">
    <border>
      <left/>
      <right/>
      <top/>
      <bottom/>
      <diagonal/>
    </border>
    <border>
      <left style="medium">
        <color rgb="00000000"/>
      </left>
      <right style="thin">
        <color rgb="00000000"/>
      </right>
      <top style="medium">
        <color rgb="00000000"/>
      </top>
      <bottom style="hair">
        <color rgb="00000000"/>
      </bottom>
    </border>
    <border>
      <left style="thin">
        <color rgb="00000000"/>
      </left>
      <right style="thin">
        <color rgb="00000000"/>
      </right>
      <top style="medium">
        <color rgb="00000000"/>
      </top>
      <bottom style="hair">
        <color rgb="00000000"/>
      </bottom>
    </border>
    <border>
      <left style="thin">
        <color rgb="00000000"/>
      </left>
      <right style="medium">
        <color rgb="00000000"/>
      </right>
      <top style="medium">
        <color rgb="00000000"/>
      </top>
      <bottom style="hair">
        <color rgb="00000000"/>
      </bottom>
    </border>
    <border>
      <left style="medium">
        <color rgb="00000000"/>
      </left>
      <right style="thin">
        <color rgb="00000000"/>
      </right>
      <top style="hair">
        <color rgb="00000000"/>
      </top>
      <bottom style="hair">
        <color rgb="00000000"/>
      </bottom>
    </border>
    <border>
      <left style="thin">
        <color rgb="00000000"/>
      </left>
      <right style="thin">
        <color rgb="00000000"/>
      </right>
      <top style="hair">
        <color rgb="00000000"/>
      </top>
      <bottom style="hair">
        <color rgb="00000000"/>
      </bottom>
    </border>
    <border>
      <left style="thin">
        <color rgb="00000000"/>
      </left>
      <right style="medium">
        <color rgb="00000000"/>
      </right>
      <top style="hair">
        <color rgb="00000000"/>
      </top>
      <bottom style="hair">
        <color rgb="00000000"/>
      </bottom>
    </border>
    <border>
      <left style="medium">
        <color rgb="00000000"/>
      </left>
      <right style="thin">
        <color rgb="00000000"/>
      </right>
      <top style="hair">
        <color rgb="00000000"/>
      </top>
      <bottom style="medium">
        <color rgb="00000000"/>
      </bottom>
    </border>
    <border>
      <left style="thin">
        <color rgb="00000000"/>
      </left>
      <right style="thin">
        <color rgb="00000000"/>
      </right>
      <top style="hair">
        <color rgb="00000000"/>
      </top>
      <bottom style="medium">
        <color rgb="00000000"/>
      </bottom>
    </border>
    <border>
      <left style="thin">
        <color rgb="00000000"/>
      </left>
      <right style="medium">
        <color rgb="00000000"/>
      </right>
      <top style="hair">
        <color rgb="00000000"/>
      </top>
      <bottom style="medium">
        <color rgb="00000000"/>
      </bottom>
    </border>
    <border>
      <left style="thin">
        <color rgb="00000000"/>
      </left>
      <right style="thin">
        <color rgb="00000000"/>
      </right>
      <top style="thin">
        <color rgb="00000000"/>
      </top>
      <bottom style="hair">
        <color rgb="00000000"/>
      </bottom>
    </border>
    <border>
      <left style="thin">
        <color rgb="00000000"/>
      </left>
      <right style="thin">
        <color rgb="00000000"/>
      </right>
      <top style="hair">
        <color rgb="00000000"/>
      </top>
      <bottom style="thin">
        <color rgb="00000000"/>
      </bottom>
    </border>
    <border>
      <left style="medium">
        <color rgb="00000000"/>
      </left>
      <right style="thin">
        <color rgb="00000000"/>
      </right>
      <top style="medium">
        <color rgb="00000000"/>
      </top>
      <bottom style="thin">
        <color rgb="00000000"/>
      </bottom>
    </border>
    <border>
      <left style="medium">
        <color rgb="00000000"/>
      </left>
      <right style="thin">
        <color rgb="00000000"/>
      </right>
      <top style="thin">
        <color rgb="00000000"/>
      </top>
      <bottom style="hair">
        <color rgb="00000000"/>
      </bottom>
    </border>
    <border>
      <left style="thin">
        <color rgb="00000000"/>
      </left>
      <right style="thin">
        <color rgb="00000000"/>
      </right>
      <top style="medium">
        <color rgb="00000000"/>
      </top>
      <bottom style="thin">
        <color rgb="00000000"/>
      </bottom>
    </border>
    <border>
      <left style="thin">
        <color rgb="00000000"/>
      </left>
      <right style="medium">
        <color rgb="00000000"/>
      </right>
      <top style="medium">
        <color rgb="00000000"/>
      </top>
      <bottom style="thin">
        <color rgb="00000000"/>
      </bottom>
    </border>
    <border>
      <left style="thin">
        <color rgb="00000000"/>
      </left>
      <right style="medium">
        <color rgb="00000000"/>
      </right>
      <top style="thin">
        <color rgb="00000000"/>
      </top>
      <bottom style="hair">
        <color rgb="00000000"/>
      </bottom>
    </border>
    <border>
      <left style="thin">
        <color rgb="00000000"/>
      </left>
      <right style="thin">
        <color rgb="00000000"/>
      </right>
      <top style="thin">
        <color rgb="00000000"/>
      </top>
      <bottom style="thin">
        <color rgb="00000000"/>
      </bottom>
    </border>
    <border>
      <left style="medium">
        <color rgb="00000000"/>
      </left>
      <right style="thin">
        <color rgb="00000000"/>
      </right>
      <top style="medium">
        <color rgb="00000000"/>
      </top>
      <bottom style="medium">
        <color rgb="00000000"/>
      </bottom>
    </border>
    <border>
      <left style="thin">
        <color rgb="00000000"/>
      </left>
      <right style="thin">
        <color rgb="00000000"/>
      </right>
      <top style="medium">
        <color rgb="00000000"/>
      </top>
      <bottom style="medium">
        <color rgb="00000000"/>
      </bottom>
    </border>
    <border>
      <left style="thin">
        <color rgb="00000000"/>
      </left>
      <right style="medium">
        <color rgb="00000000"/>
      </right>
      <top style="medium">
        <color rgb="00000000"/>
      </top>
      <bottom style="medium">
        <color rgb="00000000"/>
      </bottom>
    </border>
    <border>
      <left style="medium">
        <color rgb="00000000"/>
      </left>
      <right style="thin">
        <color rgb="00000000"/>
      </right>
      <top style="thin">
        <color rgb="00000000"/>
      </top>
      <bottom style="thin">
        <color rgb="00000000"/>
      </bottom>
    </border>
    <border>
      <left style="thin">
        <color rgb="00000000"/>
      </left>
      <right style="medium">
        <color rgb="00000000"/>
      </right>
      <top style="thin">
        <color rgb="00000000"/>
      </top>
      <bottom style="thin">
        <color rgb="00000000"/>
      </bottom>
    </border>
    <border>
      <left style="medium">
        <color rgb="00000000"/>
      </left>
      <right style="thin">
        <color rgb="00000000"/>
      </right>
      <top style="thin">
        <color rgb="00000000"/>
      </top>
      <bottom style="medium">
        <color rgb="00000000"/>
      </bottom>
    </border>
    <border>
      <left style="thin">
        <color rgb="00000000"/>
      </left>
      <right style="thin">
        <color rgb="00000000"/>
      </right>
      <top style="thin">
        <color rgb="00000000"/>
      </top>
      <bottom style="medium">
        <color rgb="00000000"/>
      </bottom>
    </border>
    <border>
      <left style="thin">
        <color rgb="00000000"/>
      </left>
      <right style="medium">
        <color rgb="00000000"/>
      </right>
      <top style="thin">
        <color rgb="00000000"/>
      </top>
      <bottom style="medium">
        <color rgb="00000000"/>
      </bottom>
    </border>
    <border>
      <left style="medium">
        <color rgb="00000000"/>
      </left>
      <right style="thin">
        <color rgb="00000000"/>
      </right>
      <top style="double">
        <color rgb="00000000"/>
      </top>
      <bottom style="medium">
        <color rgb="00000000"/>
      </bottom>
    </border>
    <border>
      <left style="medium">
        <color rgb="00000000"/>
      </left>
      <right style="thin">
        <color rgb="00000000"/>
      </right>
      <top style="thin">
        <color rgb="00000000"/>
      </top>
      <bottom style="double">
        <color rgb="00000000"/>
      </bottom>
    </border>
    <border>
      <left style="thin">
        <color rgb="00000000"/>
      </left>
      <right style="thin">
        <color rgb="00000000"/>
      </right>
      <top style="double">
        <color rgb="00000000"/>
      </top>
      <bottom style="medium">
        <color rgb="00000000"/>
      </bottom>
    </border>
    <border>
      <left style="thin">
        <color rgb="00000000"/>
      </left>
      <right style="thin">
        <color rgb="00000000"/>
      </right>
      <top style="thin">
        <color rgb="00000000"/>
      </top>
      <bottom style="double">
        <color rgb="00000000"/>
      </bottom>
    </border>
    <border>
      <left style="thin">
        <color rgb="00000000"/>
      </left>
      <right style="medium">
        <color rgb="00000000"/>
      </right>
      <top style="double">
        <color rgb="00000000"/>
      </top>
      <bottom style="medium">
        <color rgb="00000000"/>
      </bottom>
    </border>
    <border>
      <left style="thin">
        <color rgb="00000000"/>
      </left>
      <right style="medium">
        <color rgb="00000000"/>
      </right>
      <top style="thin">
        <color rgb="00000000"/>
      </top>
      <bottom style="double">
        <color rgb="00000000"/>
      </bottom>
    </border>
    <border>
      <left/>
      <right/>
      <top/>
      <bottom style="thin">
        <color rgb="00000000"/>
      </bottom>
    </border>
    <border>
      <left/>
      <right/>
      <top style="thin">
        <color rgb="00000000"/>
      </top>
      <bottom/>
    </border>
    <border>
      <left/>
      <right/>
      <top/>
      <bottom style="double">
        <color rgb="00000000"/>
      </bottom>
    </border>
    <border>
      <left/>
      <right/>
      <top style="double">
        <color rgb="00000000"/>
      </top>
      <bottom/>
    </border>
  </borders>
  <cellStyleXfs count="1">
    <xf numFmtId="0" fontId="0" fillId="0" borderId="0"/>
  </cellStyleXfs>
  <cellXfs count="184">
    <xf numFmtId="0" fontId="0" fillId="0" borderId="0" pivotButton="0" quotePrefix="0" xfId="0"/>
    <xf numFmtId="0" fontId="14" fillId="0" borderId="0" applyAlignment="1" pivotButton="0" quotePrefix="0" xfId="0">
      <alignment horizontal="center" vertical="center"/>
    </xf>
    <xf numFmtId="0" fontId="0" fillId="0" borderId="0" applyAlignment="1" pivotButton="0" quotePrefix="0" xfId="0">
      <alignment horizontal="right" vertical="center"/>
    </xf>
    <xf numFmtId="0" fontId="0" fillId="0" borderId="32" applyAlignment="1" pivotButton="0" quotePrefix="0" xfId="0">
      <alignment horizontal="center" vertical="center"/>
    </xf>
    <xf numFmtId="0" fontId="0" fillId="0" borderId="32" pivotButton="0" quotePrefix="0" xfId="0"/>
    <xf numFmtId="0" fontId="2" fillId="2" borderId="17" applyAlignment="1" pivotButton="0" quotePrefix="0" xfId="0">
      <alignment vertical="center"/>
    </xf>
    <xf numFmtId="0" fontId="0" fillId="2" borderId="17" applyAlignment="1" pivotButton="0" quotePrefix="0" xfId="0">
      <alignment vertical="center"/>
    </xf>
    <xf numFmtId="168" fontId="0" fillId="0" borderId="0" applyAlignment="1" pivotButton="0" quotePrefix="0" xfId="0">
      <alignment horizontal="right" vertical="center"/>
    </xf>
    <xf numFmtId="0" fontId="19" fillId="2" borderId="17" applyAlignment="1" pivotButton="0" quotePrefix="0" xfId="0">
      <alignment vertical="center" shrinkToFit="1"/>
    </xf>
    <xf numFmtId="2" fontId="0" fillId="3" borderId="17" applyAlignment="1" pivotButton="0" quotePrefix="0" xfId="0">
      <alignment horizontal="right" vertical="center"/>
    </xf>
    <xf numFmtId="0" fontId="15" fillId="0" borderId="32" applyAlignment="1" pivotButton="0" quotePrefix="0" xfId="0">
      <alignment horizontal="center" vertical="center"/>
    </xf>
    <xf numFmtId="0" fontId="16" fillId="0" borderId="0" applyAlignment="1" pivotButton="0" quotePrefix="0" xfId="0">
      <alignment horizontal="left" vertical="center"/>
    </xf>
    <xf numFmtId="9" fontId="0" fillId="3" borderId="17" applyAlignment="1" pivotButton="0" quotePrefix="0" xfId="0">
      <alignment horizontal="right" vertical="center"/>
    </xf>
    <xf numFmtId="0" fontId="0" fillId="0" borderId="33" pivotButton="0" quotePrefix="0" xfId="0"/>
    <xf numFmtId="3" fontId="0" fillId="3" borderId="17" applyAlignment="1" pivotButton="0" quotePrefix="0" xfId="0">
      <alignment horizontal="right" vertical="center"/>
    </xf>
    <xf numFmtId="0" fontId="16" fillId="0" borderId="0" applyAlignment="1" pivotButton="0" quotePrefix="0" xfId="0">
      <alignment horizontal="center" vertical="center"/>
    </xf>
    <xf numFmtId="0" fontId="13" fillId="0" borderId="34" applyAlignment="1" pivotButton="0" quotePrefix="0" xfId="0">
      <alignment horizontal="center" vertical="center"/>
    </xf>
    <xf numFmtId="0" fontId="0" fillId="0" borderId="34" pivotButton="0" quotePrefix="0" xfId="0"/>
    <xf numFmtId="0" fontId="0" fillId="0" borderId="0" applyAlignment="1" pivotButton="0" quotePrefix="0" xfId="0">
      <alignment horizontal="left" vertical="center"/>
    </xf>
    <xf numFmtId="0" fontId="17" fillId="0" borderId="0" applyAlignment="1" pivotButton="0" quotePrefix="0" xfId="0">
      <alignment vertical="center"/>
    </xf>
    <xf numFmtId="171" fontId="0" fillId="0" borderId="17" applyAlignment="1" pivotButton="0" quotePrefix="0" xfId="0">
      <alignment horizontal="right" vertical="center"/>
    </xf>
    <xf numFmtId="0" fontId="0" fillId="0" borderId="35" pivotButton="0" quotePrefix="0" xfId="0"/>
    <xf numFmtId="0" fontId="0" fillId="0" borderId="0" applyAlignment="1" pivotButton="0" quotePrefix="0" xfId="0">
      <alignment vertical="center"/>
    </xf>
    <xf numFmtId="3" fontId="0" fillId="0" borderId="17" applyAlignment="1" pivotButton="0" quotePrefix="0" xfId="0">
      <alignment horizontal="right" vertical="center"/>
    </xf>
    <xf numFmtId="0" fontId="3" fillId="0" borderId="0" applyAlignment="1" pivotButton="0" quotePrefix="0" xfId="0">
      <alignment vertical="center"/>
    </xf>
    <xf numFmtId="0" fontId="0" fillId="0" borderId="0" applyAlignment="1" pivotButton="0" quotePrefix="0" xfId="0">
      <alignment horizontal="distributed" vertical="center" indent="1"/>
    </xf>
    <xf numFmtId="0" fontId="0" fillId="0" borderId="0" applyAlignment="1" pivotButton="0" quotePrefix="0" xfId="0">
      <alignment vertical="center" shrinkToFit="1"/>
    </xf>
    <xf numFmtId="0" fontId="6" fillId="0" borderId="0" applyAlignment="1" pivotButton="0" quotePrefix="0" xfId="0">
      <alignment vertical="center" shrinkToFit="1"/>
    </xf>
    <xf numFmtId="0" fontId="6" fillId="2" borderId="12" applyAlignment="1" pivotButton="0" quotePrefix="0" xfId="0">
      <alignment horizontal="center" vertical="center" shrinkToFit="1"/>
    </xf>
    <xf numFmtId="0" fontId="0" fillId="2" borderId="14" applyAlignment="1" pivotButton="0" quotePrefix="0" xfId="0">
      <alignment horizontal="center" vertical="center" shrinkToFit="1"/>
    </xf>
    <xf numFmtId="0" fontId="0" fillId="2" borderId="14" pivotButton="0" quotePrefix="0" xfId="0"/>
    <xf numFmtId="0" fontId="6" fillId="2" borderId="14" applyAlignment="1" pivotButton="0" quotePrefix="0" xfId="0">
      <alignment horizontal="center" vertical="center" shrinkToFit="1"/>
    </xf>
    <xf numFmtId="0" fontId="0" fillId="2" borderId="15" applyAlignment="1" pivotButton="0" quotePrefix="0" xfId="0">
      <alignment horizontal="center" vertical="center" shrinkToFit="1"/>
    </xf>
    <xf numFmtId="0" fontId="19" fillId="2" borderId="17" applyAlignment="1" pivotButton="0" quotePrefix="0" xfId="0">
      <alignment horizontal="center" vertical="center" shrinkToFit="1"/>
    </xf>
    <xf numFmtId="0" fontId="0" fillId="0" borderId="21" pivotButton="0" quotePrefix="0" xfId="0"/>
    <xf numFmtId="0" fontId="0" fillId="0" borderId="17" applyAlignment="1" pivotButton="0" quotePrefix="0" xfId="0">
      <alignment horizontal="left" vertical="center" shrinkToFit="1" indent="1"/>
    </xf>
    <xf numFmtId="0" fontId="0" fillId="0" borderId="17" pivotButton="0" quotePrefix="0" xfId="0"/>
    <xf numFmtId="0" fontId="0" fillId="0" borderId="22" pivotButton="0" quotePrefix="0" xfId="0"/>
    <xf numFmtId="0" fontId="0" fillId="0" borderId="10" pivotButton="0" quotePrefix="0" xfId="0"/>
    <xf numFmtId="0" fontId="6" fillId="0" borderId="17" applyAlignment="1" pivotButton="0" quotePrefix="0" xfId="0">
      <alignment horizontal="left" vertical="center" shrinkToFit="1" indent="1"/>
    </xf>
    <xf numFmtId="0" fontId="0" fillId="0" borderId="5" pivotButton="0" quotePrefix="0" xfId="0"/>
    <xf numFmtId="0" fontId="0" fillId="0" borderId="21" applyAlignment="1" pivotButton="0" quotePrefix="0" xfId="0">
      <alignment horizontal="center" vertical="center"/>
    </xf>
    <xf numFmtId="165" fontId="0" fillId="0" borderId="17" applyAlignment="1" pivotButton="0" quotePrefix="0" xfId="0">
      <alignment horizontal="right" vertical="center"/>
    </xf>
    <xf numFmtId="0" fontId="0" fillId="0" borderId="17" applyAlignment="1" pivotButton="0" quotePrefix="0" xfId="0">
      <alignment horizontal="center" vertical="center"/>
    </xf>
    <xf numFmtId="164" fontId="0" fillId="0" borderId="17" applyAlignment="1" pivotButton="0" quotePrefix="0" xfId="0">
      <alignment horizontal="right" vertical="center"/>
    </xf>
    <xf numFmtId="0" fontId="6" fillId="0" borderId="22" applyAlignment="1" pivotButton="0" quotePrefix="0" xfId="0">
      <alignment horizontal="center" vertical="center" shrinkToFit="1"/>
    </xf>
    <xf numFmtId="0" fontId="6" fillId="0" borderId="5" applyAlignment="1" pivotButton="0" quotePrefix="0" xfId="0">
      <alignment vertical="center"/>
    </xf>
    <xf numFmtId="164" fontId="0" fillId="0" borderId="5" applyAlignment="1" pivotButton="0" quotePrefix="0" xfId="0">
      <alignment horizontal="right" vertical="center"/>
    </xf>
    <xf numFmtId="166" fontId="0" fillId="0" borderId="5" applyAlignment="1" pivotButton="0" quotePrefix="0" xfId="0">
      <alignment horizontal="right" vertical="center"/>
    </xf>
    <xf numFmtId="0" fontId="9" fillId="0" borderId="21" applyAlignment="1" pivotButton="0" quotePrefix="0" xfId="0">
      <alignment horizontal="center" vertical="center"/>
    </xf>
    <xf numFmtId="0" fontId="9" fillId="0" borderId="17" applyAlignment="1" pivotButton="0" quotePrefix="0" xfId="0">
      <alignment horizontal="left" vertical="center" shrinkToFit="1" indent="1"/>
    </xf>
    <xf numFmtId="165" fontId="9" fillId="0" borderId="17" applyAlignment="1" pivotButton="0" quotePrefix="0" xfId="0">
      <alignment horizontal="right" vertical="center"/>
    </xf>
    <xf numFmtId="0" fontId="9" fillId="0" borderId="17" applyAlignment="1" pivotButton="0" quotePrefix="0" xfId="0">
      <alignment horizontal="center" vertical="center"/>
    </xf>
    <xf numFmtId="164" fontId="9" fillId="0" borderId="17" applyAlignment="1" pivotButton="0" quotePrefix="0" xfId="0">
      <alignment horizontal="right" vertical="center"/>
    </xf>
    <xf numFmtId="0" fontId="12" fillId="0" borderId="22" applyAlignment="1" pivotButton="0" quotePrefix="0" xfId="0">
      <alignment horizontal="center" vertical="center" shrinkToFit="1"/>
    </xf>
    <xf numFmtId="0" fontId="6" fillId="0" borderId="5" applyAlignment="1" pivotButton="0" quotePrefix="0" xfId="0">
      <alignment vertical="center" shrinkToFit="1"/>
    </xf>
    <xf numFmtId="165" fontId="0" fillId="0" borderId="5" applyAlignment="1" pivotButton="0" quotePrefix="0" xfId="0">
      <alignment horizontal="right" vertical="center"/>
    </xf>
    <xf numFmtId="0" fontId="0" fillId="0" borderId="27" pivotButton="0" quotePrefix="0" xfId="0"/>
    <xf numFmtId="0" fontId="0" fillId="0" borderId="29" applyAlignment="1" pivotButton="0" quotePrefix="0" xfId="0">
      <alignment horizontal="left" vertical="center" indent="1"/>
    </xf>
    <xf numFmtId="0" fontId="0" fillId="0" borderId="29" pivotButton="0" quotePrefix="0" xfId="0"/>
    <xf numFmtId="164" fontId="0" fillId="0" borderId="29" applyAlignment="1" pivotButton="0" quotePrefix="0" xfId="0">
      <alignment horizontal="right" vertical="center"/>
    </xf>
    <xf numFmtId="0" fontId="6" fillId="0" borderId="31" applyAlignment="1" pivotButton="0" quotePrefix="0" xfId="0">
      <alignment horizontal="center" vertical="center"/>
    </xf>
    <xf numFmtId="0" fontId="6" fillId="0" borderId="11" applyAlignment="1" pivotButton="0" quotePrefix="0" xfId="0">
      <alignment vertical="center" shrinkToFit="1"/>
    </xf>
    <xf numFmtId="165" fontId="0" fillId="0" borderId="11" applyAlignment="1" pivotButton="0" quotePrefix="0" xfId="0">
      <alignment horizontal="right" vertical="center"/>
    </xf>
    <xf numFmtId="0" fontId="0" fillId="0" borderId="11" pivotButton="0" quotePrefix="0" xfId="0"/>
    <xf numFmtId="164" fontId="0" fillId="0" borderId="11" applyAlignment="1" pivotButton="0" quotePrefix="0" xfId="0">
      <alignment horizontal="right" vertical="center"/>
    </xf>
    <xf numFmtId="0" fontId="0" fillId="0" borderId="26" pivotButton="0" quotePrefix="0" xfId="0"/>
    <xf numFmtId="0" fontId="4" fillId="0" borderId="28" applyAlignment="1" pivotButton="0" quotePrefix="0" xfId="0">
      <alignment horizontal="left" vertical="center" indent="1"/>
    </xf>
    <xf numFmtId="0" fontId="0" fillId="0" borderId="28" pivotButton="0" quotePrefix="0" xfId="0"/>
    <xf numFmtId="165" fontId="4" fillId="0" borderId="28" applyAlignment="1" pivotButton="0" quotePrefix="0" xfId="0">
      <alignment horizontal="right" vertical="center"/>
    </xf>
    <xf numFmtId="0" fontId="6" fillId="0" borderId="30" applyAlignment="1" pivotButton="0" quotePrefix="0" xfId="0">
      <alignment horizontal="center" vertical="center"/>
    </xf>
    <xf numFmtId="0" fontId="5" fillId="0" borderId="17" applyAlignment="1" pivotButton="0" quotePrefix="0" xfId="0">
      <alignment vertical="center" shrinkToFit="1"/>
    </xf>
    <xf numFmtId="165" fontId="4" fillId="0" borderId="17" applyAlignment="1" pivotButton="0" quotePrefix="0" xfId="0">
      <alignment horizontal="right" vertical="center"/>
    </xf>
    <xf numFmtId="166" fontId="4" fillId="0" borderId="17" applyAlignment="1" pivotButton="0" quotePrefix="0" xfId="0">
      <alignment horizontal="right" vertical="center"/>
    </xf>
    <xf numFmtId="0" fontId="18" fillId="0" borderId="0" applyAlignment="1" pivotButton="0" quotePrefix="0" xfId="0">
      <alignment horizontal="center" vertical="top"/>
    </xf>
    <xf numFmtId="0" fontId="18" fillId="0" borderId="0" applyAlignment="1" pivotButton="0" quotePrefix="0" xfId="0">
      <alignment vertical="top" wrapText="1"/>
    </xf>
    <xf numFmtId="0" fontId="19" fillId="2" borderId="17" applyAlignment="1" pivotButton="0" quotePrefix="0" xfId="0">
      <alignment horizontal="center" vertical="center"/>
    </xf>
    <xf numFmtId="172" fontId="0" fillId="0" borderId="17" applyAlignment="1" pivotButton="0" quotePrefix="0" xfId="0">
      <alignment horizontal="center" vertical="center"/>
    </xf>
    <xf numFmtId="173" fontId="0" fillId="0" borderId="17" applyAlignment="1" pivotButton="0" quotePrefix="0" xfId="0">
      <alignment horizontal="right" vertical="center"/>
    </xf>
    <xf numFmtId="0" fontId="1" fillId="0" borderId="0" applyAlignment="1" pivotButton="0" quotePrefix="0" xfId="0">
      <alignment horizontal="center" vertical="center"/>
    </xf>
    <xf numFmtId="0" fontId="2" fillId="2" borderId="0" applyAlignment="1" pivotButton="0" quotePrefix="0" xfId="0">
      <alignment horizontal="center" vertical="center"/>
    </xf>
    <xf numFmtId="0" fontId="0" fillId="2" borderId="0" pivotButton="0" quotePrefix="0" xfId="0"/>
    <xf numFmtId="0" fontId="0" fillId="2" borderId="12" applyAlignment="1" pivotButton="0" quotePrefix="0" xfId="0">
      <alignment horizontal="center" vertical="center"/>
    </xf>
    <xf numFmtId="0" fontId="0" fillId="2" borderId="14" applyAlignment="1" pivotButton="0" quotePrefix="0" xfId="0">
      <alignment horizontal="center" vertical="center"/>
    </xf>
    <xf numFmtId="0" fontId="0" fillId="2" borderId="15" applyAlignment="1" pivotButton="0" quotePrefix="0" xfId="0">
      <alignment horizontal="center" vertical="center"/>
    </xf>
    <xf numFmtId="0" fontId="3" fillId="2" borderId="17" applyAlignment="1" pivotButton="0" quotePrefix="0" xfId="0">
      <alignment horizontal="center" vertical="center" shrinkToFit="1"/>
    </xf>
    <xf numFmtId="0" fontId="4" fillId="0" borderId="13" applyAlignment="1" pivotButton="0" quotePrefix="0" xfId="0">
      <alignment vertical="center" shrinkToFit="1"/>
    </xf>
    <xf numFmtId="0" fontId="0" fillId="0" borderId="16" pivotButton="0" quotePrefix="0" xfId="0"/>
    <xf numFmtId="0" fontId="0" fillId="0" borderId="4" pivotButton="0" quotePrefix="0" xfId="0"/>
    <xf numFmtId="0" fontId="0" fillId="0" borderId="6" pivotButton="0" quotePrefix="0" xfId="0"/>
    <xf numFmtId="0" fontId="5" fillId="0" borderId="4" applyAlignment="1" pivotButton="0" quotePrefix="0" xfId="0">
      <alignment vertical="center" shrinkToFit="1"/>
    </xf>
    <xf numFmtId="0" fontId="6" fillId="0" borderId="4" applyAlignment="1" pivotButton="0" quotePrefix="0" xfId="0">
      <alignment vertical="center" shrinkToFit="1"/>
    </xf>
    <xf numFmtId="0" fontId="6" fillId="0" borderId="5" applyAlignment="1" pivotButton="0" quotePrefix="0" xfId="0">
      <alignment horizontal="left" vertical="center" shrinkToFit="1" indent="1"/>
    </xf>
    <xf numFmtId="164" fontId="6" fillId="0" borderId="5" applyAlignment="1" pivotButton="0" quotePrefix="0" xfId="0">
      <alignment horizontal="right" vertical="center"/>
    </xf>
    <xf numFmtId="0" fontId="6" fillId="0" borderId="5" applyAlignment="1" pivotButton="0" quotePrefix="0" xfId="0">
      <alignment horizontal="center" vertical="center"/>
    </xf>
    <xf numFmtId="165" fontId="6" fillId="0" borderId="5" applyAlignment="1" pivotButton="0" quotePrefix="0" xfId="0">
      <alignment horizontal="right" vertical="center"/>
    </xf>
    <xf numFmtId="0" fontId="6" fillId="0" borderId="6" applyAlignment="1" pivotButton="0" quotePrefix="0" xfId="0">
      <alignment horizontal="center" vertical="center" shrinkToFit="1"/>
    </xf>
    <xf numFmtId="165" fontId="6" fillId="3" borderId="5" applyAlignment="1" pivotButton="0" quotePrefix="0" xfId="0">
      <alignment horizontal="right" vertical="center"/>
    </xf>
    <xf numFmtId="2" fontId="6" fillId="3" borderId="5" applyAlignment="1" pivotButton="0" quotePrefix="0" xfId="0">
      <alignment horizontal="right" vertical="center"/>
    </xf>
    <xf numFmtId="2" fontId="6" fillId="3" borderId="5" applyAlignment="1" pivotButton="0" quotePrefix="0" xfId="0">
      <alignment horizontal="center" vertical="center"/>
    </xf>
    <xf numFmtId="0" fontId="7" fillId="0" borderId="5" applyAlignment="1" pivotButton="0" quotePrefix="0" xfId="0">
      <alignment horizontal="center" vertical="center" shrinkToFit="1"/>
    </xf>
    <xf numFmtId="166" fontId="6" fillId="0" borderId="5" applyAlignment="1" pivotButton="0" quotePrefix="0" xfId="0">
      <alignment horizontal="right" vertical="center"/>
    </xf>
    <xf numFmtId="9" fontId="6" fillId="0" borderId="5" applyAlignment="1" pivotButton="0" quotePrefix="0" xfId="0">
      <alignment horizontal="right" vertical="center"/>
    </xf>
    <xf numFmtId="0" fontId="7" fillId="0" borderId="5" applyAlignment="1" pivotButton="0" quotePrefix="0" xfId="0">
      <alignment vertical="center"/>
    </xf>
    <xf numFmtId="0" fontId="7" fillId="4" borderId="5" applyAlignment="1" pivotButton="0" quotePrefix="0" xfId="0">
      <alignment horizontal="center" vertical="center" shrinkToFit="1"/>
    </xf>
    <xf numFmtId="0" fontId="0" fillId="0" borderId="7" pivotButton="0" quotePrefix="0" xfId="0"/>
    <xf numFmtId="0" fontId="0" fillId="0" borderId="8" pivotButton="0" quotePrefix="0" xfId="0"/>
    <xf numFmtId="0" fontId="0" fillId="0" borderId="9" pivotButton="0" quotePrefix="0" xfId="0"/>
    <xf numFmtId="0" fontId="4" fillId="0" borderId="18" applyAlignment="1" pivotButton="0" quotePrefix="0" xfId="0">
      <alignment horizontal="center" vertical="center"/>
    </xf>
    <xf numFmtId="0" fontId="0" fillId="0" borderId="19" pivotButton="0" quotePrefix="0" xfId="0"/>
    <xf numFmtId="164" fontId="4" fillId="0" borderId="19" applyAlignment="1" pivotButton="0" quotePrefix="0" xfId="0">
      <alignment horizontal="right" vertical="center"/>
    </xf>
    <xf numFmtId="0" fontId="0" fillId="0" borderId="20" pivotButton="0" quotePrefix="0" xfId="0"/>
    <xf numFmtId="0" fontId="0" fillId="0" borderId="14" pivotButton="0" quotePrefix="0" xfId="0"/>
    <xf numFmtId="167" fontId="4" fillId="0" borderId="14" applyAlignment="1" pivotButton="0" quotePrefix="0" xfId="0">
      <alignment horizontal="right" vertical="center"/>
    </xf>
    <xf numFmtId="164" fontId="4" fillId="0" borderId="14" applyAlignment="1" pivotButton="0" quotePrefix="0" xfId="0">
      <alignment horizontal="right" vertical="center"/>
    </xf>
    <xf numFmtId="166" fontId="4" fillId="0" borderId="14" applyAlignment="1" pivotButton="0" quotePrefix="0" xfId="0">
      <alignment horizontal="right" vertical="center"/>
    </xf>
    <xf numFmtId="0" fontId="8" fillId="0" borderId="0" applyAlignment="1" pivotButton="0" quotePrefix="0" xfId="0">
      <alignment horizontal="center" vertical="center"/>
    </xf>
    <xf numFmtId="0" fontId="9" fillId="0" borderId="0" applyAlignment="1" pivotButton="0" quotePrefix="0" xfId="0">
      <alignment vertical="center"/>
    </xf>
    <xf numFmtId="0" fontId="9" fillId="0" borderId="0" applyAlignment="1" pivotButton="0" quotePrefix="0" xfId="0">
      <alignment horizontal="right" vertical="center"/>
    </xf>
    <xf numFmtId="0" fontId="10" fillId="0" borderId="13" applyAlignment="1" pivotButton="0" quotePrefix="0" xfId="0">
      <alignment vertical="center" shrinkToFit="1"/>
    </xf>
    <xf numFmtId="0" fontId="11" fillId="0" borderId="4" applyAlignment="1" pivotButton="0" quotePrefix="0" xfId="0">
      <alignment vertical="center" shrinkToFit="1"/>
    </xf>
    <xf numFmtId="0" fontId="12" fillId="0" borderId="4" applyAlignment="1" pivotButton="0" quotePrefix="0" xfId="0">
      <alignment vertical="center" shrinkToFit="1"/>
    </xf>
    <xf numFmtId="0" fontId="12" fillId="0" borderId="5" applyAlignment="1" pivotButton="0" quotePrefix="0" xfId="0">
      <alignment horizontal="left" vertical="center" shrinkToFit="1" indent="1"/>
    </xf>
    <xf numFmtId="164" fontId="12" fillId="0" borderId="5" applyAlignment="1" pivotButton="0" quotePrefix="0" xfId="0">
      <alignment horizontal="right" vertical="center"/>
    </xf>
    <xf numFmtId="0" fontId="12" fillId="0" borderId="5" applyAlignment="1" pivotButton="0" quotePrefix="0" xfId="0">
      <alignment horizontal="center" vertical="center"/>
    </xf>
    <xf numFmtId="165" fontId="12" fillId="0" borderId="5" applyAlignment="1" pivotButton="0" quotePrefix="0" xfId="0">
      <alignment horizontal="right" vertical="center"/>
    </xf>
    <xf numFmtId="0" fontId="12" fillId="0" borderId="6" applyAlignment="1" pivotButton="0" quotePrefix="0" xfId="0">
      <alignment horizontal="center" vertical="center" shrinkToFit="1"/>
    </xf>
    <xf numFmtId="0" fontId="10" fillId="0" borderId="18" applyAlignment="1" pivotButton="0" quotePrefix="0" xfId="0">
      <alignment horizontal="center" vertical="center"/>
    </xf>
    <xf numFmtId="164" fontId="10" fillId="0" borderId="19" applyAlignment="1" pivotButton="0" quotePrefix="0" xfId="0">
      <alignment horizontal="right" vertical="center"/>
    </xf>
    <xf numFmtId="0" fontId="13" fillId="0" borderId="0" applyAlignment="1" pivotButton="0" quotePrefix="0" xfId="0">
      <alignment horizontal="center" vertical="center"/>
    </xf>
    <xf numFmtId="0" fontId="6" fillId="0" borderId="0" applyAlignment="1" pivotButton="0" quotePrefix="0" xfId="0">
      <alignment horizontal="center" vertical="center"/>
    </xf>
    <xf numFmtId="0" fontId="0" fillId="5" borderId="17" applyAlignment="1" pivotButton="0" quotePrefix="0" xfId="0">
      <alignment horizontal="left" vertical="center" indent="1"/>
    </xf>
    <xf numFmtId="168" fontId="0" fillId="0" borderId="17" applyAlignment="1" pivotButton="0" quotePrefix="0" xfId="0">
      <alignment horizontal="left" vertical="center" indent="1"/>
    </xf>
    <xf numFmtId="0" fontId="0" fillId="0" borderId="17" applyAlignment="1" pivotButton="0" quotePrefix="0" xfId="0">
      <alignment horizontal="left" vertical="center" indent="1"/>
    </xf>
    <xf numFmtId="0" fontId="4" fillId="0" borderId="0" applyAlignment="1" pivotButton="0" quotePrefix="0" xfId="0">
      <alignment vertical="center"/>
    </xf>
    <xf numFmtId="0" fontId="6" fillId="0" borderId="0" applyAlignment="1" pivotButton="0" quotePrefix="0" xfId="0">
      <alignment vertical="center" wrapText="1"/>
    </xf>
    <xf numFmtId="0" fontId="0" fillId="2" borderId="15" pivotButton="0" quotePrefix="0" xfId="0"/>
    <xf numFmtId="0" fontId="0" fillId="0" borderId="21" applyAlignment="1" pivotButton="0" quotePrefix="0" xfId="0">
      <alignment horizontal="left" vertical="center" indent="1"/>
    </xf>
    <xf numFmtId="0" fontId="6" fillId="0" borderId="17" applyAlignment="1" pivotButton="0" quotePrefix="0" xfId="0">
      <alignment horizontal="left" vertical="center" indent="1"/>
    </xf>
    <xf numFmtId="0" fontId="0" fillId="0" borderId="27" applyAlignment="1" pivotButton="0" quotePrefix="0" xfId="0">
      <alignment horizontal="left" vertical="center" indent="1"/>
    </xf>
    <xf numFmtId="165" fontId="0" fillId="0" borderId="29" applyAlignment="1" pivotButton="0" quotePrefix="0" xfId="0">
      <alignment horizontal="right" vertical="center"/>
    </xf>
    <xf numFmtId="0" fontId="6" fillId="0" borderId="29" applyAlignment="1" pivotButton="0" quotePrefix="0" xfId="0">
      <alignment horizontal="left" vertical="center" indent="1"/>
    </xf>
    <xf numFmtId="0" fontId="0" fillId="0" borderId="31" pivotButton="0" quotePrefix="0" xfId="0"/>
    <xf numFmtId="0" fontId="4" fillId="0" borderId="26" applyAlignment="1" pivotButton="0" quotePrefix="0" xfId="0">
      <alignment horizontal="center" vertical="center"/>
    </xf>
    <xf numFmtId="0" fontId="5" fillId="0" borderId="28" applyAlignment="1" pivotButton="0" quotePrefix="0" xfId="0">
      <alignment horizontal="left" vertical="center" indent="1"/>
    </xf>
    <xf numFmtId="0" fontId="0" fillId="0" borderId="30" pivotButton="0" quotePrefix="0" xfId="0"/>
    <xf numFmtId="0" fontId="6" fillId="0" borderId="0" applyAlignment="1" pivotButton="0" quotePrefix="0" xfId="0">
      <alignment vertical="center"/>
    </xf>
    <xf numFmtId="0" fontId="6" fillId="2" borderId="14" applyAlignment="1" pivotButton="0" quotePrefix="0" xfId="0">
      <alignment horizontal="center" vertical="center"/>
    </xf>
    <xf numFmtId="169" fontId="0" fillId="0" borderId="17" applyAlignment="1" pivotButton="0" quotePrefix="0" xfId="0">
      <alignment horizontal="right" vertical="center"/>
    </xf>
    <xf numFmtId="0" fontId="7" fillId="0" borderId="22" applyAlignment="1" pivotButton="0" quotePrefix="0" xfId="0">
      <alignment vertical="center" wrapText="1"/>
    </xf>
    <xf numFmtId="169" fontId="0" fillId="0" borderId="29" applyAlignment="1" pivotButton="0" quotePrefix="0" xfId="0">
      <alignment horizontal="right" vertical="center"/>
    </xf>
    <xf numFmtId="0" fontId="7" fillId="0" borderId="31" applyAlignment="1" pivotButton="0" quotePrefix="0" xfId="0">
      <alignment vertical="center" wrapText="1"/>
    </xf>
    <xf numFmtId="169" fontId="4" fillId="0" borderId="28" applyAlignment="1" pivotButton="0" quotePrefix="0" xfId="0">
      <alignment horizontal="right" vertical="center"/>
    </xf>
    <xf numFmtId="0" fontId="13" fillId="0" borderId="0" applyAlignment="1" pivotButton="0" quotePrefix="0" xfId="0">
      <alignment vertical="center"/>
    </xf>
    <xf numFmtId="0" fontId="0" fillId="0" borderId="0" applyAlignment="1" pivotButton="0" quotePrefix="0" xfId="0">
      <alignment horizontal="right" vertical="top"/>
    </xf>
    <xf numFmtId="0" fontId="0" fillId="0" borderId="0" applyAlignment="1" pivotButton="0" quotePrefix="0" xfId="0">
      <alignment vertical="top" wrapText="1"/>
    </xf>
    <xf numFmtId="0" fontId="6" fillId="2" borderId="12" applyAlignment="1" pivotButton="0" quotePrefix="0" xfId="0">
      <alignment horizontal="center" vertical="center"/>
    </xf>
    <xf numFmtId="0" fontId="6" fillId="2" borderId="15" applyAlignment="1" pivotButton="0" quotePrefix="0" xfId="0">
      <alignment horizontal="center" vertical="center"/>
    </xf>
    <xf numFmtId="0" fontId="6" fillId="0" borderId="21" applyAlignment="1" pivotButton="0" quotePrefix="0" xfId="0">
      <alignment horizontal="center" vertical="center"/>
    </xf>
    <xf numFmtId="0" fontId="6" fillId="0" borderId="17" applyAlignment="1" pivotButton="0" quotePrefix="0" xfId="0">
      <alignment horizontal="center" vertical="center"/>
    </xf>
    <xf numFmtId="0" fontId="6" fillId="0" borderId="17" applyAlignment="1" pivotButton="0" quotePrefix="0" xfId="0">
      <alignment horizontal="left" vertical="center" wrapText="1" indent="1"/>
    </xf>
    <xf numFmtId="0" fontId="6" fillId="0" borderId="22" applyAlignment="1" pivotButton="0" quotePrefix="0" xfId="0">
      <alignment horizontal="center" vertical="center" wrapText="1"/>
    </xf>
    <xf numFmtId="0" fontId="6" fillId="0" borderId="23" applyAlignment="1" pivotButton="0" quotePrefix="0" xfId="0">
      <alignment horizontal="center" vertical="center"/>
    </xf>
    <xf numFmtId="0" fontId="6" fillId="0" borderId="24" applyAlignment="1" pivotButton="0" quotePrefix="0" xfId="0">
      <alignment horizontal="center" vertical="center"/>
    </xf>
    <xf numFmtId="0" fontId="6" fillId="0" borderId="24" applyAlignment="1" pivotButton="0" quotePrefix="0" xfId="0">
      <alignment horizontal="left" vertical="center" wrapText="1" indent="1"/>
    </xf>
    <xf numFmtId="0" fontId="0" fillId="0" borderId="24" pivotButton="0" quotePrefix="0" xfId="0"/>
    <xf numFmtId="0" fontId="6" fillId="0" borderId="25" applyAlignment="1" pivotButton="0" quotePrefix="0" xfId="0">
      <alignment horizontal="center" vertical="center" wrapText="1"/>
    </xf>
    <xf numFmtId="0" fontId="5" fillId="0" borderId="0" applyAlignment="1" pivotButton="0" quotePrefix="0" xfId="0">
      <alignment vertical="center"/>
    </xf>
    <xf numFmtId="0" fontId="4" fillId="5" borderId="0" applyAlignment="1" pivotButton="0" quotePrefix="0" xfId="0">
      <alignment vertical="center"/>
    </xf>
    <xf numFmtId="0" fontId="5" fillId="2" borderId="10" applyAlignment="1" pivotButton="0" quotePrefix="0" xfId="0">
      <alignment horizontal="center" vertical="center"/>
    </xf>
    <xf numFmtId="0" fontId="6" fillId="0" borderId="5" applyAlignment="1" pivotButton="0" quotePrefix="0" xfId="0">
      <alignment horizontal="left" vertical="center"/>
    </xf>
    <xf numFmtId="167" fontId="6" fillId="0" borderId="5" applyAlignment="1" pivotButton="0" quotePrefix="0" xfId="0">
      <alignment horizontal="right" vertical="center"/>
    </xf>
    <xf numFmtId="0" fontId="6" fillId="0" borderId="5" applyAlignment="1" pivotButton="0" quotePrefix="0" xfId="0">
      <alignment horizontal="right" vertical="center"/>
    </xf>
    <xf numFmtId="0" fontId="6" fillId="0" borderId="11" applyAlignment="1" pivotButton="0" quotePrefix="0" xfId="0">
      <alignment horizontal="left" vertical="center"/>
    </xf>
    <xf numFmtId="167" fontId="6" fillId="0" borderId="11" applyAlignment="1" pivotButton="0" quotePrefix="0" xfId="0">
      <alignment horizontal="right" vertical="center"/>
    </xf>
    <xf numFmtId="0" fontId="7" fillId="0" borderId="0" applyAlignment="1" pivotButton="0" quotePrefix="0" xfId="0">
      <alignment vertical="center"/>
    </xf>
    <xf numFmtId="2" fontId="6" fillId="0" borderId="5" applyAlignment="1" pivotButton="0" quotePrefix="0" xfId="0">
      <alignment horizontal="right" vertical="center"/>
    </xf>
    <xf numFmtId="0" fontId="6" fillId="0" borderId="11" applyAlignment="1" pivotButton="0" quotePrefix="0" xfId="0">
      <alignment vertical="center"/>
    </xf>
    <xf numFmtId="165" fontId="6" fillId="0" borderId="11" applyAlignment="1" pivotButton="0" quotePrefix="0" xfId="0">
      <alignment horizontal="right" vertical="center"/>
    </xf>
    <xf numFmtId="2" fontId="6" fillId="0" borderId="11" applyAlignment="1" pivotButton="0" quotePrefix="0" xfId="0">
      <alignment horizontal="right" vertical="center"/>
    </xf>
    <xf numFmtId="9" fontId="6" fillId="0" borderId="11" applyAlignment="1" pivotButton="0" quotePrefix="0" xfId="0">
      <alignment horizontal="right" vertical="center"/>
    </xf>
    <xf numFmtId="0" fontId="7" fillId="0" borderId="11" applyAlignment="1" pivotButton="0" quotePrefix="0" xfId="0">
      <alignment vertical="center"/>
    </xf>
    <xf numFmtId="0" fontId="5" fillId="5" borderId="0" applyAlignment="1" pivotButton="0" quotePrefix="0" xfId="0">
      <alignment vertical="center"/>
    </xf>
    <xf numFmtId="0" fontId="7" fillId="0" borderId="0"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Q38"/>
  <sheetViews>
    <sheetView showGridLines="0" tabSelected="1" workbookViewId="0">
      <selection activeCell="A1" sqref="A1"/>
    </sheetView>
  </sheetViews>
  <sheetFormatPr baseColWidth="8" defaultRowHeight="15"/>
  <cols>
    <col width="6" customWidth="1" min="1" max="1"/>
    <col width="8" customWidth="1" min="2" max="2"/>
    <col width="3" customWidth="1" min="3" max="3"/>
    <col width="15" customWidth="1" min="4" max="4"/>
    <col width="9" customWidth="1" min="5" max="5"/>
    <col width="9" customWidth="1" min="6" max="6"/>
    <col width="7" customWidth="1" min="7" max="7"/>
    <col width="5" customWidth="1" min="8" max="8"/>
    <col width="7" customWidth="1" min="9" max="9"/>
    <col width="7" customWidth="1" min="10" max="10"/>
    <col width="14" customWidth="1" min="11" max="11"/>
    <col width="12" customWidth="1" min="12" max="12"/>
    <col width="26" customWidth="1" min="13" max="13"/>
    <col width="12" customWidth="1" min="14" max="14"/>
    <col width="12" customWidth="1" min="15" max="15"/>
    <col width="12" customWidth="1" min="16" max="16"/>
    <col width="9" customWidth="1" min="17" max="17"/>
    <col width="12" customWidth="1" min="18" max="18"/>
    <col width="12" customWidth="1" min="19" max="19"/>
  </cols>
  <sheetData>
    <row r="1" ht="22" customHeight="1">
      <c r="A1" s="1" t="inlineStr">
        <is>
          <t>御　見　積　書</t>
        </is>
      </c>
    </row>
    <row r="2" ht="22" customHeight="1"/>
    <row r="3" ht="20" customHeight="1">
      <c r="J3" s="2" t="inlineStr">
        <is>
          <t>No.</t>
        </is>
      </c>
      <c r="K3" s="3" t="n"/>
      <c r="L3" s="4" t="n"/>
      <c r="M3" s="5" t="inlineStr">
        <is>
          <t>【設定・内部用】（印刷範囲外）</t>
        </is>
      </c>
      <c r="N3" s="6" t="n"/>
    </row>
    <row r="4" ht="20" customHeight="1">
      <c r="J4" s="7" t="n">
        <v>46301</v>
      </c>
      <c r="M4" s="8" t="inlineStr">
        <is>
          <t>提出係数（原価→定価ベース単価）</t>
        </is>
      </c>
      <c r="N4" s="9" t="n">
        <v>1.22</v>
      </c>
    </row>
    <row r="5" ht="26" customHeight="1">
      <c r="A5" s="10" t="inlineStr">
        <is>
          <t>株式会社共栄店舗</t>
        </is>
      </c>
      <c r="B5" s="4" t="n"/>
      <c r="C5" s="4" t="n"/>
      <c r="D5" s="4" t="n"/>
      <c r="E5" s="4" t="n"/>
      <c r="F5" s="4" t="n"/>
      <c r="G5" s="11" t="inlineStr">
        <is>
          <t>御中</t>
        </is>
      </c>
      <c r="M5" s="8" t="inlineStr">
        <is>
          <t>諸経費率（現場経費・運搬・雑材・工事諸経費）</t>
        </is>
      </c>
      <c r="N5" s="12" t="n">
        <v>0.22</v>
      </c>
    </row>
    <row r="6" ht="12" customHeight="1">
      <c r="A6" s="13" t="n"/>
      <c r="B6" s="13" t="n"/>
      <c r="C6" s="13" t="n"/>
      <c r="D6" s="13" t="n"/>
      <c r="E6" s="13" t="n"/>
      <c r="F6" s="13" t="n"/>
      <c r="M6" s="8" t="inlineStr">
        <is>
          <t>出精値引き 丸め単位（目標額空欄時）</t>
        </is>
      </c>
      <c r="N6" s="14" t="n">
        <v>100000</v>
      </c>
    </row>
    <row r="7" ht="28" customHeight="1">
      <c r="A7" s="15" t="inlineStr">
        <is>
          <t>金額</t>
        </is>
      </c>
      <c r="B7" s="16" t="str">
        <f>"¥"&amp;TEXT(K28,"#,##0")&amp;"-"</f>
        <v>¥12,600,000-</v>
      </c>
      <c r="C7" s="17" t="n"/>
      <c r="D7" s="17" t="n"/>
      <c r="E7" s="17" t="n"/>
      <c r="F7" s="18" t="inlineStr">
        <is>
          <t>（税別）</t>
        </is>
      </c>
      <c r="H7" s="19" t="inlineStr">
        <is>
          <t>宮地機工株式会社</t>
        </is>
      </c>
      <c r="M7" s="8" t="inlineStr">
        <is>
          <t>法定福利費率（労務費比）</t>
        </is>
      </c>
      <c r="N7" s="20">
        <f>WELFARE_RATE</f>
        <v>0.16375</v>
      </c>
    </row>
    <row r="8" ht="10" customHeight="1">
      <c r="B8" s="21" t="n"/>
      <c r="C8" s="21" t="n"/>
      <c r="D8" s="21" t="n"/>
      <c r="E8" s="21" t="n"/>
      <c r="M8" s="8" t="inlineStr">
        <is>
          <t>労務原価日額（円/人工）</t>
        </is>
      </c>
      <c r="N8" s="14" t="n">
        <v>19000</v>
      </c>
    </row>
    <row r="9" ht="19" customHeight="1">
      <c r="A9" s="18" t="inlineStr">
        <is>
          <t>上記の通り御見積申し上げます。</t>
        </is>
      </c>
      <c r="H9" s="22" t="inlineStr">
        <is>
          <t>代表取締役　濱本　義樹</t>
        </is>
      </c>
      <c r="M9" s="8" t="inlineStr">
        <is>
          <t>目標提出額（税別・空欄なら丸め）</t>
        </is>
      </c>
      <c r="N9" s="14" t="n"/>
    </row>
    <row r="10" ht="19" customHeight="1">
      <c r="A10" s="22" t="inlineStr">
        <is>
          <t>何卒ご用命賜わりますようお願い申し上げます。</t>
        </is>
      </c>
      <c r="M10" s="8" t="inlineStr">
        <is>
          <t>参考：宮地機工 人工単価（定価ベース）</t>
        </is>
      </c>
      <c r="N10" s="23" t="n">
        <v>23225</v>
      </c>
    </row>
    <row r="11" ht="19" customHeight="1">
      <c r="H11" s="22" t="inlineStr">
        <is>
          <t>〒722-0051</t>
        </is>
      </c>
      <c r="M11" s="24" t="inlineStr">
        <is>
          <t>※ 原価＝材料原価＋人工×N8。提出単価＝原価×N4（1.22で参考見積の人工単価23,225に一致）。目標提出額 N9 を入れると出精値引きで合わせる</t>
        </is>
      </c>
    </row>
    <row r="12" ht="19" customHeight="1">
      <c r="A12" s="25" t="inlineStr">
        <is>
          <t>工事名</t>
        </is>
      </c>
      <c r="D12" s="26" t="inlineStr">
        <is>
          <t>（仮称）サンフレッチェ広島　三矢寮新築工事</t>
        </is>
      </c>
      <c r="H12" s="22" t="inlineStr">
        <is>
          <t>広島県尾道市東尾道9-9</t>
        </is>
      </c>
    </row>
    <row r="13" ht="19" customHeight="1">
      <c r="D13" s="26" t="inlineStr">
        <is>
          <t>換気工事（機械設備図06ベース＋金額変更案08 ロスナイ中止）</t>
        </is>
      </c>
      <c r="H13" s="22" t="inlineStr">
        <is>
          <t>TEL.0848-20-2121</t>
        </is>
      </c>
      <c r="K13" s="22" t="inlineStr">
        <is>
          <t>FAX.0848-20-2126</t>
        </is>
      </c>
    </row>
    <row r="14" ht="22" customHeight="1">
      <c r="A14" s="25" t="inlineStr">
        <is>
          <t>施工場所</t>
        </is>
      </c>
      <c r="D14" s="27" t="inlineStr">
        <is>
          <t>広島県安芸高田市吉田町西浦字日南山835-27</t>
        </is>
      </c>
      <c r="H14" s="22" t="inlineStr">
        <is>
          <t>担当者</t>
        </is>
      </c>
      <c r="J14" s="22" t="inlineStr">
        <is>
          <t>濱本　義武</t>
        </is>
      </c>
    </row>
    <row r="15" ht="19" customHeight="1">
      <c r="A15" s="25" t="inlineStr">
        <is>
          <t>工事期限</t>
        </is>
      </c>
      <c r="D15" s="26" t="inlineStr">
        <is>
          <t>全体工期 2026年5月1日～2027年2月15日（空調工事は工程表による・別途お打ち合わせ）</t>
        </is>
      </c>
    </row>
    <row r="16" ht="19" customHeight="1">
      <c r="A16" s="25" t="inlineStr">
        <is>
          <t>御支払条件</t>
        </is>
      </c>
      <c r="D16" s="26" t="inlineStr">
        <is>
          <t>別途お打ち合わせ</t>
        </is>
      </c>
    </row>
    <row r="17" ht="19" customHeight="1">
      <c r="A17" s="25" t="inlineStr">
        <is>
          <t>有効期限</t>
        </is>
      </c>
      <c r="D17" s="26" t="inlineStr">
        <is>
          <t>発行後3ヶ月</t>
        </is>
      </c>
    </row>
    <row r="18" ht="12" customHeight="1"/>
    <row r="19" ht="24" customHeight="1">
      <c r="A19" s="28" t="inlineStr">
        <is>
          <t>項　目</t>
        </is>
      </c>
      <c r="B19" s="29" t="inlineStr">
        <is>
          <t>内　　　容</t>
        </is>
      </c>
      <c r="C19" s="30" t="n"/>
      <c r="D19" s="30" t="n"/>
      <c r="E19" s="30" t="n"/>
      <c r="F19" s="30" t="n"/>
      <c r="G19" s="29" t="inlineStr">
        <is>
          <t>数 量</t>
        </is>
      </c>
      <c r="H19" s="31" t="inlineStr">
        <is>
          <t>単位</t>
        </is>
      </c>
      <c r="I19" s="29" t="inlineStr">
        <is>
          <t>単  価</t>
        </is>
      </c>
      <c r="J19" s="30" t="n"/>
      <c r="K19" s="29" t="inlineStr">
        <is>
          <t>金　　額</t>
        </is>
      </c>
      <c r="L19" s="32" t="inlineStr">
        <is>
          <t>備　考</t>
        </is>
      </c>
      <c r="M19" s="33" t="inlineStr">
        <is>
          <t>内部集計（原価・粗利）</t>
        </is>
      </c>
      <c r="N19" s="33" t="inlineStr">
        <is>
          <t>基準原価</t>
        </is>
      </c>
      <c r="O19" s="33" t="inlineStr">
        <is>
          <t>労務費(提出)</t>
        </is>
      </c>
      <c r="P19" s="33" t="inlineStr">
        <is>
          <t>粗利</t>
        </is>
      </c>
      <c r="Q19" s="33" t="inlineStr">
        <is>
          <t>粗利率</t>
        </is>
      </c>
    </row>
    <row r="20" ht="22" customHeight="1">
      <c r="A20" s="34" t="n"/>
      <c r="B20" s="35" t="inlineStr">
        <is>
          <t>【（仮称）サンフレッチェ広島　三矢寮新築工事　空調設備工事　換気工事】</t>
        </is>
      </c>
      <c r="C20" s="36" t="n"/>
      <c r="D20" s="36" t="n"/>
      <c r="E20" s="36" t="n"/>
      <c r="F20" s="36" t="n"/>
      <c r="G20" s="36" t="n"/>
      <c r="H20" s="36" t="n"/>
      <c r="I20" s="36" t="n"/>
      <c r="J20" s="36" t="n"/>
      <c r="K20" s="36" t="n"/>
      <c r="L20" s="37" t="n"/>
      <c r="M20" s="38" t="n"/>
      <c r="N20" s="38" t="n"/>
      <c r="O20" s="38" t="n"/>
      <c r="P20" s="38" t="n"/>
      <c r="Q20" s="38" t="n"/>
    </row>
    <row r="21" ht="20" customHeight="1">
      <c r="A21" s="34" t="n"/>
      <c r="B21" s="39" t="inlineStr">
        <is>
          <t>［換気機器（換気機器表・代替分 BFS-SUDC・V-08PPXD8）は元請様手配、電気工事・建築工事・自動制御は含まず］</t>
        </is>
      </c>
      <c r="C21" s="36" t="n"/>
      <c r="D21" s="36" t="n"/>
      <c r="E21" s="36" t="n"/>
      <c r="F21" s="36" t="n"/>
      <c r="G21" s="36" t="n"/>
      <c r="H21" s="36" t="n"/>
      <c r="I21" s="36" t="n"/>
      <c r="J21" s="36" t="n"/>
      <c r="K21" s="36" t="n"/>
      <c r="L21" s="37" t="n"/>
      <c r="M21" s="40" t="n"/>
      <c r="N21" s="40" t="n"/>
      <c r="O21" s="40" t="n"/>
      <c r="P21" s="40" t="n"/>
      <c r="Q21" s="40" t="n"/>
    </row>
    <row r="22" ht="24" customHeight="1">
      <c r="A22" s="41" t="inlineStr">
        <is>
          <t>①</t>
        </is>
      </c>
      <c r="B22" s="35" t="inlineStr">
        <is>
          <t>換気工事（機械設備図 06）</t>
        </is>
      </c>
      <c r="C22" s="36" t="n"/>
      <c r="D22" s="36" t="n"/>
      <c r="E22" s="36" t="n"/>
      <c r="F22" s="36" t="n"/>
      <c r="G22" s="42" t="n">
        <v>1</v>
      </c>
      <c r="H22" s="43" t="inlineStr">
        <is>
          <t>式</t>
        </is>
      </c>
      <c r="I22" s="44">
        <f>K22</f>
        <v>9213300</v>
      </c>
      <c r="J22" s="36" t="n"/>
      <c r="K22" s="44">
        <f>'内訳書(1.換気工事)'!H93</f>
        <v>9213300</v>
      </c>
      <c r="L22" s="45" t="inlineStr">
        <is>
          <t>内訳書 No.1</t>
        </is>
      </c>
      <c r="M22" s="46" t="inlineStr">
        <is>
          <t>①換気工事</t>
        </is>
      </c>
      <c r="N22" s="47">
        <f>'内訳書(1.換気工事)'!O93</f>
        <v>7552540</v>
      </c>
      <c r="O22" s="47">
        <f>'内訳書(1.換気工事)'!P93</f>
        <v>5423193</v>
      </c>
      <c r="P22" s="47">
        <f>K22-N22</f>
        <v>1660760</v>
      </c>
      <c r="Q22" s="48">
        <f>IF(K22=0,"",P22/K22)</f>
        <v>0.18025680266571154</v>
      </c>
    </row>
    <row r="23" ht="24" customHeight="1">
      <c r="A23" s="49" t="inlineStr">
        <is>
          <t>②</t>
        </is>
      </c>
      <c r="B23" s="50" t="inlineStr">
        <is>
          <t>金額変更案 No3・4 ロスナイ中止（検討図 08・減額・代替機器）</t>
        </is>
      </c>
      <c r="C23" s="36" t="n"/>
      <c r="D23" s="36" t="n"/>
      <c r="E23" s="36" t="n"/>
      <c r="F23" s="36" t="n"/>
      <c r="G23" s="51" t="n">
        <v>1</v>
      </c>
      <c r="H23" s="52" t="inlineStr">
        <is>
          <t>式</t>
        </is>
      </c>
      <c r="I23" s="53">
        <f>K23</f>
        <v>413860</v>
      </c>
      <c r="J23" s="36" t="n"/>
      <c r="K23" s="53">
        <f>'内訳書(2.ロスナイ中止)'!H21</f>
        <v>413860</v>
      </c>
      <c r="L23" s="54" t="inlineStr">
        <is>
          <t>内訳書 No.2</t>
        </is>
      </c>
      <c r="M23" s="46" t="inlineStr">
        <is>
          <t>②ロスナイ中止</t>
        </is>
      </c>
      <c r="N23" s="47">
        <f>'内訳書(2.ロスナイ中止)'!O21</f>
        <v>339200</v>
      </c>
      <c r="O23" s="47">
        <f>'内訳書(2.ロスナイ中止)'!P21</f>
        <v>141398</v>
      </c>
      <c r="P23" s="47">
        <f>K23-N23</f>
        <v>74660</v>
      </c>
      <c r="Q23" s="48">
        <f>IF(K23=0,"",P23/K23)</f>
        <v>0.18039916880104384</v>
      </c>
    </row>
    <row r="24" ht="24" customHeight="1">
      <c r="A24" s="41" t="inlineStr">
        <is>
          <t>③</t>
        </is>
      </c>
      <c r="B24" s="35" t="inlineStr">
        <is>
          <t>法定福利費（労務費に係る事業主負担分）</t>
        </is>
      </c>
      <c r="C24" s="36" t="n"/>
      <c r="D24" s="36" t="n"/>
      <c r="E24" s="36" t="n"/>
      <c r="F24" s="36" t="n"/>
      <c r="G24" s="42" t="n">
        <v>1</v>
      </c>
      <c r="H24" s="43" t="inlineStr">
        <is>
          <t>式</t>
        </is>
      </c>
      <c r="I24" s="44">
        <f>K24</f>
        <v>911200</v>
      </c>
      <c r="J24" s="36" t="n"/>
      <c r="K24" s="44">
        <f>'法定福利費内訳明細書'!F26</f>
        <v>911200</v>
      </c>
      <c r="L24" s="45" t="inlineStr">
        <is>
          <t>別紙明細書</t>
        </is>
      </c>
      <c r="M24" s="55" t="inlineStr">
        <is>
          <t>③法定福利費（原価＝提出値）</t>
        </is>
      </c>
      <c r="N24" s="56">
        <f>K24</f>
        <v>911200</v>
      </c>
      <c r="O24" s="40" t="n"/>
      <c r="P24" s="40" t="n"/>
      <c r="Q24" s="40" t="n"/>
    </row>
    <row r="25" ht="24" customHeight="1">
      <c r="A25" s="41" t="inlineStr">
        <is>
          <t>④</t>
        </is>
      </c>
      <c r="B25" s="35" t="inlineStr">
        <is>
          <t>諸経費（現場経費・資材運搬・工事諸経費）</t>
        </is>
      </c>
      <c r="C25" s="36" t="n"/>
      <c r="D25" s="36" t="n"/>
      <c r="E25" s="36" t="n"/>
      <c r="F25" s="36" t="n"/>
      <c r="G25" s="42" t="n">
        <v>1</v>
      </c>
      <c r="H25" s="43" t="inlineStr">
        <is>
          <t>式</t>
        </is>
      </c>
      <c r="I25" s="44">
        <f>K25</f>
        <v>2118000</v>
      </c>
      <c r="J25" s="36" t="n"/>
      <c r="K25" s="44">
        <f>ROUND(SUM(K22:K23)*OVERHEAD_RATE,-3)</f>
        <v>2118000</v>
      </c>
      <c r="L25" s="45" t="str">
        <f>"①〜②計の"&amp;TEXT(OVERHEAD_RATE,"0%")</f>
        <v>①〜②計の22%</v>
      </c>
      <c r="M25" s="55" t="inlineStr">
        <is>
          <t>④諸経費（原価計上なし）</t>
        </is>
      </c>
      <c r="N25" s="56" t="n">
        <v>0</v>
      </c>
      <c r="O25" s="40" t="n"/>
      <c r="P25" s="40" t="n"/>
      <c r="Q25" s="40" t="n"/>
    </row>
    <row r="26" ht="24" customHeight="1">
      <c r="A26" s="34" t="n"/>
      <c r="B26" s="36" t="n"/>
      <c r="C26" s="36" t="n"/>
      <c r="D26" s="36" t="n"/>
      <c r="E26" s="36" t="n"/>
      <c r="F26" s="36" t="n"/>
      <c r="G26" s="36" t="n"/>
      <c r="H26" s="36" t="n"/>
      <c r="I26" s="36" t="n"/>
      <c r="J26" s="36" t="n"/>
      <c r="K26" s="36" t="n"/>
      <c r="L26" s="37" t="n"/>
      <c r="M26" s="40" t="n"/>
      <c r="N26" s="40" t="n"/>
      <c r="O26" s="40" t="n"/>
      <c r="P26" s="40" t="n"/>
      <c r="Q26" s="40" t="n"/>
    </row>
    <row r="27" ht="24" customHeight="1">
      <c r="A27" s="57" t="n"/>
      <c r="B27" s="58" t="inlineStr">
        <is>
          <t>出精値引き</t>
        </is>
      </c>
      <c r="C27" s="59" t="n"/>
      <c r="D27" s="59" t="n"/>
      <c r="E27" s="59" t="n"/>
      <c r="F27" s="59" t="n"/>
      <c r="G27" s="59" t="n"/>
      <c r="H27" s="59" t="n"/>
      <c r="I27" s="59" t="n"/>
      <c r="J27" s="59" t="n"/>
      <c r="K27" s="60">
        <f>IF(TARGET="",FLOOR(SUM(K22:K25),ROUND_UNIT)-SUM(K22:K25),TARGET-SUM(K22:K25))</f>
        <v>-56360</v>
      </c>
      <c r="L27" s="61" t="inlineStr">
        <is>
          <t>端数調整</t>
        </is>
      </c>
      <c r="M27" s="62" t="inlineStr">
        <is>
          <t>出精値引き（原価なし・粗利から控除）</t>
        </is>
      </c>
      <c r="N27" s="63" t="n">
        <v>0</v>
      </c>
      <c r="O27" s="64" t="n"/>
      <c r="P27" s="65">
        <f>K27</f>
        <v>-56360</v>
      </c>
      <c r="Q27" s="64" t="n"/>
    </row>
    <row r="28" ht="24" customHeight="1">
      <c r="A28" s="66" t="n"/>
      <c r="B28" s="67" t="inlineStr">
        <is>
          <t xml:space="preserve">　合　　計</t>
        </is>
      </c>
      <c r="C28" s="68" t="n"/>
      <c r="D28" s="68" t="n"/>
      <c r="E28" s="68" t="n"/>
      <c r="F28" s="68" t="n"/>
      <c r="G28" s="68" t="n"/>
      <c r="H28" s="68" t="n"/>
      <c r="I28" s="68" t="n"/>
      <c r="J28" s="68" t="n"/>
      <c r="K28" s="69">
        <f>SUM(K22:K27)</f>
        <v>12600000</v>
      </c>
      <c r="L28" s="70" t="inlineStr">
        <is>
          <t>（税別）</t>
        </is>
      </c>
      <c r="M28" s="71" t="inlineStr">
        <is>
          <t>合計（原価合計／粗利／粗利率）</t>
        </is>
      </c>
      <c r="N28" s="72">
        <f>SUM(N22:N27)</f>
        <v>8802940</v>
      </c>
      <c r="O28" s="42">
        <f>SUM(O22:O27)</f>
        <v>5564591</v>
      </c>
      <c r="P28" s="72">
        <f>K28-N28</f>
        <v>3797060</v>
      </c>
      <c r="Q28" s="73">
        <f>IF(K28=0,"",P28/K28)</f>
        <v>0.30135396825396826</v>
      </c>
    </row>
    <row r="29" ht="12" customHeight="1"/>
    <row r="30" ht="38.6" customHeight="1">
      <c r="A30" s="74" t="inlineStr">
        <is>
          <t>※</t>
        </is>
      </c>
      <c r="B30" s="75" t="inlineStr">
        <is>
          <t>本見積は機械設備図（図面No.06 若本建築事務所 '26.1.31）に基づき当社にて数量を拾い出して積算しております。金額変更案検討図（図面No.08）の No3・4 ロスナイ中止は内訳書 No.2（朱書き）に減額・代替機器を計上しています。空調工事は別途御見積書によります。実施数量との差異は別途精算とさせていただきます。</t>
        </is>
      </c>
    </row>
    <row r="31" ht="26.8" customHeight="1">
      <c r="A31" s="74" t="inlineStr">
        <is>
          <t>※</t>
        </is>
      </c>
      <c r="B31" s="75" t="inlineStr">
        <is>
          <t>空調機器・換気機器（室内機・室外機・リモコン・換気扇・全熱交換器・屋外機架台・ドレンアップ等 機器表記載の本体および付属品）は元請様手配のため含みません（据付・取付費のみ計上）。</t>
        </is>
      </c>
    </row>
    <row r="32" ht="26.8" customHeight="1">
      <c r="A32" s="74" t="inlineStr">
        <is>
          <t>※</t>
        </is>
      </c>
      <c r="B32" s="75" t="inlineStr">
        <is>
          <t>機器の電源供給・接地等の電気工事、基礎・躯体貫通穴明け・スリーブ穴埋め・天井点検口等の建築工事、衛生・消火・ガス・浄化槽設備、自動制御設備は含みません。</t>
        </is>
      </c>
      <c r="M32" s="8" t="inlineStr">
        <is>
          <t>粗利率別 参考提出額（税別・万円未満切上げ）</t>
        </is>
      </c>
      <c r="N32" s="76" t="inlineStr">
        <is>
          <t>参考提出額</t>
        </is>
      </c>
      <c r="O32" s="76" t="inlineStr">
        <is>
          <t>必要提出係数</t>
        </is>
      </c>
    </row>
    <row r="33" ht="14.9" customHeight="1">
      <c r="A33" s="74" t="inlineStr">
        <is>
          <t>※</t>
        </is>
      </c>
      <c r="B33" s="75" t="inlineStr">
        <is>
          <t>機器・資材の揚重機（クレーン・レッカー等）、仮設設備、産業廃棄物の処分は元請様にてご手配・ご負担願います。</t>
        </is>
      </c>
      <c r="M33" s="77" t="n">
        <v>0.1</v>
      </c>
      <c r="N33" s="42">
        <f>ROUNDUP($N$28/(1-M33),-4)</f>
        <v>9790000</v>
      </c>
      <c r="O33" s="78">
        <f>IF(SUM($N$22:$N$23)=0,"",ROUND(($N$28/(1-M33)-$N$24-$K$25)/SUM($N$22:$N$23),3))</f>
        <v>0.856</v>
      </c>
    </row>
    <row r="34" ht="26.8" customHeight="1">
      <c r="A34" s="74" t="inlineStr">
        <is>
          <t>※</t>
        </is>
      </c>
      <c r="B34" s="75" t="inlineStr">
        <is>
          <t>一式計上および想定数量の項目は別紙「御見積条件」記載の前提にて計上しており、実数量確定後に精算させていただきます。</t>
        </is>
      </c>
      <c r="M34" s="77" t="n">
        <v>0.15</v>
      </c>
      <c r="N34" s="42">
        <f>ROUNDUP($N$28/(1-M34),-4)</f>
        <v>10360000</v>
      </c>
      <c r="O34" s="78">
        <f>IF(SUM($N$22:$N$23)=0,"",ROUND(($N$28/(1-M34)-$N$24-$K$25)/SUM($N$22:$N$23),3))</f>
        <v>0.928</v>
      </c>
    </row>
    <row r="35" ht="14.9" customHeight="1">
      <c r="A35" s="74" t="inlineStr">
        <is>
          <t>※</t>
        </is>
      </c>
      <c r="B35" s="75" t="inlineStr">
        <is>
          <t>本見積書に記載なき事項については別途とさせて頂きます。工事に係る電気・水道は無償支給願います。</t>
        </is>
      </c>
      <c r="M35" s="77" t="n">
        <v>0.2</v>
      </c>
      <c r="N35" s="42">
        <f>ROUNDUP($N$28/(1-M35),-4)</f>
        <v>11010000</v>
      </c>
      <c r="O35" s="78">
        <f>IF(SUM($N$22:$N$23)=0,"",ROUND(($N$28/(1-M35)-$N$24-$K$25)/SUM($N$22:$N$23),3))</f>
        <v>1.01</v>
      </c>
    </row>
    <row r="36" ht="26.8" customHeight="1">
      <c r="A36" s="74" t="inlineStr">
        <is>
          <t>※</t>
        </is>
      </c>
      <c r="B36" s="75" t="inlineStr">
        <is>
          <t>本見積金額には消費税は含まれておりません。有効期限内でも銅管・鋼材等の市況が著しく変動した場合は再見積をさせていただくことがあります。</t>
        </is>
      </c>
      <c r="M36" s="77" t="n">
        <v>0.25</v>
      </c>
      <c r="N36" s="42">
        <f>ROUNDUP($N$28/(1-M36),-4)</f>
        <v>11740000</v>
      </c>
      <c r="O36" s="78">
        <f>IF(SUM($N$22:$N$23)=0,"",ROUND(($N$28/(1-M36)-$N$24-$K$25)/SUM($N$22:$N$23),3))</f>
        <v>1.103</v>
      </c>
    </row>
    <row r="37" ht="14.9" customHeight="1">
      <c r="A37" s="74" t="inlineStr">
        <is>
          <t>※</t>
        </is>
      </c>
      <c r="B37" s="75" t="inlineStr">
        <is>
          <t>詳細条件は別紙「御見積条件」をご参照ください。</t>
        </is>
      </c>
      <c r="M37" s="77" t="n">
        <v>0.3</v>
      </c>
      <c r="N37" s="42">
        <f>ROUNDUP($N$28/(1-M37),-4)</f>
        <v>12580000</v>
      </c>
      <c r="O37" s="78">
        <f>IF(SUM($N$22:$N$23)=0,"",ROUND(($N$28/(1-M37)-$N$24-$K$25)/SUM($N$22:$N$23),3))</f>
        <v>1.21</v>
      </c>
    </row>
    <row r="38">
      <c r="M38" s="24" t="inlineStr">
        <is>
          <t>※ 必要提出係数は諸経費を現状額に固定した場合の目安</t>
        </is>
      </c>
    </row>
  </sheetData>
  <mergeCells count="43">
    <mergeCell ref="B35:L35"/>
    <mergeCell ref="A15:B15"/>
    <mergeCell ref="D12:G12"/>
    <mergeCell ref="B25:F25"/>
    <mergeCell ref="I27:J27"/>
    <mergeCell ref="D17:L17"/>
    <mergeCell ref="J4:L4"/>
    <mergeCell ref="B22:F22"/>
    <mergeCell ref="I26:J26"/>
    <mergeCell ref="B27:F27"/>
    <mergeCell ref="D16:L16"/>
    <mergeCell ref="D14:G14"/>
    <mergeCell ref="B31:L31"/>
    <mergeCell ref="A16:B16"/>
    <mergeCell ref="B21:L21"/>
    <mergeCell ref="A5:F5"/>
    <mergeCell ref="I25:J25"/>
    <mergeCell ref="A1:L2"/>
    <mergeCell ref="B7:E7"/>
    <mergeCell ref="B23:F23"/>
    <mergeCell ref="I22:J22"/>
    <mergeCell ref="I28:J28"/>
    <mergeCell ref="A12:B12"/>
    <mergeCell ref="D15:L15"/>
    <mergeCell ref="I24:J24"/>
    <mergeCell ref="B28:F28"/>
    <mergeCell ref="A9:F9"/>
    <mergeCell ref="B19:F19"/>
    <mergeCell ref="B34:L34"/>
    <mergeCell ref="B37:L37"/>
    <mergeCell ref="A14:B14"/>
    <mergeCell ref="I23:J23"/>
    <mergeCell ref="D13:G13"/>
    <mergeCell ref="A17:B17"/>
    <mergeCell ref="B24:F24"/>
    <mergeCell ref="B30:L30"/>
    <mergeCell ref="B33:L33"/>
    <mergeCell ref="I19:J19"/>
    <mergeCell ref="B20:L20"/>
    <mergeCell ref="B36:L36"/>
    <mergeCell ref="B32:L32"/>
    <mergeCell ref="B26:F26"/>
    <mergeCell ref="K3:L3"/>
  </mergeCells>
  <printOptions horizontalCentered="1" gridLines="0"/>
  <pageMargins left="0.4724409448818897" right="0.4724409448818897" top="0.5905511811023622" bottom="0.5905511811023622" header="0.3149606299212598" footer="0.2362204724409449"/>
  <pageSetup orientation="portrait" paperSize="9" fitToHeight="1" fitToWidth="1"/>
</worksheet>
</file>

<file path=xl/worksheets/sheet2.xml><?xml version="1.0" encoding="utf-8"?>
<worksheet xmlns="http://schemas.openxmlformats.org/spreadsheetml/2006/main">
  <sheetPr>
    <outlinePr summaryBelow="1" summaryRight="1"/>
    <pageSetUpPr fitToPage="1"/>
  </sheetPr>
  <dimension ref="A1:V93"/>
  <sheetViews>
    <sheetView showGridLines="0" tabSelected="0" workbookViewId="0">
      <selection activeCell="A1" sqref="A1"/>
    </sheetView>
  </sheetViews>
  <sheetFormatPr baseColWidth="8" defaultRowHeight="15"/>
  <cols>
    <col width="4" customWidth="1" min="1" max="1"/>
    <col width="27" customWidth="1" min="2" max="2"/>
    <col width="24" customWidth="1" min="3" max="3"/>
    <col width="4" customWidth="1" min="4" max="4"/>
    <col width="8" customWidth="1" min="5" max="5"/>
    <col width="5" customWidth="1" min="6" max="6"/>
    <col width="10" customWidth="1" min="7" max="7"/>
    <col width="13" customWidth="1" min="8" max="8"/>
    <col width="15" customWidth="1" min="9" max="9"/>
    <col width="10" customWidth="1" min="10" max="10"/>
    <col width="7" customWidth="1" min="11" max="11"/>
    <col width="10" customWidth="1" min="12" max="12"/>
    <col width="10" customWidth="1" min="13" max="13"/>
    <col width="7" customWidth="1" min="14" max="14"/>
    <col width="12" customWidth="1" min="15" max="15"/>
    <col width="12" customWidth="1" min="16" max="16"/>
    <col width="9" customWidth="1" min="17" max="17"/>
    <col width="12" customWidth="1" min="18" max="18"/>
    <col width="8" customWidth="1" min="19" max="19"/>
    <col width="11" customWidth="1" min="20" max="20"/>
    <col width="8" customWidth="1" min="21" max="21"/>
    <col width="40" customWidth="1" min="22" max="22"/>
  </cols>
  <sheetData>
    <row r="1" ht="26" customHeight="1">
      <c r="A1" s="79" t="inlineStr">
        <is>
          <t>内　訳　書</t>
        </is>
      </c>
      <c r="J1" s="80" t="inlineStr">
        <is>
          <t>原　価　内　訳　書（内部用・印刷範囲外）</t>
        </is>
      </c>
      <c r="K1" s="81" t="n"/>
      <c r="L1" s="81" t="n"/>
      <c r="M1" s="81" t="n"/>
      <c r="N1" s="81" t="n"/>
      <c r="O1" s="81" t="n"/>
      <c r="P1" s="81" t="n"/>
      <c r="Q1" s="81" t="n"/>
      <c r="R1" s="81" t="n"/>
      <c r="S1" s="81" t="n"/>
      <c r="T1" s="81" t="n"/>
      <c r="U1" s="81" t="n"/>
      <c r="V1" s="81" t="n"/>
    </row>
    <row r="2" ht="18" customHeight="1">
      <c r="A2" s="22" t="inlineStr">
        <is>
          <t>工事名：（仮称）サンフレッチェ広島　三矢寮新築工事　空調設備工事　換気工事</t>
        </is>
      </c>
      <c r="I2" s="2" t="inlineStr">
        <is>
          <t>内訳書 No.1</t>
        </is>
      </c>
    </row>
    <row r="3" ht="20" customHeight="1">
      <c r="A3" s="82" t="inlineStr">
        <is>
          <t>名　　称</t>
        </is>
      </c>
      <c r="B3" s="30" t="n"/>
      <c r="C3" s="83" t="inlineStr">
        <is>
          <t>規格・寸法</t>
        </is>
      </c>
      <c r="D3" s="30" t="n"/>
      <c r="E3" s="83" t="inlineStr">
        <is>
          <t>数 量</t>
        </is>
      </c>
      <c r="F3" s="83" t="inlineStr">
        <is>
          <t>単位</t>
        </is>
      </c>
      <c r="G3" s="83" t="inlineStr">
        <is>
          <t>単　価</t>
        </is>
      </c>
      <c r="H3" s="83" t="inlineStr">
        <is>
          <t>金　　額</t>
        </is>
      </c>
      <c r="I3" s="84" t="inlineStr">
        <is>
          <t>備　考</t>
        </is>
      </c>
      <c r="J3" s="85" t="inlineStr">
        <is>
          <t>材料原価</t>
        </is>
      </c>
      <c r="K3" s="85" t="inlineStr">
        <is>
          <t>人工/単位</t>
        </is>
      </c>
      <c r="L3" s="85" t="inlineStr">
        <is>
          <t>労務原価</t>
        </is>
      </c>
      <c r="M3" s="85" t="inlineStr">
        <is>
          <t>基準原価単価</t>
        </is>
      </c>
      <c r="N3" s="85" t="inlineStr">
        <is>
          <t>提出係数</t>
        </is>
      </c>
      <c r="O3" s="85" t="inlineStr">
        <is>
          <t>基準原価</t>
        </is>
      </c>
      <c r="P3" s="85" t="inlineStr">
        <is>
          <t>労務費(提出)</t>
        </is>
      </c>
      <c r="Q3" s="85" t="inlineStr">
        <is>
          <t>数量根拠</t>
        </is>
      </c>
      <c r="R3" s="85" t="inlineStr">
        <is>
          <t>粗利</t>
        </is>
      </c>
      <c r="S3" s="85" t="inlineStr">
        <is>
          <t>粗利率</t>
        </is>
      </c>
      <c r="T3" s="85" t="inlineStr">
        <is>
          <t>参考定価ベース</t>
        </is>
      </c>
      <c r="U3" s="85" t="inlineStr">
        <is>
          <t>当社/参考</t>
        </is>
      </c>
      <c r="V3" s="85" t="inlineStr">
        <is>
          <t>単価出典・メモ（内部）</t>
        </is>
      </c>
    </row>
    <row r="4" ht="18" customHeight="1">
      <c r="A4" s="86" t="inlineStr">
        <is>
          <t>１．換気工事（機械設備図 06）</t>
        </is>
      </c>
      <c r="B4" s="38" t="n"/>
      <c r="C4" s="38" t="n"/>
      <c r="D4" s="38" t="n"/>
      <c r="E4" s="38" t="n"/>
      <c r="F4" s="38" t="n"/>
      <c r="G4" s="38" t="n"/>
      <c r="H4" s="38" t="n"/>
      <c r="I4" s="87" t="n"/>
      <c r="J4" s="38" t="n"/>
      <c r="K4" s="38" t="n"/>
      <c r="L4" s="38" t="n"/>
      <c r="M4" s="38" t="n"/>
      <c r="N4" s="38" t="n"/>
      <c r="O4" s="38" t="n"/>
      <c r="P4" s="38" t="n"/>
      <c r="Q4" s="38" t="n"/>
      <c r="R4" s="38" t="n"/>
      <c r="S4" s="38" t="n"/>
      <c r="T4" s="38" t="n"/>
      <c r="U4" s="38" t="n"/>
      <c r="V4" s="38" t="n"/>
    </row>
    <row r="5" ht="18" customHeight="1">
      <c r="A5" s="88" t="n"/>
      <c r="B5" s="40" t="n"/>
      <c r="C5" s="40" t="n"/>
      <c r="D5" s="40" t="n"/>
      <c r="E5" s="40" t="n"/>
      <c r="F5" s="40" t="n"/>
      <c r="G5" s="40" t="n"/>
      <c r="H5" s="40" t="n"/>
      <c r="I5" s="89" t="n"/>
      <c r="J5" s="40" t="n"/>
      <c r="K5" s="40" t="n"/>
      <c r="L5" s="40" t="n"/>
      <c r="M5" s="40" t="n"/>
      <c r="N5" s="40" t="n"/>
      <c r="O5" s="40" t="n"/>
      <c r="P5" s="40" t="n"/>
      <c r="Q5" s="40" t="n"/>
      <c r="R5" s="40" t="n"/>
      <c r="S5" s="40" t="n"/>
      <c r="T5" s="40" t="n"/>
      <c r="U5" s="40" t="n"/>
      <c r="V5" s="40" t="n"/>
    </row>
    <row r="6" ht="18" customHeight="1">
      <c r="A6" s="90" t="inlineStr">
        <is>
          <t>（1）換気機器据付（機器は元請様支給）</t>
        </is>
      </c>
      <c r="B6" s="40" t="n"/>
      <c r="C6" s="40" t="n"/>
      <c r="D6" s="40" t="n"/>
      <c r="E6" s="40" t="n"/>
      <c r="F6" s="40" t="n"/>
      <c r="G6" s="40" t="n"/>
      <c r="H6" s="40" t="n"/>
      <c r="I6" s="89" t="n"/>
      <c r="J6" s="40" t="n"/>
      <c r="K6" s="40" t="n"/>
      <c r="L6" s="40" t="n"/>
      <c r="M6" s="40" t="n"/>
      <c r="N6" s="40" t="n"/>
      <c r="O6" s="40" t="n"/>
      <c r="P6" s="40" t="n"/>
      <c r="Q6" s="40" t="n"/>
      <c r="R6" s="40" t="n"/>
      <c r="S6" s="40" t="n"/>
      <c r="T6" s="40" t="n"/>
      <c r="U6" s="40" t="n"/>
      <c r="V6" s="40" t="n"/>
    </row>
    <row r="7" ht="18" customHeight="1">
      <c r="A7" s="91" t="inlineStr">
        <is>
          <t xml:space="preserve">　FE-A1 パイプファン 据付</t>
        </is>
      </c>
      <c r="B7" s="40" t="n"/>
      <c r="C7" s="92" t="inlineStr">
        <is>
          <t>V-12PS8 150φ ゴミ庫1・倉庫1</t>
        </is>
      </c>
      <c r="D7" s="40" t="n"/>
      <c r="E7" s="93" t="n">
        <v>2</v>
      </c>
      <c r="F7" s="94" t="inlineStr">
        <is>
          <t>台</t>
        </is>
      </c>
      <c r="G7" s="95">
        <f>IF(M7="","",ROUND(M7*N7,-1))</f>
        <v>7320</v>
      </c>
      <c r="H7" s="93">
        <f>IF(G7="","",ROUND(E7*G7,0))</f>
        <v>14640</v>
      </c>
      <c r="I7" s="96" t="inlineStr">
        <is>
          <t>本体は元請様支給</t>
        </is>
      </c>
      <c r="J7" s="97" t="n">
        <v>300</v>
      </c>
      <c r="K7" s="98" t="n">
        <v>0.3</v>
      </c>
      <c r="L7" s="95">
        <f>ROUND(K7*LABOR_DAY,0)</f>
        <v>5700</v>
      </c>
      <c r="M7" s="95">
        <f>J7+L7</f>
        <v>6000</v>
      </c>
      <c r="N7" s="99">
        <f>COEF</f>
        <v>1.22</v>
      </c>
      <c r="O7" s="93">
        <f>E7*M7</f>
        <v>12000</v>
      </c>
      <c r="P7" s="93">
        <f>ROUND(E7*L7*N7,0)</f>
        <v>13908</v>
      </c>
      <c r="Q7" s="100" t="inlineStr">
        <is>
          <t>図面カウント</t>
        </is>
      </c>
      <c r="R7" s="93">
        <f>IF(H7="","",H7-O7)</f>
        <v>2640</v>
      </c>
      <c r="S7" s="101">
        <f>IF(OR(H7="",H7=0),"",R7/H7)</f>
        <v>0.18032786885245902</v>
      </c>
      <c r="T7" s="95" t="n"/>
      <c r="U7" s="102" t="n"/>
      <c r="V7" s="103" t="inlineStr">
        <is>
          <t>パイプファン取付（参考実績なし）｜</t>
        </is>
      </c>
    </row>
    <row r="8" ht="18" customHeight="1">
      <c r="A8" s="91" t="inlineStr">
        <is>
          <t xml:space="preserve">　FE-A2 天井扇 据付</t>
        </is>
      </c>
      <c r="B8" s="40" t="n"/>
      <c r="C8" s="92" t="inlineStr">
        <is>
          <t>VD-15ZC14 100φ 管理人和室洋室クローク・面談室</t>
        </is>
      </c>
      <c r="D8" s="40" t="n"/>
      <c r="E8" s="93" t="n">
        <v>2</v>
      </c>
      <c r="F8" s="94" t="inlineStr">
        <is>
          <t>台</t>
        </is>
      </c>
      <c r="G8" s="95">
        <f>IF(M8="","",ROUND(M8*N8,-1))</f>
        <v>11040</v>
      </c>
      <c r="H8" s="93">
        <f>IF(G8="","",ROUND(E8*G8,0))</f>
        <v>22080</v>
      </c>
      <c r="I8" s="96" t="inlineStr">
        <is>
          <t>本体は元請様支給</t>
        </is>
      </c>
      <c r="J8" s="97" t="n">
        <v>500</v>
      </c>
      <c r="K8" s="98" t="n">
        <v>0.45</v>
      </c>
      <c r="L8" s="95">
        <f>ROUND(K8*LABOR_DAY,0)</f>
        <v>8550</v>
      </c>
      <c r="M8" s="95">
        <f>J8+L8</f>
        <v>9050</v>
      </c>
      <c r="N8" s="99">
        <f>COEF</f>
        <v>1.22</v>
      </c>
      <c r="O8" s="93">
        <f>E8*M8</f>
        <v>18100</v>
      </c>
      <c r="P8" s="93">
        <f>ROUND(E8*L8*N8,0)</f>
        <v>20862</v>
      </c>
      <c r="Q8" s="100" t="inlineStr">
        <is>
          <t>図面カウント</t>
        </is>
      </c>
      <c r="R8" s="93">
        <f>IF(H8="","",H8-O8)</f>
        <v>3980</v>
      </c>
      <c r="S8" s="101">
        <f>IF(OR(H8="",H8=0),"",R8/H8)</f>
        <v>0.1802536231884058</v>
      </c>
      <c r="T8" s="95" t="n"/>
      <c r="U8" s="102" t="n"/>
      <c r="V8" s="103" t="inlineStr">
        <is>
          <t>天井扇取付（参考実績なし）｜</t>
        </is>
      </c>
    </row>
    <row r="9" ht="18" customHeight="1">
      <c r="A9" s="91" t="inlineStr">
        <is>
          <t xml:space="preserve">　FE-A3 天井扇 据付</t>
        </is>
      </c>
      <c r="B9" s="40" t="n"/>
      <c r="C9" s="92" t="inlineStr">
        <is>
          <t>VD-10ZC14 管理人WC</t>
        </is>
      </c>
      <c r="D9" s="40" t="n"/>
      <c r="E9" s="93" t="n">
        <v>1</v>
      </c>
      <c r="F9" s="94" t="inlineStr">
        <is>
          <t>台</t>
        </is>
      </c>
      <c r="G9" s="95">
        <f>IF(M9="","",ROUND(M9*N9,-1))</f>
        <v>11040</v>
      </c>
      <c r="H9" s="93">
        <f>IF(G9="","",ROUND(E9*G9,0))</f>
        <v>11040</v>
      </c>
      <c r="I9" s="96" t="inlineStr">
        <is>
          <t>本体は元請様支給</t>
        </is>
      </c>
      <c r="J9" s="97" t="n">
        <v>500</v>
      </c>
      <c r="K9" s="98" t="n">
        <v>0.45</v>
      </c>
      <c r="L9" s="95">
        <f>ROUND(K9*LABOR_DAY,0)</f>
        <v>8550</v>
      </c>
      <c r="M9" s="95">
        <f>J9+L9</f>
        <v>9050</v>
      </c>
      <c r="N9" s="99">
        <f>COEF</f>
        <v>1.22</v>
      </c>
      <c r="O9" s="93">
        <f>E9*M9</f>
        <v>9050</v>
      </c>
      <c r="P9" s="93">
        <f>ROUND(E9*L9*N9,0)</f>
        <v>10431</v>
      </c>
      <c r="Q9" s="100" t="inlineStr">
        <is>
          <t>図面カウント</t>
        </is>
      </c>
      <c r="R9" s="93">
        <f>IF(H9="","",H9-O9)</f>
        <v>1990</v>
      </c>
      <c r="S9" s="101">
        <f>IF(OR(H9="",H9=0),"",R9/H9)</f>
        <v>0.1802536231884058</v>
      </c>
      <c r="T9" s="95" t="n"/>
      <c r="U9" s="102" t="n"/>
      <c r="V9" s="103" t="inlineStr">
        <is>
          <t>天井扇取付（参考実績なし）｜</t>
        </is>
      </c>
    </row>
    <row r="10" ht="18" customHeight="1">
      <c r="A10" s="91" t="inlineStr">
        <is>
          <t xml:space="preserve">　FE-A4 親子扇 据付</t>
        </is>
      </c>
      <c r="B10" s="40" t="n"/>
      <c r="C10" s="92" t="inlineStr">
        <is>
          <t>VD-10ZFC14 管理人洗面UB</t>
        </is>
      </c>
      <c r="D10" s="40" t="n"/>
      <c r="E10" s="93" t="n">
        <v>1</v>
      </c>
      <c r="F10" s="94" t="inlineStr">
        <is>
          <t>台</t>
        </is>
      </c>
      <c r="G10" s="95">
        <f>IF(M10="","",ROUND(M10*N10,-1))</f>
        <v>11040</v>
      </c>
      <c r="H10" s="93">
        <f>IF(G10="","",ROUND(E10*G10,0))</f>
        <v>11040</v>
      </c>
      <c r="I10" s="96" t="inlineStr">
        <is>
          <t>本体は元請様支給</t>
        </is>
      </c>
      <c r="J10" s="97" t="n">
        <v>500</v>
      </c>
      <c r="K10" s="98" t="n">
        <v>0.45</v>
      </c>
      <c r="L10" s="95">
        <f>ROUND(K10*LABOR_DAY,0)</f>
        <v>8550</v>
      </c>
      <c r="M10" s="95">
        <f>J10+L10</f>
        <v>9050</v>
      </c>
      <c r="N10" s="99">
        <f>COEF</f>
        <v>1.22</v>
      </c>
      <c r="O10" s="93">
        <f>E10*M10</f>
        <v>9050</v>
      </c>
      <c r="P10" s="93">
        <f>ROUND(E10*L10*N10,0)</f>
        <v>10431</v>
      </c>
      <c r="Q10" s="100" t="inlineStr">
        <is>
          <t>図面カウント</t>
        </is>
      </c>
      <c r="R10" s="93">
        <f>IF(H10="","",H10-O10)</f>
        <v>1990</v>
      </c>
      <c r="S10" s="101">
        <f>IF(OR(H10="",H10=0),"",R10/H10)</f>
        <v>0.1802536231884058</v>
      </c>
      <c r="T10" s="95" t="n"/>
      <c r="U10" s="102" t="n"/>
      <c r="V10" s="103" t="inlineStr">
        <is>
          <t>天井扇取付（参考実績なし）｜</t>
        </is>
      </c>
    </row>
    <row r="11" ht="18" customHeight="1">
      <c r="A11" s="91" t="inlineStr">
        <is>
          <t xml:space="preserve">　FE-A5 天井扇 据付</t>
        </is>
      </c>
      <c r="B11" s="40" t="n"/>
      <c r="C11" s="92" t="inlineStr">
        <is>
          <t>VD-15ZC14 管理人室</t>
        </is>
      </c>
      <c r="D11" s="40" t="n"/>
      <c r="E11" s="93" t="n">
        <v>2</v>
      </c>
      <c r="F11" s="94" t="inlineStr">
        <is>
          <t>台</t>
        </is>
      </c>
      <c r="G11" s="95">
        <f>IF(M11="","",ROUND(M11*N11,-1))</f>
        <v>11040</v>
      </c>
      <c r="H11" s="93">
        <f>IF(G11="","",ROUND(E11*G11,0))</f>
        <v>22080</v>
      </c>
      <c r="I11" s="96" t="inlineStr">
        <is>
          <t>本体は元請様支給</t>
        </is>
      </c>
      <c r="J11" s="97" t="n">
        <v>500</v>
      </c>
      <c r="K11" s="98" t="n">
        <v>0.45</v>
      </c>
      <c r="L11" s="95">
        <f>ROUND(K11*LABOR_DAY,0)</f>
        <v>8550</v>
      </c>
      <c r="M11" s="95">
        <f>J11+L11</f>
        <v>9050</v>
      </c>
      <c r="N11" s="99">
        <f>COEF</f>
        <v>1.22</v>
      </c>
      <c r="O11" s="93">
        <f>E11*M11</f>
        <v>18100</v>
      </c>
      <c r="P11" s="93">
        <f>ROUND(E11*L11*N11,0)</f>
        <v>20862</v>
      </c>
      <c r="Q11" s="100" t="inlineStr">
        <is>
          <t>図面カウント</t>
        </is>
      </c>
      <c r="R11" s="93">
        <f>IF(H11="","",H11-O11)</f>
        <v>3980</v>
      </c>
      <c r="S11" s="101">
        <f>IF(OR(H11="",H11=0),"",R11/H11)</f>
        <v>0.1802536231884058</v>
      </c>
      <c r="T11" s="95" t="n"/>
      <c r="U11" s="102" t="n"/>
      <c r="V11" s="103" t="inlineStr">
        <is>
          <t>天井扇取付（参考実績なし）｜</t>
        </is>
      </c>
    </row>
    <row r="12" ht="18" customHeight="1">
      <c r="A12" s="91" t="inlineStr">
        <is>
          <t xml:space="preserve">　FE-A6 中間ファン 据付</t>
        </is>
      </c>
      <c r="B12" s="40" t="n"/>
      <c r="C12" s="92" t="inlineStr">
        <is>
          <t>BFS-50SYA2 200φ 1階男性WC</t>
        </is>
      </c>
      <c r="D12" s="40" t="n"/>
      <c r="E12" s="93" t="n">
        <v>1</v>
      </c>
      <c r="F12" s="94" t="inlineStr">
        <is>
          <t>台</t>
        </is>
      </c>
      <c r="G12" s="95">
        <f>IF(M12="","",ROUND(M12*N12,-1))</f>
        <v>30260</v>
      </c>
      <c r="H12" s="93">
        <f>IF(G12="","",ROUND(E12*G12,0))</f>
        <v>30260</v>
      </c>
      <c r="I12" s="96" t="inlineStr">
        <is>
          <t>本体は元請様支給</t>
        </is>
      </c>
      <c r="J12" s="97" t="n">
        <v>2000</v>
      </c>
      <c r="K12" s="98" t="n">
        <v>1.2</v>
      </c>
      <c r="L12" s="95">
        <f>ROUND(K12*LABOR_DAY,0)</f>
        <v>22800</v>
      </c>
      <c r="M12" s="95">
        <f>J12+L12</f>
        <v>24800</v>
      </c>
      <c r="N12" s="99">
        <f>COEF</f>
        <v>1.22</v>
      </c>
      <c r="O12" s="93">
        <f>E12*M12</f>
        <v>24800</v>
      </c>
      <c r="P12" s="93">
        <f>ROUND(E12*L12*N12,0)</f>
        <v>27816</v>
      </c>
      <c r="Q12" s="100" t="inlineStr">
        <is>
          <t>図面カウント</t>
        </is>
      </c>
      <c r="R12" s="93">
        <f>IF(H12="","",H12-O12)</f>
        <v>5460</v>
      </c>
      <c r="S12" s="101">
        <f>IF(OR(H12="",H12=0),"",R12/H12)</f>
        <v>0.18043621943159285</v>
      </c>
      <c r="T12" s="95" t="n"/>
      <c r="U12" s="102" t="n"/>
      <c r="V12" s="103" t="inlineStr">
        <is>
          <t>中間ファン（防振吊）取付｜防振吊金具共</t>
        </is>
      </c>
    </row>
    <row r="13" ht="18" customHeight="1">
      <c r="A13" s="91" t="inlineStr">
        <is>
          <t xml:space="preserve">　FE-A7 天井扇 据付</t>
        </is>
      </c>
      <c r="B13" s="40" t="n"/>
      <c r="C13" s="92" t="inlineStr">
        <is>
          <t>VD-17ZSC14 1階多目的WC</t>
        </is>
      </c>
      <c r="D13" s="40" t="n"/>
      <c r="E13" s="93" t="n">
        <v>1</v>
      </c>
      <c r="F13" s="94" t="inlineStr">
        <is>
          <t>台</t>
        </is>
      </c>
      <c r="G13" s="95">
        <f>IF(M13="","",ROUND(M13*N13,-1))</f>
        <v>11040</v>
      </c>
      <c r="H13" s="93">
        <f>IF(G13="","",ROUND(E13*G13,0))</f>
        <v>11040</v>
      </c>
      <c r="I13" s="96" t="inlineStr">
        <is>
          <t>本体は元請様支給</t>
        </is>
      </c>
      <c r="J13" s="97" t="n">
        <v>500</v>
      </c>
      <c r="K13" s="98" t="n">
        <v>0.45</v>
      </c>
      <c r="L13" s="95">
        <f>ROUND(K13*LABOR_DAY,0)</f>
        <v>8550</v>
      </c>
      <c r="M13" s="95">
        <f>J13+L13</f>
        <v>9050</v>
      </c>
      <c r="N13" s="99">
        <f>COEF</f>
        <v>1.22</v>
      </c>
      <c r="O13" s="93">
        <f>E13*M13</f>
        <v>9050</v>
      </c>
      <c r="P13" s="93">
        <f>ROUND(E13*L13*N13,0)</f>
        <v>10431</v>
      </c>
      <c r="Q13" s="100" t="inlineStr">
        <is>
          <t>図面カウント</t>
        </is>
      </c>
      <c r="R13" s="93">
        <f>IF(H13="","",H13-O13)</f>
        <v>1990</v>
      </c>
      <c r="S13" s="101">
        <f>IF(OR(H13="",H13=0),"",R13/H13)</f>
        <v>0.1802536231884058</v>
      </c>
      <c r="T13" s="95" t="n"/>
      <c r="U13" s="102" t="n"/>
      <c r="V13" s="103" t="inlineStr">
        <is>
          <t>天井扇取付（参考実績なし）｜</t>
        </is>
      </c>
    </row>
    <row r="14" ht="18" customHeight="1">
      <c r="A14" s="91" t="inlineStr">
        <is>
          <t xml:space="preserve">　FE-B1 天井扇 据付</t>
        </is>
      </c>
      <c r="B14" s="40" t="n"/>
      <c r="C14" s="92" t="inlineStr">
        <is>
          <t>VD-17ZSC14 シューズロッカー・洗い場</t>
        </is>
      </c>
      <c r="D14" s="40" t="n"/>
      <c r="E14" s="93" t="n">
        <v>2</v>
      </c>
      <c r="F14" s="94" t="inlineStr">
        <is>
          <t>台</t>
        </is>
      </c>
      <c r="G14" s="95">
        <f>IF(M14="","",ROUND(M14*N14,-1))</f>
        <v>11040</v>
      </c>
      <c r="H14" s="93">
        <f>IF(G14="","",ROUND(E14*G14,0))</f>
        <v>22080</v>
      </c>
      <c r="I14" s="96" t="inlineStr">
        <is>
          <t>本体は元請様支給</t>
        </is>
      </c>
      <c r="J14" s="97" t="n">
        <v>500</v>
      </c>
      <c r="K14" s="98" t="n">
        <v>0.45</v>
      </c>
      <c r="L14" s="95">
        <f>ROUND(K14*LABOR_DAY,0)</f>
        <v>8550</v>
      </c>
      <c r="M14" s="95">
        <f>J14+L14</f>
        <v>9050</v>
      </c>
      <c r="N14" s="99">
        <f>COEF</f>
        <v>1.22</v>
      </c>
      <c r="O14" s="93">
        <f>E14*M14</f>
        <v>18100</v>
      </c>
      <c r="P14" s="93">
        <f>ROUND(E14*L14*N14,0)</f>
        <v>20862</v>
      </c>
      <c r="Q14" s="100" t="inlineStr">
        <is>
          <t>図面カウント</t>
        </is>
      </c>
      <c r="R14" s="93">
        <f>IF(H14="","",H14-O14)</f>
        <v>3980</v>
      </c>
      <c r="S14" s="101">
        <f>IF(OR(H14="",H14=0),"",R14/H14)</f>
        <v>0.1802536231884058</v>
      </c>
      <c r="T14" s="95" t="n"/>
      <c r="U14" s="102" t="n"/>
      <c r="V14" s="103" t="inlineStr">
        <is>
          <t>天井扇取付（参考実績なし）｜</t>
        </is>
      </c>
    </row>
    <row r="15" ht="18" customHeight="1">
      <c r="A15" s="91" t="inlineStr">
        <is>
          <t xml:space="preserve">　FE-B2 天井扇 据付</t>
        </is>
      </c>
      <c r="B15" s="40" t="n"/>
      <c r="C15" s="92" t="inlineStr">
        <is>
          <t>VD-23ZB13 洗濯室</t>
        </is>
      </c>
      <c r="D15" s="40" t="n"/>
      <c r="E15" s="93" t="n">
        <v>2</v>
      </c>
      <c r="F15" s="94" t="inlineStr">
        <is>
          <t>台</t>
        </is>
      </c>
      <c r="G15" s="95">
        <f>IF(M15="","",ROUND(M15*N15,-1))</f>
        <v>11040</v>
      </c>
      <c r="H15" s="93">
        <f>IF(G15="","",ROUND(E15*G15,0))</f>
        <v>22080</v>
      </c>
      <c r="I15" s="96" t="inlineStr">
        <is>
          <t>本体は元請様支給</t>
        </is>
      </c>
      <c r="J15" s="97" t="n">
        <v>500</v>
      </c>
      <c r="K15" s="98" t="n">
        <v>0.45</v>
      </c>
      <c r="L15" s="95">
        <f>ROUND(K15*LABOR_DAY,0)</f>
        <v>8550</v>
      </c>
      <c r="M15" s="95">
        <f>J15+L15</f>
        <v>9050</v>
      </c>
      <c r="N15" s="99">
        <f>COEF</f>
        <v>1.22</v>
      </c>
      <c r="O15" s="93">
        <f>E15*M15</f>
        <v>18100</v>
      </c>
      <c r="P15" s="93">
        <f>ROUND(E15*L15*N15,0)</f>
        <v>20862</v>
      </c>
      <c r="Q15" s="100" t="inlineStr">
        <is>
          <t>図面カウント</t>
        </is>
      </c>
      <c r="R15" s="93">
        <f>IF(H15="","",H15-O15)</f>
        <v>3980</v>
      </c>
      <c r="S15" s="101">
        <f>IF(OR(H15="",H15=0),"",R15/H15)</f>
        <v>0.1802536231884058</v>
      </c>
      <c r="T15" s="95" t="n"/>
      <c r="U15" s="102" t="n"/>
      <c r="V15" s="103" t="inlineStr">
        <is>
          <t>天井扇取付（参考実績なし）｜</t>
        </is>
      </c>
    </row>
    <row r="16" ht="18" customHeight="1">
      <c r="A16" s="91" t="inlineStr">
        <is>
          <t xml:space="preserve">　FE-B3 有圧扇 据付</t>
        </is>
      </c>
      <c r="B16" s="40" t="n"/>
      <c r="C16" s="92" t="inlineStr">
        <is>
          <t>EF-25ASXC2 浴室 ウェザーカバー共</t>
        </is>
      </c>
      <c r="D16" s="40" t="n"/>
      <c r="E16" s="93" t="n">
        <v>2</v>
      </c>
      <c r="F16" s="94" t="inlineStr">
        <is>
          <t>台</t>
        </is>
      </c>
      <c r="G16" s="95">
        <f>IF(M16="","",ROUND(M16*N16,-1))</f>
        <v>22690</v>
      </c>
      <c r="H16" s="93">
        <f>IF(G16="","",ROUND(E16*G16,0))</f>
        <v>45380</v>
      </c>
      <c r="I16" s="96" t="inlineStr">
        <is>
          <t>本体は元請様支給</t>
        </is>
      </c>
      <c r="J16" s="97" t="n">
        <v>1500</v>
      </c>
      <c r="K16" s="98" t="n">
        <v>0.9</v>
      </c>
      <c r="L16" s="95">
        <f>ROUND(K16*LABOR_DAY,0)</f>
        <v>17100</v>
      </c>
      <c r="M16" s="95">
        <f>J16+L16</f>
        <v>18600</v>
      </c>
      <c r="N16" s="99">
        <f>COEF</f>
        <v>1.22</v>
      </c>
      <c r="O16" s="93">
        <f>E16*M16</f>
        <v>37200</v>
      </c>
      <c r="P16" s="93">
        <f>ROUND(E16*L16*N16,0)</f>
        <v>41724</v>
      </c>
      <c r="Q16" s="100" t="inlineStr">
        <is>
          <t>図面カウント</t>
        </is>
      </c>
      <c r="R16" s="93">
        <f>IF(H16="","",H16-O16)</f>
        <v>8180</v>
      </c>
      <c r="S16" s="101">
        <f>IF(OR(H16="",H16=0),"",R16/H16)</f>
        <v>0.18025561921551345</v>
      </c>
      <c r="T16" s="95" t="n"/>
      <c r="U16" s="102" t="n"/>
      <c r="V16" s="103" t="inlineStr">
        <is>
          <t>有圧扇＋ウェザーカバー取付｜</t>
        </is>
      </c>
    </row>
    <row r="17" ht="18" customHeight="1">
      <c r="A17" s="91" t="inlineStr">
        <is>
          <t xml:space="preserve">　FE-B4 中間ファン 据付</t>
        </is>
      </c>
      <c r="B17" s="40" t="n"/>
      <c r="C17" s="92" t="inlineStr">
        <is>
          <t>BFS-50SYA2 脱衣室・前室</t>
        </is>
      </c>
      <c r="D17" s="40" t="n"/>
      <c r="E17" s="93" t="n">
        <v>1</v>
      </c>
      <c r="F17" s="94" t="inlineStr">
        <is>
          <t>台</t>
        </is>
      </c>
      <c r="G17" s="95">
        <f>IF(M17="","",ROUND(M17*N17,-1))</f>
        <v>30260</v>
      </c>
      <c r="H17" s="93">
        <f>IF(G17="","",ROUND(E17*G17,0))</f>
        <v>30260</v>
      </c>
      <c r="I17" s="96" t="inlineStr">
        <is>
          <t>本体は元請様支給</t>
        </is>
      </c>
      <c r="J17" s="97" t="n">
        <v>2000</v>
      </c>
      <c r="K17" s="98" t="n">
        <v>1.2</v>
      </c>
      <c r="L17" s="95">
        <f>ROUND(K17*LABOR_DAY,0)</f>
        <v>22800</v>
      </c>
      <c r="M17" s="95">
        <f>J17+L17</f>
        <v>24800</v>
      </c>
      <c r="N17" s="99">
        <f>COEF</f>
        <v>1.22</v>
      </c>
      <c r="O17" s="93">
        <f>E17*M17</f>
        <v>24800</v>
      </c>
      <c r="P17" s="93">
        <f>ROUND(E17*L17*N17,0)</f>
        <v>27816</v>
      </c>
      <c r="Q17" s="100" t="inlineStr">
        <is>
          <t>図面カウント</t>
        </is>
      </c>
      <c r="R17" s="93">
        <f>IF(H17="","",H17-O17)</f>
        <v>5460</v>
      </c>
      <c r="S17" s="101">
        <f>IF(OR(H17="",H17=0),"",R17/H17)</f>
        <v>0.18043621943159285</v>
      </c>
      <c r="T17" s="95" t="n"/>
      <c r="U17" s="102" t="n"/>
      <c r="V17" s="103" t="inlineStr">
        <is>
          <t>中間ファン（防振吊）取付｜</t>
        </is>
      </c>
    </row>
    <row r="18" ht="18" customHeight="1">
      <c r="A18" s="91" t="inlineStr">
        <is>
          <t xml:space="preserve">　FE-C1 パイプファン 据付</t>
        </is>
      </c>
      <c r="B18" s="40" t="n"/>
      <c r="C18" s="92" t="inlineStr">
        <is>
          <t>V-08PPX8 厨房WC・休憩室・段ボール庫・ゴミ庫2</t>
        </is>
      </c>
      <c r="D18" s="40" t="n"/>
      <c r="E18" s="93" t="n">
        <v>4</v>
      </c>
      <c r="F18" s="94" t="inlineStr">
        <is>
          <t>台</t>
        </is>
      </c>
      <c r="G18" s="95">
        <f>IF(M18="","",ROUND(M18*N18,-1))</f>
        <v>7320</v>
      </c>
      <c r="H18" s="93">
        <f>IF(G18="","",ROUND(E18*G18,0))</f>
        <v>29280</v>
      </c>
      <c r="I18" s="96" t="inlineStr">
        <is>
          <t>本体は元請様支給</t>
        </is>
      </c>
      <c r="J18" s="97" t="n">
        <v>300</v>
      </c>
      <c r="K18" s="98" t="n">
        <v>0.3</v>
      </c>
      <c r="L18" s="95">
        <f>ROUND(K18*LABOR_DAY,0)</f>
        <v>5700</v>
      </c>
      <c r="M18" s="95">
        <f>J18+L18</f>
        <v>6000</v>
      </c>
      <c r="N18" s="99">
        <f>COEF</f>
        <v>1.22</v>
      </c>
      <c r="O18" s="93">
        <f>E18*M18</f>
        <v>24000</v>
      </c>
      <c r="P18" s="93">
        <f>ROUND(E18*L18*N18,0)</f>
        <v>27816</v>
      </c>
      <c r="Q18" s="100" t="inlineStr">
        <is>
          <t>図面カウント</t>
        </is>
      </c>
      <c r="R18" s="93">
        <f>IF(H18="","",H18-O18)</f>
        <v>5280</v>
      </c>
      <c r="S18" s="101">
        <f>IF(OR(H18="",H18=0),"",R18/H18)</f>
        <v>0.18032786885245902</v>
      </c>
      <c r="T18" s="95" t="n"/>
      <c r="U18" s="102" t="n"/>
      <c r="V18" s="103" t="inlineStr">
        <is>
          <t>パイプファン取付（参考実績なし）｜</t>
        </is>
      </c>
    </row>
    <row r="19" ht="18" customHeight="1">
      <c r="A19" s="91" t="inlineStr">
        <is>
          <t xml:space="preserve">　FE-C2 パイプファン 据付</t>
        </is>
      </c>
      <c r="B19" s="40" t="n"/>
      <c r="C19" s="92" t="inlineStr">
        <is>
          <t>V-08PP8 厨房前室</t>
        </is>
      </c>
      <c r="D19" s="40" t="n"/>
      <c r="E19" s="93" t="n">
        <v>1</v>
      </c>
      <c r="F19" s="94" t="inlineStr">
        <is>
          <t>台</t>
        </is>
      </c>
      <c r="G19" s="95">
        <f>IF(M19="","",ROUND(M19*N19,-1))</f>
        <v>7320</v>
      </c>
      <c r="H19" s="93">
        <f>IF(G19="","",ROUND(E19*G19,0))</f>
        <v>7320</v>
      </c>
      <c r="I19" s="96" t="inlineStr">
        <is>
          <t>本体は元請様支給</t>
        </is>
      </c>
      <c r="J19" s="97" t="n">
        <v>300</v>
      </c>
      <c r="K19" s="98" t="n">
        <v>0.3</v>
      </c>
      <c r="L19" s="95">
        <f>ROUND(K19*LABOR_DAY,0)</f>
        <v>5700</v>
      </c>
      <c r="M19" s="95">
        <f>J19+L19</f>
        <v>6000</v>
      </c>
      <c r="N19" s="99">
        <f>COEF</f>
        <v>1.22</v>
      </c>
      <c r="O19" s="93">
        <f>E19*M19</f>
        <v>6000</v>
      </c>
      <c r="P19" s="93">
        <f>ROUND(E19*L19*N19,0)</f>
        <v>6954</v>
      </c>
      <c r="Q19" s="100" t="inlineStr">
        <is>
          <t>図面カウント</t>
        </is>
      </c>
      <c r="R19" s="93">
        <f>IF(H19="","",H19-O19)</f>
        <v>1320</v>
      </c>
      <c r="S19" s="101">
        <f>IF(OR(H19="",H19=0),"",R19/H19)</f>
        <v>0.18032786885245902</v>
      </c>
      <c r="T19" s="95" t="n"/>
      <c r="U19" s="102" t="n"/>
      <c r="V19" s="103" t="inlineStr">
        <is>
          <t>パイプファン取付（参考実績なし）｜</t>
        </is>
      </c>
    </row>
    <row r="20" ht="18" customHeight="1">
      <c r="A20" s="91" t="inlineStr">
        <is>
          <t xml:space="preserve">　FE-C3 天井扇 据付</t>
        </is>
      </c>
      <c r="B20" s="40" t="n"/>
      <c r="C20" s="92" t="inlineStr">
        <is>
          <t>VD-15ZC14 冷蔵庫室</t>
        </is>
      </c>
      <c r="D20" s="40" t="n"/>
      <c r="E20" s="93" t="n">
        <v>1</v>
      </c>
      <c r="F20" s="94" t="inlineStr">
        <is>
          <t>台</t>
        </is>
      </c>
      <c r="G20" s="95">
        <f>IF(M20="","",ROUND(M20*N20,-1))</f>
        <v>11040</v>
      </c>
      <c r="H20" s="93">
        <f>IF(G20="","",ROUND(E20*G20,0))</f>
        <v>11040</v>
      </c>
      <c r="I20" s="96" t="inlineStr">
        <is>
          <t>本体は元請様支給</t>
        </is>
      </c>
      <c r="J20" s="97" t="n">
        <v>500</v>
      </c>
      <c r="K20" s="98" t="n">
        <v>0.45</v>
      </c>
      <c r="L20" s="95">
        <f>ROUND(K20*LABOR_DAY,0)</f>
        <v>8550</v>
      </c>
      <c r="M20" s="95">
        <f>J20+L20</f>
        <v>9050</v>
      </c>
      <c r="N20" s="99">
        <f>COEF</f>
        <v>1.22</v>
      </c>
      <c r="O20" s="93">
        <f>E20*M20</f>
        <v>9050</v>
      </c>
      <c r="P20" s="93">
        <f>ROUND(E20*L20*N20,0)</f>
        <v>10431</v>
      </c>
      <c r="Q20" s="100" t="inlineStr">
        <is>
          <t>図面カウント</t>
        </is>
      </c>
      <c r="R20" s="93">
        <f>IF(H20="","",H20-O20)</f>
        <v>1990</v>
      </c>
      <c r="S20" s="101">
        <f>IF(OR(H20="",H20=0),"",R20/H20)</f>
        <v>0.1802536231884058</v>
      </c>
      <c r="T20" s="95" t="n"/>
      <c r="U20" s="102" t="n"/>
      <c r="V20" s="103" t="inlineStr">
        <is>
          <t>天井扇取付（参考実績なし）｜</t>
        </is>
      </c>
    </row>
    <row r="21" ht="18" customHeight="1">
      <c r="A21" s="91" t="inlineStr">
        <is>
          <t xml:space="preserve">　FE-C4 天井扇 据付</t>
        </is>
      </c>
      <c r="B21" s="40" t="n"/>
      <c r="C21" s="92" t="inlineStr">
        <is>
          <t>VD-17ZSC14 食品庫・弁当室</t>
        </is>
      </c>
      <c r="D21" s="40" t="n"/>
      <c r="E21" s="93" t="n">
        <v>2</v>
      </c>
      <c r="F21" s="94" t="inlineStr">
        <is>
          <t>台</t>
        </is>
      </c>
      <c r="G21" s="95">
        <f>IF(M21="","",ROUND(M21*N21,-1))</f>
        <v>11040</v>
      </c>
      <c r="H21" s="93">
        <f>IF(G21="","",ROUND(E21*G21,0))</f>
        <v>22080</v>
      </c>
      <c r="I21" s="96" t="inlineStr">
        <is>
          <t>本体は元請様支給</t>
        </is>
      </c>
      <c r="J21" s="97" t="n">
        <v>500</v>
      </c>
      <c r="K21" s="98" t="n">
        <v>0.45</v>
      </c>
      <c r="L21" s="95">
        <f>ROUND(K21*LABOR_DAY,0)</f>
        <v>8550</v>
      </c>
      <c r="M21" s="95">
        <f>J21+L21</f>
        <v>9050</v>
      </c>
      <c r="N21" s="99">
        <f>COEF</f>
        <v>1.22</v>
      </c>
      <c r="O21" s="93">
        <f>E21*M21</f>
        <v>18100</v>
      </c>
      <c r="P21" s="93">
        <f>ROUND(E21*L21*N21,0)</f>
        <v>20862</v>
      </c>
      <c r="Q21" s="100" t="inlineStr">
        <is>
          <t>図面カウント</t>
        </is>
      </c>
      <c r="R21" s="93">
        <f>IF(H21="","",H21-O21)</f>
        <v>3980</v>
      </c>
      <c r="S21" s="101">
        <f>IF(OR(H21="",H21=0),"",R21/H21)</f>
        <v>0.1802536231884058</v>
      </c>
      <c r="T21" s="95" t="n"/>
      <c r="U21" s="102" t="n"/>
      <c r="V21" s="103" t="inlineStr">
        <is>
          <t>天井扇取付（参考実績なし）｜</t>
        </is>
      </c>
    </row>
    <row r="22" ht="18" customHeight="1">
      <c r="A22" s="91" t="inlineStr">
        <is>
          <t xml:space="preserve">　FE-C5 天井扇 据付</t>
        </is>
      </c>
      <c r="B22" s="40" t="n"/>
      <c r="C22" s="92" t="inlineStr">
        <is>
          <t>VD-13ZC14 厨房廊下</t>
        </is>
      </c>
      <c r="D22" s="40" t="n"/>
      <c r="E22" s="93" t="n">
        <v>1</v>
      </c>
      <c r="F22" s="94" t="inlineStr">
        <is>
          <t>台</t>
        </is>
      </c>
      <c r="G22" s="95">
        <f>IF(M22="","",ROUND(M22*N22,-1))</f>
        <v>11040</v>
      </c>
      <c r="H22" s="93">
        <f>IF(G22="","",ROUND(E22*G22,0))</f>
        <v>11040</v>
      </c>
      <c r="I22" s="96" t="inlineStr">
        <is>
          <t>本体は元請様支給</t>
        </is>
      </c>
      <c r="J22" s="97" t="n">
        <v>500</v>
      </c>
      <c r="K22" s="98" t="n">
        <v>0.45</v>
      </c>
      <c r="L22" s="95">
        <f>ROUND(K22*LABOR_DAY,0)</f>
        <v>8550</v>
      </c>
      <c r="M22" s="95">
        <f>J22+L22</f>
        <v>9050</v>
      </c>
      <c r="N22" s="99">
        <f>COEF</f>
        <v>1.22</v>
      </c>
      <c r="O22" s="93">
        <f>E22*M22</f>
        <v>9050</v>
      </c>
      <c r="P22" s="93">
        <f>ROUND(E22*L22*N22,0)</f>
        <v>10431</v>
      </c>
      <c r="Q22" s="100" t="inlineStr">
        <is>
          <t>図面カウント</t>
        </is>
      </c>
      <c r="R22" s="93">
        <f>IF(H22="","",H22-O22)</f>
        <v>1990</v>
      </c>
      <c r="S22" s="101">
        <f>IF(OR(H22="",H22=0),"",R22/H22)</f>
        <v>0.1802536231884058</v>
      </c>
      <c r="T22" s="95" t="n"/>
      <c r="U22" s="102" t="n"/>
      <c r="V22" s="103" t="inlineStr">
        <is>
          <t>天井扇取付（参考実績なし）｜</t>
        </is>
      </c>
    </row>
    <row r="23" ht="18" customHeight="1">
      <c r="A23" s="91" t="inlineStr">
        <is>
          <t xml:space="preserve">　FE-D1 親子扇 据付</t>
        </is>
      </c>
      <c r="B23" s="40" t="n"/>
      <c r="C23" s="92" t="inlineStr">
        <is>
          <t>VD-10ZFC14 来客室UB</t>
        </is>
      </c>
      <c r="D23" s="40" t="n"/>
      <c r="E23" s="93" t="n">
        <v>5</v>
      </c>
      <c r="F23" s="94" t="inlineStr">
        <is>
          <t>台</t>
        </is>
      </c>
      <c r="G23" s="95">
        <f>IF(M23="","",ROUND(M23*N23,-1))</f>
        <v>11040</v>
      </c>
      <c r="H23" s="93">
        <f>IF(G23="","",ROUND(E23*G23,0))</f>
        <v>55200</v>
      </c>
      <c r="I23" s="96" t="inlineStr">
        <is>
          <t>本体は元請様支給</t>
        </is>
      </c>
      <c r="J23" s="97" t="n">
        <v>500</v>
      </c>
      <c r="K23" s="98" t="n">
        <v>0.45</v>
      </c>
      <c r="L23" s="95">
        <f>ROUND(K23*LABOR_DAY,0)</f>
        <v>8550</v>
      </c>
      <c r="M23" s="95">
        <f>J23+L23</f>
        <v>9050</v>
      </c>
      <c r="N23" s="99">
        <f>COEF</f>
        <v>1.22</v>
      </c>
      <c r="O23" s="93">
        <f>E23*M23</f>
        <v>45250</v>
      </c>
      <c r="P23" s="93">
        <f>ROUND(E23*L23*N23,0)</f>
        <v>52155</v>
      </c>
      <c r="Q23" s="100" t="inlineStr">
        <is>
          <t>図面カウント</t>
        </is>
      </c>
      <c r="R23" s="93">
        <f>IF(H23="","",H23-O23)</f>
        <v>9950</v>
      </c>
      <c r="S23" s="101">
        <f>IF(OR(H23="",H23=0),"",R23/H23)</f>
        <v>0.1802536231884058</v>
      </c>
      <c r="T23" s="95" t="n"/>
      <c r="U23" s="102" t="n"/>
      <c r="V23" s="103" t="inlineStr">
        <is>
          <t>天井扇取付（参考実績なし）｜</t>
        </is>
      </c>
    </row>
    <row r="24" ht="18" customHeight="1">
      <c r="A24" s="91" t="inlineStr">
        <is>
          <t xml:space="preserve">　FE-D2 有圧扇 据付</t>
        </is>
      </c>
      <c r="B24" s="40" t="n"/>
      <c r="C24" s="92" t="inlineStr">
        <is>
          <t>ENF-20YSA2 倉庫2 ウェザーカバー共</t>
        </is>
      </c>
      <c r="D24" s="40" t="n"/>
      <c r="E24" s="93" t="n">
        <v>1</v>
      </c>
      <c r="F24" s="94" t="inlineStr">
        <is>
          <t>台</t>
        </is>
      </c>
      <c r="G24" s="95">
        <f>IF(M24="","",ROUND(M24*N24,-1))</f>
        <v>22690</v>
      </c>
      <c r="H24" s="93">
        <f>IF(G24="","",ROUND(E24*G24,0))</f>
        <v>22690</v>
      </c>
      <c r="I24" s="96" t="inlineStr">
        <is>
          <t>本体は元請様支給</t>
        </is>
      </c>
      <c r="J24" s="97" t="n">
        <v>1500</v>
      </c>
      <c r="K24" s="98" t="n">
        <v>0.9</v>
      </c>
      <c r="L24" s="95">
        <f>ROUND(K24*LABOR_DAY,0)</f>
        <v>17100</v>
      </c>
      <c r="M24" s="95">
        <f>J24+L24</f>
        <v>18600</v>
      </c>
      <c r="N24" s="99">
        <f>COEF</f>
        <v>1.22</v>
      </c>
      <c r="O24" s="93">
        <f>E24*M24</f>
        <v>18600</v>
      </c>
      <c r="P24" s="93">
        <f>ROUND(E24*L24*N24,0)</f>
        <v>20862</v>
      </c>
      <c r="Q24" s="100" t="inlineStr">
        <is>
          <t>図面カウント</t>
        </is>
      </c>
      <c r="R24" s="93">
        <f>IF(H24="","",H24-O24)</f>
        <v>4090</v>
      </c>
      <c r="S24" s="101">
        <f>IF(OR(H24="",H24=0),"",R24/H24)</f>
        <v>0.18025561921551345</v>
      </c>
      <c r="T24" s="95" t="n"/>
      <c r="U24" s="102" t="n"/>
      <c r="V24" s="103" t="inlineStr">
        <is>
          <t>有圧扇＋ウェザーカバー取付｜</t>
        </is>
      </c>
    </row>
    <row r="25" ht="18" customHeight="1">
      <c r="A25" s="91" t="inlineStr">
        <is>
          <t xml:space="preserve">　FE-D3 天井扇 据付</t>
        </is>
      </c>
      <c r="B25" s="40" t="n"/>
      <c r="C25" s="92" t="inlineStr">
        <is>
          <t>VD-20ZC14 ケア室</t>
        </is>
      </c>
      <c r="D25" s="40" t="n"/>
      <c r="E25" s="93" t="n">
        <v>1</v>
      </c>
      <c r="F25" s="94" t="inlineStr">
        <is>
          <t>台</t>
        </is>
      </c>
      <c r="G25" s="95">
        <f>IF(M25="","",ROUND(M25*N25,-1))</f>
        <v>11040</v>
      </c>
      <c r="H25" s="93">
        <f>IF(G25="","",ROUND(E25*G25,0))</f>
        <v>11040</v>
      </c>
      <c r="I25" s="96" t="inlineStr">
        <is>
          <t>本体は元請様支給</t>
        </is>
      </c>
      <c r="J25" s="97" t="n">
        <v>500</v>
      </c>
      <c r="K25" s="98" t="n">
        <v>0.45</v>
      </c>
      <c r="L25" s="95">
        <f>ROUND(K25*LABOR_DAY,0)</f>
        <v>8550</v>
      </c>
      <c r="M25" s="95">
        <f>J25+L25</f>
        <v>9050</v>
      </c>
      <c r="N25" s="99">
        <f>COEF</f>
        <v>1.22</v>
      </c>
      <c r="O25" s="93">
        <f>E25*M25</f>
        <v>9050</v>
      </c>
      <c r="P25" s="93">
        <f>ROUND(E25*L25*N25,0)</f>
        <v>10431</v>
      </c>
      <c r="Q25" s="100" t="inlineStr">
        <is>
          <t>図面カウント</t>
        </is>
      </c>
      <c r="R25" s="93">
        <f>IF(H25="","",H25-O25)</f>
        <v>1990</v>
      </c>
      <c r="S25" s="101">
        <f>IF(OR(H25="",H25=0),"",R25/H25)</f>
        <v>0.1802536231884058</v>
      </c>
      <c r="T25" s="95" t="n"/>
      <c r="U25" s="102" t="n"/>
      <c r="V25" s="103" t="inlineStr">
        <is>
          <t>天井扇取付（参考実績なし）｜</t>
        </is>
      </c>
    </row>
    <row r="26" ht="18" customHeight="1">
      <c r="A26" s="91" t="inlineStr">
        <is>
          <t xml:space="preserve">　FE-D4 天井扇 据付</t>
        </is>
      </c>
      <c r="B26" s="40" t="n"/>
      <c r="C26" s="92" t="inlineStr">
        <is>
          <t>VD-15ZC14 コーチルーム流し</t>
        </is>
      </c>
      <c r="D26" s="40" t="n"/>
      <c r="E26" s="93" t="n">
        <v>1</v>
      </c>
      <c r="F26" s="94" t="inlineStr">
        <is>
          <t>台</t>
        </is>
      </c>
      <c r="G26" s="95">
        <f>IF(M26="","",ROUND(M26*N26,-1))</f>
        <v>11040</v>
      </c>
      <c r="H26" s="93">
        <f>IF(G26="","",ROUND(E26*G26,0))</f>
        <v>11040</v>
      </c>
      <c r="I26" s="96" t="inlineStr">
        <is>
          <t>本体は元請様支給</t>
        </is>
      </c>
      <c r="J26" s="97" t="n">
        <v>500</v>
      </c>
      <c r="K26" s="98" t="n">
        <v>0.45</v>
      </c>
      <c r="L26" s="95">
        <f>ROUND(K26*LABOR_DAY,0)</f>
        <v>8550</v>
      </c>
      <c r="M26" s="95">
        <f>J26+L26</f>
        <v>9050</v>
      </c>
      <c r="N26" s="99">
        <f>COEF</f>
        <v>1.22</v>
      </c>
      <c r="O26" s="93">
        <f>E26*M26</f>
        <v>9050</v>
      </c>
      <c r="P26" s="93">
        <f>ROUND(E26*L26*N26,0)</f>
        <v>10431</v>
      </c>
      <c r="Q26" s="100" t="inlineStr">
        <is>
          <t>図面カウント</t>
        </is>
      </c>
      <c r="R26" s="93">
        <f>IF(H26="","",H26-O26)</f>
        <v>1990</v>
      </c>
      <c r="S26" s="101">
        <f>IF(OR(H26="",H26=0),"",R26/H26)</f>
        <v>0.1802536231884058</v>
      </c>
      <c r="T26" s="95" t="n"/>
      <c r="U26" s="102" t="n"/>
      <c r="V26" s="103" t="inlineStr">
        <is>
          <t>天井扇取付（参考実績なし）｜</t>
        </is>
      </c>
    </row>
    <row r="27" ht="18" customHeight="1">
      <c r="A27" s="91" t="inlineStr">
        <is>
          <t xml:space="preserve">　FE-E1 中間ファン 据付</t>
        </is>
      </c>
      <c r="B27" s="40" t="n"/>
      <c r="C27" s="92" t="inlineStr">
        <is>
          <t>BFS-80SYA2 2階WC(北)</t>
        </is>
      </c>
      <c r="D27" s="40" t="n"/>
      <c r="E27" s="93" t="n">
        <v>2</v>
      </c>
      <c r="F27" s="94" t="inlineStr">
        <is>
          <t>台</t>
        </is>
      </c>
      <c r="G27" s="95">
        <f>IF(M27="","",ROUND(M27*N27,-1))</f>
        <v>30260</v>
      </c>
      <c r="H27" s="93">
        <f>IF(G27="","",ROUND(E27*G27,0))</f>
        <v>60520</v>
      </c>
      <c r="I27" s="96" t="inlineStr">
        <is>
          <t>本体は元請様支給</t>
        </is>
      </c>
      <c r="J27" s="97" t="n">
        <v>2000</v>
      </c>
      <c r="K27" s="98" t="n">
        <v>1.2</v>
      </c>
      <c r="L27" s="95">
        <f>ROUND(K27*LABOR_DAY,0)</f>
        <v>22800</v>
      </c>
      <c r="M27" s="95">
        <f>J27+L27</f>
        <v>24800</v>
      </c>
      <c r="N27" s="99">
        <f>COEF</f>
        <v>1.22</v>
      </c>
      <c r="O27" s="93">
        <f>E27*M27</f>
        <v>49600</v>
      </c>
      <c r="P27" s="93">
        <f>ROUND(E27*L27*N27,0)</f>
        <v>55632</v>
      </c>
      <c r="Q27" s="100" t="inlineStr">
        <is>
          <t>図面カウント</t>
        </is>
      </c>
      <c r="R27" s="93">
        <f>IF(H27="","",H27-O27)</f>
        <v>10920</v>
      </c>
      <c r="S27" s="101">
        <f>IF(OR(H27="",H27=0),"",R27/H27)</f>
        <v>0.18043621943159285</v>
      </c>
      <c r="T27" s="95" t="n"/>
      <c r="U27" s="102" t="n"/>
      <c r="V27" s="103" t="inlineStr">
        <is>
          <t>中間ファン（防振吊）取付｜</t>
        </is>
      </c>
    </row>
    <row r="28" ht="18" customHeight="1">
      <c r="A28" s="91" t="inlineStr">
        <is>
          <t xml:space="preserve">　FE-E2 天井扇 据付</t>
        </is>
      </c>
      <c r="B28" s="40" t="n"/>
      <c r="C28" s="92" t="inlineStr">
        <is>
          <t>VD-20ZC14 2階洗面所(北)(南)</t>
        </is>
      </c>
      <c r="D28" s="40" t="n"/>
      <c r="E28" s="93" t="n">
        <v>2</v>
      </c>
      <c r="F28" s="94" t="inlineStr">
        <is>
          <t>台</t>
        </is>
      </c>
      <c r="G28" s="95">
        <f>IF(M28="","",ROUND(M28*N28,-1))</f>
        <v>11040</v>
      </c>
      <c r="H28" s="93">
        <f>IF(G28="","",ROUND(E28*G28,0))</f>
        <v>22080</v>
      </c>
      <c r="I28" s="96" t="inlineStr">
        <is>
          <t>本体は元請様支給</t>
        </is>
      </c>
      <c r="J28" s="97" t="n">
        <v>500</v>
      </c>
      <c r="K28" s="98" t="n">
        <v>0.45</v>
      </c>
      <c r="L28" s="95">
        <f>ROUND(K28*LABOR_DAY,0)</f>
        <v>8550</v>
      </c>
      <c r="M28" s="95">
        <f>J28+L28</f>
        <v>9050</v>
      </c>
      <c r="N28" s="99">
        <f>COEF</f>
        <v>1.22</v>
      </c>
      <c r="O28" s="93">
        <f>E28*M28</f>
        <v>18100</v>
      </c>
      <c r="P28" s="93">
        <f>ROUND(E28*L28*N28,0)</f>
        <v>20862</v>
      </c>
      <c r="Q28" s="100" t="inlineStr">
        <is>
          <t>図面カウント</t>
        </is>
      </c>
      <c r="R28" s="93">
        <f>IF(H28="","",H28-O28)</f>
        <v>3980</v>
      </c>
      <c r="S28" s="101">
        <f>IF(OR(H28="",H28=0),"",R28/H28)</f>
        <v>0.1802536231884058</v>
      </c>
      <c r="T28" s="95" t="n"/>
      <c r="U28" s="102" t="n"/>
      <c r="V28" s="103" t="inlineStr">
        <is>
          <t>天井扇取付（参考実績なし）｜</t>
        </is>
      </c>
    </row>
    <row r="29" ht="18" customHeight="1">
      <c r="A29" s="91" t="inlineStr">
        <is>
          <t xml:space="preserve">　FE-E3 天井扇 据付</t>
        </is>
      </c>
      <c r="B29" s="40" t="n"/>
      <c r="C29" s="92" t="inlineStr">
        <is>
          <t>VD-20ZC14 2階階段ホール</t>
        </is>
      </c>
      <c r="D29" s="40" t="n"/>
      <c r="E29" s="93" t="n">
        <v>2</v>
      </c>
      <c r="F29" s="94" t="inlineStr">
        <is>
          <t>台</t>
        </is>
      </c>
      <c r="G29" s="95">
        <f>IF(M29="","",ROUND(M29*N29,-1))</f>
        <v>11040</v>
      </c>
      <c r="H29" s="93">
        <f>IF(G29="","",ROUND(E29*G29,0))</f>
        <v>22080</v>
      </c>
      <c r="I29" s="96" t="inlineStr">
        <is>
          <t>本体は元請様支給</t>
        </is>
      </c>
      <c r="J29" s="97" t="n">
        <v>500</v>
      </c>
      <c r="K29" s="98" t="n">
        <v>0.45</v>
      </c>
      <c r="L29" s="95">
        <f>ROUND(K29*LABOR_DAY,0)</f>
        <v>8550</v>
      </c>
      <c r="M29" s="95">
        <f>J29+L29</f>
        <v>9050</v>
      </c>
      <c r="N29" s="99">
        <f>COEF</f>
        <v>1.22</v>
      </c>
      <c r="O29" s="93">
        <f>E29*M29</f>
        <v>18100</v>
      </c>
      <c r="P29" s="93">
        <f>ROUND(E29*L29*N29,0)</f>
        <v>20862</v>
      </c>
      <c r="Q29" s="100" t="inlineStr">
        <is>
          <t>図面カウント</t>
        </is>
      </c>
      <c r="R29" s="93">
        <f>IF(H29="","",H29-O29)</f>
        <v>3980</v>
      </c>
      <c r="S29" s="101">
        <f>IF(OR(H29="",H29=0),"",R29/H29)</f>
        <v>0.1802536231884058</v>
      </c>
      <c r="T29" s="95" t="n"/>
      <c r="U29" s="102" t="n"/>
      <c r="V29" s="103" t="inlineStr">
        <is>
          <t>天井扇取付（参考実績なし）｜</t>
        </is>
      </c>
    </row>
    <row r="30" ht="18" customHeight="1">
      <c r="A30" s="91" t="inlineStr">
        <is>
          <t xml:space="preserve">　FE-E4 中間ファン 据付</t>
        </is>
      </c>
      <c r="B30" s="40" t="n"/>
      <c r="C30" s="92" t="inlineStr">
        <is>
          <t>BFS-50SYA2 2階WC(南)</t>
        </is>
      </c>
      <c r="D30" s="40" t="n"/>
      <c r="E30" s="93" t="n">
        <v>2</v>
      </c>
      <c r="F30" s="94" t="inlineStr">
        <is>
          <t>台</t>
        </is>
      </c>
      <c r="G30" s="95">
        <f>IF(M30="","",ROUND(M30*N30,-1))</f>
        <v>30260</v>
      </c>
      <c r="H30" s="93">
        <f>IF(G30="","",ROUND(E30*G30,0))</f>
        <v>60520</v>
      </c>
      <c r="I30" s="96" t="inlineStr">
        <is>
          <t>本体は元請様支給</t>
        </is>
      </c>
      <c r="J30" s="97" t="n">
        <v>2000</v>
      </c>
      <c r="K30" s="98" t="n">
        <v>1.2</v>
      </c>
      <c r="L30" s="95">
        <f>ROUND(K30*LABOR_DAY,0)</f>
        <v>22800</v>
      </c>
      <c r="M30" s="95">
        <f>J30+L30</f>
        <v>24800</v>
      </c>
      <c r="N30" s="99">
        <f>COEF</f>
        <v>1.22</v>
      </c>
      <c r="O30" s="93">
        <f>E30*M30</f>
        <v>49600</v>
      </c>
      <c r="P30" s="93">
        <f>ROUND(E30*L30*N30,0)</f>
        <v>55632</v>
      </c>
      <c r="Q30" s="100" t="inlineStr">
        <is>
          <t>図面カウント</t>
        </is>
      </c>
      <c r="R30" s="93">
        <f>IF(H30="","",H30-O30)</f>
        <v>10920</v>
      </c>
      <c r="S30" s="101">
        <f>IF(OR(H30="",H30=0),"",R30/H30)</f>
        <v>0.18043621943159285</v>
      </c>
      <c r="T30" s="95" t="n"/>
      <c r="U30" s="102" t="n"/>
      <c r="V30" s="103" t="inlineStr">
        <is>
          <t>中間ファン（防振吊）取付｜</t>
        </is>
      </c>
    </row>
    <row r="31" ht="18" customHeight="1">
      <c r="A31" s="91" t="inlineStr">
        <is>
          <t xml:space="preserve">　FE-E5 天井扇 据付</t>
        </is>
      </c>
      <c r="B31" s="40" t="n"/>
      <c r="C31" s="92" t="inlineStr">
        <is>
          <t>VD-15ZPC14 多目的スペース</t>
        </is>
      </c>
      <c r="D31" s="40" t="n"/>
      <c r="E31" s="93" t="n">
        <v>1</v>
      </c>
      <c r="F31" s="94" t="inlineStr">
        <is>
          <t>台</t>
        </is>
      </c>
      <c r="G31" s="95">
        <f>IF(M31="","",ROUND(M31*N31,-1))</f>
        <v>11040</v>
      </c>
      <c r="H31" s="93">
        <f>IF(G31="","",ROUND(E31*G31,0))</f>
        <v>11040</v>
      </c>
      <c r="I31" s="96" t="inlineStr">
        <is>
          <t>本体は元請様支給</t>
        </is>
      </c>
      <c r="J31" s="97" t="n">
        <v>500</v>
      </c>
      <c r="K31" s="98" t="n">
        <v>0.45</v>
      </c>
      <c r="L31" s="95">
        <f>ROUND(K31*LABOR_DAY,0)</f>
        <v>8550</v>
      </c>
      <c r="M31" s="95">
        <f>J31+L31</f>
        <v>9050</v>
      </c>
      <c r="N31" s="99">
        <f>COEF</f>
        <v>1.22</v>
      </c>
      <c r="O31" s="93">
        <f>E31*M31</f>
        <v>9050</v>
      </c>
      <c r="P31" s="93">
        <f>ROUND(E31*L31*N31,0)</f>
        <v>10431</v>
      </c>
      <c r="Q31" s="100" t="inlineStr">
        <is>
          <t>図面カウント</t>
        </is>
      </c>
      <c r="R31" s="93">
        <f>IF(H31="","",H31-O31)</f>
        <v>1990</v>
      </c>
      <c r="S31" s="101">
        <f>IF(OR(H31="",H31=0),"",R31/H31)</f>
        <v>0.1802536231884058</v>
      </c>
      <c r="T31" s="95" t="n"/>
      <c r="U31" s="102" t="n"/>
      <c r="V31" s="103" t="inlineStr">
        <is>
          <t>天井扇取付（参考実績なし）｜</t>
        </is>
      </c>
    </row>
    <row r="32" ht="18" customHeight="1">
      <c r="A32" s="91" t="inlineStr">
        <is>
          <t xml:space="preserve">　FE-E6 親子扇 据付</t>
        </is>
      </c>
      <c r="B32" s="40" t="n"/>
      <c r="C32" s="92" t="inlineStr">
        <is>
          <t>VD-10ZFC14 寮務スタッフ室UB</t>
        </is>
      </c>
      <c r="D32" s="40" t="n"/>
      <c r="E32" s="93" t="n">
        <v>1</v>
      </c>
      <c r="F32" s="94" t="inlineStr">
        <is>
          <t>台</t>
        </is>
      </c>
      <c r="G32" s="95">
        <f>IF(M32="","",ROUND(M32*N32,-1))</f>
        <v>11040</v>
      </c>
      <c r="H32" s="93">
        <f>IF(G32="","",ROUND(E32*G32,0))</f>
        <v>11040</v>
      </c>
      <c r="I32" s="96" t="inlineStr">
        <is>
          <t>本体は元請様支給</t>
        </is>
      </c>
      <c r="J32" s="97" t="n">
        <v>500</v>
      </c>
      <c r="K32" s="98" t="n">
        <v>0.45</v>
      </c>
      <c r="L32" s="95">
        <f>ROUND(K32*LABOR_DAY,0)</f>
        <v>8550</v>
      </c>
      <c r="M32" s="95">
        <f>J32+L32</f>
        <v>9050</v>
      </c>
      <c r="N32" s="99">
        <f>COEF</f>
        <v>1.22</v>
      </c>
      <c r="O32" s="93">
        <f>E32*M32</f>
        <v>9050</v>
      </c>
      <c r="P32" s="93">
        <f>ROUND(E32*L32*N32,0)</f>
        <v>10431</v>
      </c>
      <c r="Q32" s="100" t="inlineStr">
        <is>
          <t>図面カウント</t>
        </is>
      </c>
      <c r="R32" s="93">
        <f>IF(H32="","",H32-O32)</f>
        <v>1990</v>
      </c>
      <c r="S32" s="101">
        <f>IF(OR(H32="",H32=0),"",R32/H32)</f>
        <v>0.1802536231884058</v>
      </c>
      <c r="T32" s="95" t="n"/>
      <c r="U32" s="102" t="n"/>
      <c r="V32" s="103" t="inlineStr">
        <is>
          <t>天井扇取付（参考実績なし）｜</t>
        </is>
      </c>
    </row>
    <row r="33" ht="18" customHeight="1">
      <c r="A33" s="91" t="inlineStr">
        <is>
          <t xml:space="preserve">　HEX-1 全熱交換器 据付</t>
        </is>
      </c>
      <c r="B33" s="40" t="n"/>
      <c r="C33" s="92" t="inlineStr">
        <is>
          <t>LGH-N80RXV2 天井埋込 食堂 リモコン共</t>
        </is>
      </c>
      <c r="D33" s="40" t="n"/>
      <c r="E33" s="93" t="n">
        <v>1</v>
      </c>
      <c r="F33" s="94" t="inlineStr">
        <is>
          <t>台</t>
        </is>
      </c>
      <c r="G33" s="95">
        <f>IF(M33="","",ROUND(M33*N33,-1))</f>
        <v>35500</v>
      </c>
      <c r="H33" s="93">
        <f>IF(G33="","",ROUND(E33*G33,0))</f>
        <v>35500</v>
      </c>
      <c r="I33" s="96" t="inlineStr">
        <is>
          <t>本体は元請様支給</t>
        </is>
      </c>
      <c r="J33" s="97" t="n">
        <v>2500</v>
      </c>
      <c r="K33" s="98" t="n">
        <v>1.4</v>
      </c>
      <c r="L33" s="95">
        <f>ROUND(K33*LABOR_DAY,0)</f>
        <v>26600</v>
      </c>
      <c r="M33" s="95">
        <f>J33+L33</f>
        <v>29100</v>
      </c>
      <c r="N33" s="99">
        <f>COEF</f>
        <v>1.22</v>
      </c>
      <c r="O33" s="93">
        <f>E33*M33</f>
        <v>29100</v>
      </c>
      <c r="P33" s="93">
        <f>ROUND(E33*L33*N33,0)</f>
        <v>32452</v>
      </c>
      <c r="Q33" s="100" t="inlineStr">
        <is>
          <t>図面カウント</t>
        </is>
      </c>
      <c r="R33" s="93">
        <f>IF(H33="","",H33-O33)</f>
        <v>6400</v>
      </c>
      <c r="S33" s="101">
        <f>IF(OR(H33="",H33=0),"",R33/H33)</f>
        <v>0.18028169014084508</v>
      </c>
      <c r="T33" s="95" t="n"/>
      <c r="U33" s="102" t="n"/>
      <c r="V33" s="103" t="inlineStr">
        <is>
          <t>全熱交換器 天井埋込（ダクト接続別）｜08にて中止→C-1で減額</t>
        </is>
      </c>
    </row>
    <row r="34" ht="18" customHeight="1">
      <c r="A34" s="91" t="inlineStr">
        <is>
          <t xml:space="preserve">　HEX-2 全熱交換器 据付</t>
        </is>
      </c>
      <c r="B34" s="40" t="n"/>
      <c r="C34" s="92" t="inlineStr">
        <is>
          <t>LGH-N65RXW2 天井埋込 ミーティングルーム</t>
        </is>
      </c>
      <c r="D34" s="40" t="n"/>
      <c r="E34" s="93" t="n">
        <v>1</v>
      </c>
      <c r="F34" s="94" t="inlineStr">
        <is>
          <t>台</t>
        </is>
      </c>
      <c r="G34" s="95">
        <f>IF(M34="","",ROUND(M34*N34,-1))</f>
        <v>35500</v>
      </c>
      <c r="H34" s="93">
        <f>IF(G34="","",ROUND(E34*G34,0))</f>
        <v>35500</v>
      </c>
      <c r="I34" s="96" t="inlineStr">
        <is>
          <t>本体は元請様支給</t>
        </is>
      </c>
      <c r="J34" s="97" t="n">
        <v>2500</v>
      </c>
      <c r="K34" s="98" t="n">
        <v>1.4</v>
      </c>
      <c r="L34" s="95">
        <f>ROUND(K34*LABOR_DAY,0)</f>
        <v>26600</v>
      </c>
      <c r="M34" s="95">
        <f>J34+L34</f>
        <v>29100</v>
      </c>
      <c r="N34" s="99">
        <f>COEF</f>
        <v>1.22</v>
      </c>
      <c r="O34" s="93">
        <f>E34*M34</f>
        <v>29100</v>
      </c>
      <c r="P34" s="93">
        <f>ROUND(E34*L34*N34,0)</f>
        <v>32452</v>
      </c>
      <c r="Q34" s="100" t="inlineStr">
        <is>
          <t>図面カウント</t>
        </is>
      </c>
      <c r="R34" s="93">
        <f>IF(H34="","",H34-O34)</f>
        <v>6400</v>
      </c>
      <c r="S34" s="101">
        <f>IF(OR(H34="",H34=0),"",R34/H34)</f>
        <v>0.18028169014084508</v>
      </c>
      <c r="T34" s="95" t="n"/>
      <c r="U34" s="102" t="n"/>
      <c r="V34" s="103" t="inlineStr">
        <is>
          <t>全熱交換器 天井埋込（ダクト接続別）｜08にて中止→C-1で減額</t>
        </is>
      </c>
    </row>
    <row r="35" ht="18" customHeight="1">
      <c r="A35" s="91" t="inlineStr">
        <is>
          <t xml:space="preserve">　HEX-3 全熱交換器 据付</t>
        </is>
      </c>
      <c r="B35" s="40" t="n"/>
      <c r="C35" s="92" t="inlineStr">
        <is>
          <t>SKU-50AC 天井カセット コーチルーム・トレーニングルーム</t>
        </is>
      </c>
      <c r="D35" s="40" t="n"/>
      <c r="E35" s="93" t="n">
        <v>4</v>
      </c>
      <c r="F35" s="94" t="inlineStr">
        <is>
          <t>台</t>
        </is>
      </c>
      <c r="G35" s="95">
        <f>IF(M35="","",ROUND(M35*N35,-1))</f>
        <v>35500</v>
      </c>
      <c r="H35" s="93">
        <f>IF(G35="","",ROUND(E35*G35,0))</f>
        <v>142000</v>
      </c>
      <c r="I35" s="96" t="inlineStr">
        <is>
          <t>本体は元請様支給</t>
        </is>
      </c>
      <c r="J35" s="97" t="n">
        <v>2500</v>
      </c>
      <c r="K35" s="98" t="n">
        <v>1.4</v>
      </c>
      <c r="L35" s="95">
        <f>ROUND(K35*LABOR_DAY,0)</f>
        <v>26600</v>
      </c>
      <c r="M35" s="95">
        <f>J35+L35</f>
        <v>29100</v>
      </c>
      <c r="N35" s="99">
        <f>COEF</f>
        <v>1.22</v>
      </c>
      <c r="O35" s="93">
        <f>E35*M35</f>
        <v>116400</v>
      </c>
      <c r="P35" s="93">
        <f>ROUND(E35*L35*N35,0)</f>
        <v>129808</v>
      </c>
      <c r="Q35" s="100" t="inlineStr">
        <is>
          <t>図面カウント</t>
        </is>
      </c>
      <c r="R35" s="93">
        <f>IF(H35="","",H35-O35)</f>
        <v>25600</v>
      </c>
      <c r="S35" s="101">
        <f>IF(OR(H35="",H35=0),"",R35/H35)</f>
        <v>0.18028169014084508</v>
      </c>
      <c r="T35" s="95" t="n"/>
      <c r="U35" s="102" t="n"/>
      <c r="V35" s="103" t="inlineStr">
        <is>
          <t>全熱交換器 天井埋込（ダクト接続別）｜08にて中止→C-1で減額</t>
        </is>
      </c>
    </row>
    <row r="36" ht="18" customHeight="1">
      <c r="A36" s="91" t="inlineStr">
        <is>
          <t xml:space="preserve">　HEX-4 壁掛ロスナイ 据付</t>
        </is>
      </c>
      <c r="B36" s="40" t="n"/>
      <c r="C36" s="92" t="inlineStr">
        <is>
          <t>VL-10ES3 来客室・寮室(南)・寮務スタッフ室</t>
        </is>
      </c>
      <c r="D36" s="40" t="n"/>
      <c r="E36" s="93" t="n">
        <v>46</v>
      </c>
      <c r="F36" s="94" t="inlineStr">
        <is>
          <t>台</t>
        </is>
      </c>
      <c r="G36" s="95">
        <f>IF(M36="","",ROUND(M36*N36,-1))</f>
        <v>11040</v>
      </c>
      <c r="H36" s="93">
        <f>IF(G36="","",ROUND(E36*G36,0))</f>
        <v>507840</v>
      </c>
      <c r="I36" s="96" t="inlineStr">
        <is>
          <t>本体は元請様支給</t>
        </is>
      </c>
      <c r="J36" s="97" t="n">
        <v>500</v>
      </c>
      <c r="K36" s="98" t="n">
        <v>0.45</v>
      </c>
      <c r="L36" s="95">
        <f>ROUND(K36*LABOR_DAY,0)</f>
        <v>8550</v>
      </c>
      <c r="M36" s="95">
        <f>J36+L36</f>
        <v>9050</v>
      </c>
      <c r="N36" s="99">
        <f>COEF</f>
        <v>1.22</v>
      </c>
      <c r="O36" s="93">
        <f>E36*M36</f>
        <v>416300</v>
      </c>
      <c r="P36" s="93">
        <f>ROUND(E36*L36*N36,0)</f>
        <v>479826</v>
      </c>
      <c r="Q36" s="100" t="inlineStr">
        <is>
          <t>図面カウント</t>
        </is>
      </c>
      <c r="R36" s="93">
        <f>IF(H36="","",H36-O36)</f>
        <v>91540</v>
      </c>
      <c r="S36" s="101">
        <f>IF(OR(H36="",H36=0),"",R36/H36)</f>
        <v>0.1802536231884058</v>
      </c>
      <c r="T36" s="95" t="n"/>
      <c r="U36" s="102" t="n"/>
      <c r="V36" s="103" t="inlineStr">
        <is>
          <t>壁掛ロスナイ取付｜08にて中止→C-1で減額</t>
        </is>
      </c>
    </row>
    <row r="37" ht="18" customHeight="1">
      <c r="A37" s="91" t="inlineStr">
        <is>
          <t xml:space="preserve">　HEX-5 壁掛ロスナイ 据付</t>
        </is>
      </c>
      <c r="B37" s="40" t="n"/>
      <c r="C37" s="92" t="inlineStr">
        <is>
          <t>VL-12ESH3 寮室(北)</t>
        </is>
      </c>
      <c r="D37" s="40" t="n"/>
      <c r="E37" s="93" t="n">
        <v>27</v>
      </c>
      <c r="F37" s="94" t="inlineStr">
        <is>
          <t>台</t>
        </is>
      </c>
      <c r="G37" s="95">
        <f>IF(M37="","",ROUND(M37*N37,-1))</f>
        <v>11040</v>
      </c>
      <c r="H37" s="93">
        <f>IF(G37="","",ROUND(E37*G37,0))</f>
        <v>298080</v>
      </c>
      <c r="I37" s="96" t="inlineStr">
        <is>
          <t>本体は元請様支給</t>
        </is>
      </c>
      <c r="J37" s="97" t="n">
        <v>500</v>
      </c>
      <c r="K37" s="98" t="n">
        <v>0.45</v>
      </c>
      <c r="L37" s="95">
        <f>ROUND(K37*LABOR_DAY,0)</f>
        <v>8550</v>
      </c>
      <c r="M37" s="95">
        <f>J37+L37</f>
        <v>9050</v>
      </c>
      <c r="N37" s="99">
        <f>COEF</f>
        <v>1.22</v>
      </c>
      <c r="O37" s="93">
        <f>E37*M37</f>
        <v>244350</v>
      </c>
      <c r="P37" s="93">
        <f>ROUND(E37*L37*N37,0)</f>
        <v>281637</v>
      </c>
      <c r="Q37" s="100" t="inlineStr">
        <is>
          <t>図面カウント</t>
        </is>
      </c>
      <c r="R37" s="93">
        <f>IF(H37="","",H37-O37)</f>
        <v>53730</v>
      </c>
      <c r="S37" s="101">
        <f>IF(OR(H37="",H37=0),"",R37/H37)</f>
        <v>0.1802536231884058</v>
      </c>
      <c r="T37" s="95" t="n"/>
      <c r="U37" s="102" t="n"/>
      <c r="V37" s="103" t="inlineStr">
        <is>
          <t>壁掛ロスナイ取付｜08にて中止→C-1で減額</t>
        </is>
      </c>
    </row>
    <row r="38" ht="18" customHeight="1">
      <c r="A38" s="91" t="inlineStr">
        <is>
          <t xml:space="preserve">　F-1 中間ファン 据付</t>
        </is>
      </c>
      <c r="B38" s="40" t="n"/>
      <c r="C38" s="92" t="inlineStr">
        <is>
          <t>BFS-80SXA2 厨房用 洗浄室</t>
        </is>
      </c>
      <c r="D38" s="40" t="n"/>
      <c r="E38" s="93" t="n">
        <v>1</v>
      </c>
      <c r="F38" s="94" t="inlineStr">
        <is>
          <t>台</t>
        </is>
      </c>
      <c r="G38" s="95">
        <f>IF(M38="","",ROUND(M38*N38,-1))</f>
        <v>30260</v>
      </c>
      <c r="H38" s="93">
        <f>IF(G38="","",ROUND(E38*G38,0))</f>
        <v>30260</v>
      </c>
      <c r="I38" s="96" t="inlineStr">
        <is>
          <t>本体は元請様支給</t>
        </is>
      </c>
      <c r="J38" s="97" t="n">
        <v>2000</v>
      </c>
      <c r="K38" s="98" t="n">
        <v>1.2</v>
      </c>
      <c r="L38" s="95">
        <f>ROUND(K38*LABOR_DAY,0)</f>
        <v>22800</v>
      </c>
      <c r="M38" s="95">
        <f>J38+L38</f>
        <v>24800</v>
      </c>
      <c r="N38" s="99">
        <f>COEF</f>
        <v>1.22</v>
      </c>
      <c r="O38" s="93">
        <f>E38*M38</f>
        <v>24800</v>
      </c>
      <c r="P38" s="93">
        <f>ROUND(E38*L38*N38,0)</f>
        <v>27816</v>
      </c>
      <c r="Q38" s="100" t="inlineStr">
        <is>
          <t>図面カウント</t>
        </is>
      </c>
      <c r="R38" s="93">
        <f>IF(H38="","",H38-O38)</f>
        <v>5460</v>
      </c>
      <c r="S38" s="101">
        <f>IF(OR(H38="",H38=0),"",R38/H38)</f>
        <v>0.18043621943159285</v>
      </c>
      <c r="T38" s="95" t="n"/>
      <c r="U38" s="102" t="n"/>
      <c r="V38" s="103" t="inlineStr">
        <is>
          <t>中間ファン（防振吊）取付｜</t>
        </is>
      </c>
    </row>
    <row r="39" ht="18" customHeight="1">
      <c r="A39" s="91" t="inlineStr">
        <is>
          <t xml:space="preserve">　F-2 中間ファン 据付</t>
        </is>
      </c>
      <c r="B39" s="40" t="n"/>
      <c r="C39" s="92" t="inlineStr">
        <is>
          <t>BFS-150SXA2 厨房用 厨房</t>
        </is>
      </c>
      <c r="D39" s="40" t="n"/>
      <c r="E39" s="93" t="n">
        <v>1</v>
      </c>
      <c r="F39" s="94" t="inlineStr">
        <is>
          <t>台</t>
        </is>
      </c>
      <c r="G39" s="95">
        <f>IF(M39="","",ROUND(M39*N39,-1))</f>
        <v>30260</v>
      </c>
      <c r="H39" s="93">
        <f>IF(G39="","",ROUND(E39*G39,0))</f>
        <v>30260</v>
      </c>
      <c r="I39" s="96" t="inlineStr">
        <is>
          <t>本体は元請様支給</t>
        </is>
      </c>
      <c r="J39" s="97" t="n">
        <v>2000</v>
      </c>
      <c r="K39" s="98" t="n">
        <v>1.2</v>
      </c>
      <c r="L39" s="95">
        <f>ROUND(K39*LABOR_DAY,0)</f>
        <v>22800</v>
      </c>
      <c r="M39" s="95">
        <f>J39+L39</f>
        <v>24800</v>
      </c>
      <c r="N39" s="99">
        <f>COEF</f>
        <v>1.22</v>
      </c>
      <c r="O39" s="93">
        <f>E39*M39</f>
        <v>24800</v>
      </c>
      <c r="P39" s="93">
        <f>ROUND(E39*L39*N39,0)</f>
        <v>27816</v>
      </c>
      <c r="Q39" s="100" t="inlineStr">
        <is>
          <t>図面カウント</t>
        </is>
      </c>
      <c r="R39" s="93">
        <f>IF(H39="","",H39-O39)</f>
        <v>5460</v>
      </c>
      <c r="S39" s="101">
        <f>IF(OR(H39="",H39=0),"",R39/H39)</f>
        <v>0.18043621943159285</v>
      </c>
      <c r="T39" s="95" t="n"/>
      <c r="U39" s="102" t="n"/>
      <c r="V39" s="103" t="inlineStr">
        <is>
          <t>中間ファン（防振吊）取付｜</t>
        </is>
      </c>
    </row>
    <row r="40" ht="18" customHeight="1">
      <c r="A40" s="91" t="inlineStr">
        <is>
          <t xml:space="preserve">　F-3 有圧扇 据付</t>
        </is>
      </c>
      <c r="B40" s="40" t="n"/>
      <c r="C40" s="92" t="inlineStr">
        <is>
          <t>EF-30BSXC2-HC 厨房 ウェザーカバー・リモコン共</t>
        </is>
      </c>
      <c r="D40" s="40" t="n"/>
      <c r="E40" s="93" t="n">
        <v>3</v>
      </c>
      <c r="F40" s="94" t="inlineStr">
        <is>
          <t>台</t>
        </is>
      </c>
      <c r="G40" s="95">
        <f>IF(M40="","",ROUND(M40*N40,-1))</f>
        <v>22690</v>
      </c>
      <c r="H40" s="93">
        <f>IF(G40="","",ROUND(E40*G40,0))</f>
        <v>68070</v>
      </c>
      <c r="I40" s="96" t="inlineStr">
        <is>
          <t>本体は元請様支給</t>
        </is>
      </c>
      <c r="J40" s="97" t="n">
        <v>1500</v>
      </c>
      <c r="K40" s="98" t="n">
        <v>0.9</v>
      </c>
      <c r="L40" s="95">
        <f>ROUND(K40*LABOR_DAY,0)</f>
        <v>17100</v>
      </c>
      <c r="M40" s="95">
        <f>J40+L40</f>
        <v>18600</v>
      </c>
      <c r="N40" s="99">
        <f>COEF</f>
        <v>1.22</v>
      </c>
      <c r="O40" s="93">
        <f>E40*M40</f>
        <v>55800</v>
      </c>
      <c r="P40" s="93">
        <f>ROUND(E40*L40*N40,0)</f>
        <v>62586</v>
      </c>
      <c r="Q40" s="100" t="inlineStr">
        <is>
          <t>図面カウント</t>
        </is>
      </c>
      <c r="R40" s="93">
        <f>IF(H40="","",H40-O40)</f>
        <v>12270</v>
      </c>
      <c r="S40" s="101">
        <f>IF(OR(H40="",H40=0),"",R40/H40)</f>
        <v>0.18025561921551345</v>
      </c>
      <c r="T40" s="95" t="n"/>
      <c r="U40" s="102" t="n"/>
      <c r="V40" s="103" t="inlineStr">
        <is>
          <t>有圧扇＋ウェザーカバー取付｜</t>
        </is>
      </c>
    </row>
    <row r="41" ht="18" customHeight="1">
      <c r="A41" s="91" t="inlineStr">
        <is>
          <t xml:space="preserve">　F-4 サイクル扇 据付</t>
        </is>
      </c>
      <c r="B41" s="40" t="n"/>
      <c r="C41" s="92" t="inlineStr">
        <is>
          <t>CY-30WD 脱衣室 速度調節器共</t>
        </is>
      </c>
      <c r="D41" s="40" t="n"/>
      <c r="E41" s="93" t="n">
        <v>4</v>
      </c>
      <c r="F41" s="94" t="inlineStr">
        <is>
          <t>台</t>
        </is>
      </c>
      <c r="G41" s="95">
        <f>IF(M41="","",ROUND(M41*N41,-1))</f>
        <v>8480</v>
      </c>
      <c r="H41" s="93">
        <f>IF(G41="","",ROUND(E41*G41,0))</f>
        <v>33920</v>
      </c>
      <c r="I41" s="96" t="inlineStr">
        <is>
          <t>本体は元請様支給</t>
        </is>
      </c>
      <c r="J41" s="97" t="n">
        <v>300</v>
      </c>
      <c r="K41" s="98" t="n">
        <v>0.35</v>
      </c>
      <c r="L41" s="95">
        <f>ROUND(K41*LABOR_DAY,0)</f>
        <v>6650</v>
      </c>
      <c r="M41" s="95">
        <f>J41+L41</f>
        <v>6950</v>
      </c>
      <c r="N41" s="99">
        <f>COEF</f>
        <v>1.22</v>
      </c>
      <c r="O41" s="93">
        <f>E41*M41</f>
        <v>27800</v>
      </c>
      <c r="P41" s="93">
        <f>ROUND(E41*L41*N41,0)</f>
        <v>32452</v>
      </c>
      <c r="Q41" s="100" t="inlineStr">
        <is>
          <t>図面カウント</t>
        </is>
      </c>
      <c r="R41" s="93">
        <f>IF(H41="","",H41-O41)</f>
        <v>6120</v>
      </c>
      <c r="S41" s="101">
        <f>IF(OR(H41="",H41=0),"",R41/H41)</f>
        <v>0.1804245283018868</v>
      </c>
      <c r="T41" s="95" t="n"/>
      <c r="U41" s="102" t="n"/>
      <c r="V41" s="103" t="inlineStr">
        <is>
          <t>サイクル扇｜</t>
        </is>
      </c>
    </row>
    <row r="42" ht="18" customHeight="1">
      <c r="A42" s="91" t="inlineStr">
        <is>
          <t xml:space="preserve">　FS-1 中間ファン 据付</t>
        </is>
      </c>
      <c r="B42" s="40" t="n"/>
      <c r="C42" s="92" t="inlineStr">
        <is>
          <t>BFS-80SUG2 給気 洗浄室 F-1と連動</t>
        </is>
      </c>
      <c r="D42" s="40" t="n"/>
      <c r="E42" s="93" t="n">
        <v>1</v>
      </c>
      <c r="F42" s="94" t="inlineStr">
        <is>
          <t>台</t>
        </is>
      </c>
      <c r="G42" s="95">
        <f>IF(M42="","",ROUND(M42*N42,-1))</f>
        <v>30260</v>
      </c>
      <c r="H42" s="93">
        <f>IF(G42="","",ROUND(E42*G42,0))</f>
        <v>30260</v>
      </c>
      <c r="I42" s="96" t="inlineStr">
        <is>
          <t>本体は元請様支給</t>
        </is>
      </c>
      <c r="J42" s="97" t="n">
        <v>2000</v>
      </c>
      <c r="K42" s="98" t="n">
        <v>1.2</v>
      </c>
      <c r="L42" s="95">
        <f>ROUND(K42*LABOR_DAY,0)</f>
        <v>22800</v>
      </c>
      <c r="M42" s="95">
        <f>J42+L42</f>
        <v>24800</v>
      </c>
      <c r="N42" s="99">
        <f>COEF</f>
        <v>1.22</v>
      </c>
      <c r="O42" s="93">
        <f>E42*M42</f>
        <v>24800</v>
      </c>
      <c r="P42" s="93">
        <f>ROUND(E42*L42*N42,0)</f>
        <v>27816</v>
      </c>
      <c r="Q42" s="100" t="inlineStr">
        <is>
          <t>図面カウント</t>
        </is>
      </c>
      <c r="R42" s="93">
        <f>IF(H42="","",H42-O42)</f>
        <v>5460</v>
      </c>
      <c r="S42" s="101">
        <f>IF(OR(H42="",H42=0),"",R42/H42)</f>
        <v>0.18043621943159285</v>
      </c>
      <c r="T42" s="95" t="n"/>
      <c r="U42" s="102" t="n"/>
      <c r="V42" s="103" t="inlineStr">
        <is>
          <t>中間ファン（防振吊）取付｜</t>
        </is>
      </c>
    </row>
    <row r="43" ht="18" customHeight="1">
      <c r="A43" s="91" t="inlineStr">
        <is>
          <t xml:space="preserve">　FS-2 中間ファン 据付</t>
        </is>
      </c>
      <c r="B43" s="40" t="n"/>
      <c r="C43" s="92" t="inlineStr">
        <is>
          <t>BFS-150SUG2 給気 厨房 F-2と連動</t>
        </is>
      </c>
      <c r="D43" s="40" t="n"/>
      <c r="E43" s="93" t="n">
        <v>1</v>
      </c>
      <c r="F43" s="94" t="inlineStr">
        <is>
          <t>台</t>
        </is>
      </c>
      <c r="G43" s="95">
        <f>IF(M43="","",ROUND(M43*N43,-1))</f>
        <v>30260</v>
      </c>
      <c r="H43" s="93">
        <f>IF(G43="","",ROUND(E43*G43,0))</f>
        <v>30260</v>
      </c>
      <c r="I43" s="96" t="inlineStr">
        <is>
          <t>本体は元請様支給</t>
        </is>
      </c>
      <c r="J43" s="97" t="n">
        <v>2000</v>
      </c>
      <c r="K43" s="98" t="n">
        <v>1.2</v>
      </c>
      <c r="L43" s="95">
        <f>ROUND(K43*LABOR_DAY,0)</f>
        <v>22800</v>
      </c>
      <c r="M43" s="95">
        <f>J43+L43</f>
        <v>24800</v>
      </c>
      <c r="N43" s="99">
        <f>COEF</f>
        <v>1.22</v>
      </c>
      <c r="O43" s="93">
        <f>E43*M43</f>
        <v>24800</v>
      </c>
      <c r="P43" s="93">
        <f>ROUND(E43*L43*N43,0)</f>
        <v>27816</v>
      </c>
      <c r="Q43" s="100" t="inlineStr">
        <is>
          <t>図面カウント</t>
        </is>
      </c>
      <c r="R43" s="93">
        <f>IF(H43="","",H43-O43)</f>
        <v>5460</v>
      </c>
      <c r="S43" s="101">
        <f>IF(OR(H43="",H43=0),"",R43/H43)</f>
        <v>0.18043621943159285</v>
      </c>
      <c r="T43" s="95" t="n"/>
      <c r="U43" s="102" t="n"/>
      <c r="V43" s="103" t="inlineStr">
        <is>
          <t>中間ファン（防振吊）取付｜</t>
        </is>
      </c>
    </row>
    <row r="44" ht="18" customHeight="1">
      <c r="A44" s="91" t="inlineStr">
        <is>
          <t xml:space="preserve">　全熱交換器・中間ファン リモコン配線</t>
        </is>
      </c>
      <c r="B44" s="40" t="n"/>
      <c r="C44" s="92" t="inlineStr">
        <is>
          <t>HEX-1,2,3(4台)・F-3 リモコン線 工事区分表: 機械</t>
        </is>
      </c>
      <c r="D44" s="40" t="n"/>
      <c r="E44" s="93" t="n">
        <v>9</v>
      </c>
      <c r="F44" s="94" t="inlineStr">
        <is>
          <t>台</t>
        </is>
      </c>
      <c r="G44" s="95">
        <f>IF(M44="","",ROUND(M44*N44,-1))</f>
        <v>10490</v>
      </c>
      <c r="H44" s="93">
        <f>IF(G44="","",ROUND(E44*G44,0))</f>
        <v>94410</v>
      </c>
      <c r="I44" s="96" t="inlineStr">
        <is>
          <t>図面08 中止に伴う減額</t>
        </is>
      </c>
      <c r="J44" s="97" t="n">
        <v>1000</v>
      </c>
      <c r="K44" s="98" t="n">
        <v>0.4</v>
      </c>
      <c r="L44" s="95">
        <f>ROUND(K44*LABOR_DAY,0)</f>
        <v>7600</v>
      </c>
      <c r="M44" s="95">
        <f>J44+L44</f>
        <v>8600</v>
      </c>
      <c r="N44" s="99">
        <f>COEF</f>
        <v>1.22</v>
      </c>
      <c r="O44" s="93">
        <f>E44*M44</f>
        <v>77400</v>
      </c>
      <c r="P44" s="93">
        <f>ROUND(E44*L44*N44,0)</f>
        <v>83448</v>
      </c>
      <c r="Q44" s="100" t="inlineStr">
        <is>
          <t>図面カウント</t>
        </is>
      </c>
      <c r="R44" s="93">
        <f>IF(H44="","",H44-O44)</f>
        <v>17010</v>
      </c>
      <c r="S44" s="101">
        <f>IF(OR(H44="",H44=0),"",R44/H44)</f>
        <v>0.1801715919923737</v>
      </c>
      <c r="T44" s="95" t="n">
        <v>9630</v>
      </c>
      <c r="U44" s="102">
        <f>IF(OR(T44="",T44=0),"",G44/T44)</f>
        <v>1.0893042575285565</v>
      </c>
      <c r="V44" s="103" t="inlineStr">
        <is>
          <t>リモコン配線工事 9,630/系統（6330549/558/476-3）｜HEX分は08で減額</t>
        </is>
      </c>
    </row>
    <row r="45" ht="18" customHeight="1">
      <c r="A45" s="91" t="inlineStr">
        <is>
          <t xml:space="preserve">　機器搬入・養生</t>
        </is>
      </c>
      <c r="B45" s="40" t="n"/>
      <c r="C45" s="92" t="inlineStr">
        <is>
          <t>換気機器 約140台</t>
        </is>
      </c>
      <c r="D45" s="40" t="n"/>
      <c r="E45" s="93" t="n">
        <v>1</v>
      </c>
      <c r="F45" s="94" t="inlineStr">
        <is>
          <t>式</t>
        </is>
      </c>
      <c r="G45" s="95">
        <f>IF(M45="","",ROUND(M45*N45,-1))</f>
        <v>81130</v>
      </c>
      <c r="H45" s="93">
        <f>IF(G45="","",ROUND(E45*G45,0))</f>
        <v>81130</v>
      </c>
      <c r="I45" s="96" t="inlineStr">
        <is>
          <t>想定数量（別紙条件書）</t>
        </is>
      </c>
      <c r="J45" s="97" t="n">
        <v>0</v>
      </c>
      <c r="K45" s="98" t="n">
        <v>3.5</v>
      </c>
      <c r="L45" s="95">
        <f>ROUND(K45*LABOR_DAY,0)</f>
        <v>66500</v>
      </c>
      <c r="M45" s="95">
        <f>J45+L45</f>
        <v>66500</v>
      </c>
      <c r="N45" s="99">
        <f>COEF</f>
        <v>1.22</v>
      </c>
      <c r="O45" s="93">
        <f>E45*M45</f>
        <v>66500</v>
      </c>
      <c r="P45" s="93">
        <f>ROUND(E45*L45*N45,0)</f>
        <v>81130</v>
      </c>
      <c r="Q45" s="104" t="inlineStr">
        <is>
          <t>推測</t>
        </is>
      </c>
      <c r="R45" s="93">
        <f>IF(H45="","",H45-O45)</f>
        <v>14630</v>
      </c>
      <c r="S45" s="101">
        <f>IF(OR(H45="",H45=0),"",R45/H45)</f>
        <v>0.18032786885245902</v>
      </c>
      <c r="T45" s="95" t="n"/>
      <c r="U45" s="102" t="n"/>
      <c r="V45" s="103" t="inlineStr">
        <is>
          <t>搬入・小運搬 人工｜</t>
        </is>
      </c>
    </row>
    <row r="46" ht="18" customHeight="1">
      <c r="A46" s="90" t="inlineStr">
        <is>
          <t>（2）ダクト工事</t>
        </is>
      </c>
      <c r="B46" s="40" t="n"/>
      <c r="C46" s="40" t="n"/>
      <c r="D46" s="40" t="n"/>
      <c r="E46" s="40" t="n"/>
      <c r="F46" s="40" t="n"/>
      <c r="G46" s="40" t="n"/>
      <c r="H46" s="40" t="n"/>
      <c r="I46" s="89" t="n"/>
      <c r="J46" s="40" t="n"/>
      <c r="K46" s="40" t="n"/>
      <c r="L46" s="40" t="n"/>
      <c r="M46" s="40" t="n"/>
      <c r="N46" s="40" t="n"/>
      <c r="O46" s="40" t="n"/>
      <c r="P46" s="40" t="n"/>
      <c r="Q46" s="40" t="n"/>
      <c r="R46" s="40" t="n"/>
      <c r="S46" s="40" t="n"/>
      <c r="T46" s="40" t="n"/>
      <c r="U46" s="40" t="n"/>
      <c r="V46" s="40" t="n"/>
    </row>
    <row r="47" ht="18" customHeight="1">
      <c r="A47" s="91" t="inlineStr">
        <is>
          <t xml:space="preserve">　スパイラルダクト 100φ (EA)</t>
        </is>
      </c>
      <c r="B47" s="40" t="n"/>
      <c r="C47" s="92" t="inlineStr">
        <is>
          <t>亜鉛鉄板 低速 継手・支持共</t>
        </is>
      </c>
      <c r="D47" s="40" t="n"/>
      <c r="E47" s="93" t="n">
        <v>68</v>
      </c>
      <c r="F47" s="94" t="inlineStr">
        <is>
          <t>m</t>
        </is>
      </c>
      <c r="G47" s="95">
        <f>IF(M47="","",ROUND(M47*N47,-1))</f>
        <v>4000</v>
      </c>
      <c r="H47" s="93">
        <f>IF(G47="","",ROUND(E47*G47,0))</f>
        <v>272000</v>
      </c>
      <c r="I47" s="96" t="inlineStr">
        <is>
          <t>図面実測数量</t>
        </is>
      </c>
      <c r="J47" s="97" t="n">
        <v>1000</v>
      </c>
      <c r="K47" s="98" t="n">
        <v>0.12</v>
      </c>
      <c r="L47" s="95">
        <f>ROUND(K47*LABOR_DAY,0)</f>
        <v>2280</v>
      </c>
      <c r="M47" s="95">
        <f>J47+L47</f>
        <v>3280</v>
      </c>
      <c r="N47" s="99">
        <f>COEF</f>
        <v>1.22</v>
      </c>
      <c r="O47" s="93">
        <f>E47*M47</f>
        <v>223040</v>
      </c>
      <c r="P47" s="93">
        <f>ROUND(E47*L47*N47,0)</f>
        <v>189149</v>
      </c>
      <c r="Q47" s="100" t="inlineStr">
        <is>
          <t>実測</t>
        </is>
      </c>
      <c r="R47" s="93">
        <f>IF(H47="","",H47-O47)</f>
        <v>48960</v>
      </c>
      <c r="S47" s="101">
        <f>IF(OR(H47="",H47=0),"",R47/H47)</f>
        <v>0.18</v>
      </c>
      <c r="T47" s="95" t="n"/>
      <c r="U47" s="102" t="n"/>
      <c r="V47" s="103" t="inlineStr">
        <is>
          <t>ダクト（参考実績なし・市況）｜1F 62.6m・2F 5.2m</t>
        </is>
      </c>
    </row>
    <row r="48" ht="18" customHeight="1">
      <c r="A48" s="91" t="inlineStr">
        <is>
          <t xml:space="preserve">　スパイラルダクト 150φ (EA)</t>
        </is>
      </c>
      <c r="B48" s="40" t="n"/>
      <c r="C48" s="92" t="inlineStr">
        <is>
          <t>亜鉛鉄板 低速 継手・支持共</t>
        </is>
      </c>
      <c r="D48" s="40" t="n"/>
      <c r="E48" s="93" t="n">
        <v>151</v>
      </c>
      <c r="F48" s="94" t="inlineStr">
        <is>
          <t>m</t>
        </is>
      </c>
      <c r="G48" s="95">
        <f>IF(M48="","",ROUND(M48*N48,-1))</f>
        <v>4950</v>
      </c>
      <c r="H48" s="93">
        <f>IF(G48="","",ROUND(E48*G48,0))</f>
        <v>747450</v>
      </c>
      <c r="I48" s="96" t="inlineStr">
        <is>
          <t>図面実測数量</t>
        </is>
      </c>
      <c r="J48" s="97" t="n">
        <v>1400</v>
      </c>
      <c r="K48" s="98" t="n">
        <v>0.14</v>
      </c>
      <c r="L48" s="95">
        <f>ROUND(K48*LABOR_DAY,0)</f>
        <v>2660</v>
      </c>
      <c r="M48" s="95">
        <f>J48+L48</f>
        <v>4060</v>
      </c>
      <c r="N48" s="99">
        <f>COEF</f>
        <v>1.22</v>
      </c>
      <c r="O48" s="93">
        <f>E48*M48</f>
        <v>613060</v>
      </c>
      <c r="P48" s="93">
        <f>ROUND(E48*L48*N48,0)</f>
        <v>490025</v>
      </c>
      <c r="Q48" s="100" t="inlineStr">
        <is>
          <t>実測</t>
        </is>
      </c>
      <c r="R48" s="93">
        <f>IF(H48="","",H48-O48)</f>
        <v>134390</v>
      </c>
      <c r="S48" s="101">
        <f>IF(OR(H48="",H48=0),"",R48/H48)</f>
        <v>0.1797979797979798</v>
      </c>
      <c r="T48" s="95" t="n"/>
      <c r="U48" s="102" t="n"/>
      <c r="V48" s="103" t="inlineStr">
        <is>
          <t>1F 122.4m・2F 28.2m(口径未判読分含む)</t>
        </is>
      </c>
    </row>
    <row r="49" ht="18" customHeight="1">
      <c r="A49" s="91" t="inlineStr">
        <is>
          <t xml:space="preserve">　スパイラルダクト 200φ (EA)</t>
        </is>
      </c>
      <c r="B49" s="40" t="n"/>
      <c r="C49" s="92" t="inlineStr">
        <is>
          <t>亜鉛鉄板 低速 継手・支持共</t>
        </is>
      </c>
      <c r="D49" s="40" t="n"/>
      <c r="E49" s="93" t="n">
        <v>44</v>
      </c>
      <c r="F49" s="94" t="inlineStr">
        <is>
          <t>m</t>
        </is>
      </c>
      <c r="G49" s="95">
        <f>IF(M49="","",ROUND(M49*N49,-1))</f>
        <v>6030</v>
      </c>
      <c r="H49" s="93">
        <f>IF(G49="","",ROUND(E49*G49,0))</f>
        <v>265320</v>
      </c>
      <c r="I49" s="96" t="inlineStr">
        <is>
          <t>図面実測＋想定（別紙）</t>
        </is>
      </c>
      <c r="J49" s="97" t="n">
        <v>1900</v>
      </c>
      <c r="K49" s="98" t="n">
        <v>0.16</v>
      </c>
      <c r="L49" s="95">
        <f>ROUND(K49*LABOR_DAY,0)</f>
        <v>3040</v>
      </c>
      <c r="M49" s="95">
        <f>J49+L49</f>
        <v>4940</v>
      </c>
      <c r="N49" s="99">
        <f>COEF</f>
        <v>1.22</v>
      </c>
      <c r="O49" s="93">
        <f>E49*M49</f>
        <v>217360</v>
      </c>
      <c r="P49" s="93">
        <f>ROUND(E49*L49*N49,0)</f>
        <v>163187</v>
      </c>
      <c r="Q49" s="100" t="inlineStr">
        <is>
          <t>実測+推測</t>
        </is>
      </c>
      <c r="R49" s="93">
        <f>IF(H49="","",H49-O49)</f>
        <v>47960</v>
      </c>
      <c r="S49" s="101">
        <f>IF(OR(H49="",H49=0),"",R49/H49)</f>
        <v>0.18076285240464346</v>
      </c>
      <c r="T49" s="95" t="n"/>
      <c r="U49" s="102" t="n"/>
      <c r="V49" s="103" t="inlineStr">
        <is>
          <t>1F 25.2m・2F 9.8m 実測＋厨房詳細図 9m 推測</t>
        </is>
      </c>
    </row>
    <row r="50" ht="18" customHeight="1">
      <c r="A50" s="91" t="inlineStr">
        <is>
          <t xml:space="preserve">　スパイラルダクト 250φ (EA 厨房)</t>
        </is>
      </c>
      <c r="B50" s="40" t="n"/>
      <c r="C50" s="92" t="inlineStr">
        <is>
          <t>亜鉛鉄板 継手・支持共</t>
        </is>
      </c>
      <c r="D50" s="40" t="n"/>
      <c r="E50" s="93" t="n">
        <v>6</v>
      </c>
      <c r="F50" s="94" t="inlineStr">
        <is>
          <t>m</t>
        </is>
      </c>
      <c r="G50" s="95">
        <f>IF(M50="","",ROUND(M50*N50,-1))</f>
        <v>7810</v>
      </c>
      <c r="H50" s="93">
        <f>IF(G50="","",ROUND(E50*G50,0))</f>
        <v>46860</v>
      </c>
      <c r="I50" s="96" t="inlineStr">
        <is>
          <t>想定数量（別紙条件書）</t>
        </is>
      </c>
      <c r="J50" s="97" t="n">
        <v>2600</v>
      </c>
      <c r="K50" s="98" t="n">
        <v>0.2</v>
      </c>
      <c r="L50" s="95">
        <f>ROUND(K50*LABOR_DAY,0)</f>
        <v>3800</v>
      </c>
      <c r="M50" s="95">
        <f>J50+L50</f>
        <v>6400</v>
      </c>
      <c r="N50" s="99">
        <f>COEF</f>
        <v>1.22</v>
      </c>
      <c r="O50" s="93">
        <f>E50*M50</f>
        <v>38400</v>
      </c>
      <c r="P50" s="93">
        <f>ROUND(E50*L50*N50,0)</f>
        <v>27816</v>
      </c>
      <c r="Q50" s="104" t="inlineStr">
        <is>
          <t>推測</t>
        </is>
      </c>
      <c r="R50" s="93">
        <f>IF(H50="","",H50-O50)</f>
        <v>8460</v>
      </c>
      <c r="S50" s="101">
        <f>IF(OR(H50="",H50=0),"",R50/H50)</f>
        <v>0.18053777208706787</v>
      </c>
      <c r="T50" s="95" t="n"/>
      <c r="U50" s="102" t="n"/>
      <c r="V50" s="103" t="inlineStr">
        <is>
          <t>厨房廻り平面詳細図より</t>
        </is>
      </c>
    </row>
    <row r="51" ht="18" customHeight="1">
      <c r="A51" s="91" t="inlineStr">
        <is>
          <t xml:space="preserve">　スパイラルダクト 300φ (EA 厨房)</t>
        </is>
      </c>
      <c r="B51" s="40" t="n"/>
      <c r="C51" s="92" t="inlineStr">
        <is>
          <t>亜鉛鉄板 継手・支持共</t>
        </is>
      </c>
      <c r="D51" s="40" t="n"/>
      <c r="E51" s="93" t="n">
        <v>5</v>
      </c>
      <c r="F51" s="94" t="inlineStr">
        <is>
          <t>m</t>
        </is>
      </c>
      <c r="G51" s="95">
        <f>IF(M51="","",ROUND(M51*N51,-1))</f>
        <v>9590</v>
      </c>
      <c r="H51" s="93">
        <f>IF(G51="","",ROUND(E51*G51,0))</f>
        <v>47950</v>
      </c>
      <c r="I51" s="96" t="inlineStr">
        <is>
          <t>想定数量（別紙条件書）</t>
        </is>
      </c>
      <c r="J51" s="97" t="n">
        <v>3300</v>
      </c>
      <c r="K51" s="98" t="n">
        <v>0.24</v>
      </c>
      <c r="L51" s="95">
        <f>ROUND(K51*LABOR_DAY,0)</f>
        <v>4560</v>
      </c>
      <c r="M51" s="95">
        <f>J51+L51</f>
        <v>7860</v>
      </c>
      <c r="N51" s="99">
        <f>COEF</f>
        <v>1.22</v>
      </c>
      <c r="O51" s="93">
        <f>E51*M51</f>
        <v>39300</v>
      </c>
      <c r="P51" s="93">
        <f>ROUND(E51*L51*N51,0)</f>
        <v>27816</v>
      </c>
      <c r="Q51" s="104" t="inlineStr">
        <is>
          <t>推測</t>
        </is>
      </c>
      <c r="R51" s="93">
        <f>IF(H51="","",H51-O51)</f>
        <v>8650</v>
      </c>
      <c r="S51" s="101">
        <f>IF(OR(H51="",H51=0),"",R51/H51)</f>
        <v>0.18039624608967675</v>
      </c>
      <c r="T51" s="95" t="n"/>
      <c r="U51" s="102" t="n"/>
      <c r="V51" s="103" t="inlineStr">
        <is>
          <t>フード③④→F-3 3台</t>
        </is>
      </c>
    </row>
    <row r="52" ht="18" customHeight="1">
      <c r="A52" s="91" t="inlineStr">
        <is>
          <t xml:space="preserve">　スパイラルダクト 100φ (OA)</t>
        </is>
      </c>
      <c r="B52" s="40" t="n"/>
      <c r="C52" s="92" t="inlineStr">
        <is>
          <t>亜鉛鉄板 継手・支持共</t>
        </is>
      </c>
      <c r="D52" s="40" t="n"/>
      <c r="E52" s="93" t="n">
        <v>4</v>
      </c>
      <c r="F52" s="94" t="inlineStr">
        <is>
          <t>m</t>
        </is>
      </c>
      <c r="G52" s="95">
        <f>IF(M52="","",ROUND(M52*N52,-1))</f>
        <v>4000</v>
      </c>
      <c r="H52" s="93">
        <f>IF(G52="","",ROUND(E52*G52,0))</f>
        <v>16000</v>
      </c>
      <c r="I52" s="96" t="inlineStr">
        <is>
          <t>図面実測数量</t>
        </is>
      </c>
      <c r="J52" s="97" t="n">
        <v>1000</v>
      </c>
      <c r="K52" s="98" t="n">
        <v>0.12</v>
      </c>
      <c r="L52" s="95">
        <f>ROUND(K52*LABOR_DAY,0)</f>
        <v>2280</v>
      </c>
      <c r="M52" s="95">
        <f>J52+L52</f>
        <v>3280</v>
      </c>
      <c r="N52" s="99">
        <f>COEF</f>
        <v>1.22</v>
      </c>
      <c r="O52" s="93">
        <f>E52*M52</f>
        <v>13120</v>
      </c>
      <c r="P52" s="93">
        <f>ROUND(E52*L52*N52,0)</f>
        <v>11126</v>
      </c>
      <c r="Q52" s="100" t="inlineStr">
        <is>
          <t>実測</t>
        </is>
      </c>
      <c r="R52" s="93">
        <f>IF(H52="","",H52-O52)</f>
        <v>2880</v>
      </c>
      <c r="S52" s="101">
        <f>IF(OR(H52="",H52=0),"",R52/H52)</f>
        <v>0.18</v>
      </c>
      <c r="T52" s="95" t="n"/>
      <c r="U52" s="102" t="n"/>
      <c r="V52" s="103" t="inlineStr">
        <is>
          <t>ダクト（参考実績なし・市況）｜</t>
        </is>
      </c>
    </row>
    <row r="53" ht="18" customHeight="1">
      <c r="A53" s="91" t="inlineStr">
        <is>
          <t xml:space="preserve">　スパイラルダクト 150φ (OA)</t>
        </is>
      </c>
      <c r="B53" s="40" t="n"/>
      <c r="C53" s="92" t="inlineStr">
        <is>
          <t>亜鉛鉄板 継手・支持共</t>
        </is>
      </c>
      <c r="D53" s="40" t="n"/>
      <c r="E53" s="93" t="n">
        <v>51</v>
      </c>
      <c r="F53" s="94" t="inlineStr">
        <is>
          <t>m</t>
        </is>
      </c>
      <c r="G53" s="95">
        <f>IF(M53="","",ROUND(M53*N53,-1))</f>
        <v>4950</v>
      </c>
      <c r="H53" s="93">
        <f>IF(G53="","",ROUND(E53*G53,0))</f>
        <v>252450</v>
      </c>
      <c r="I53" s="96" t="inlineStr">
        <is>
          <t>図面実測数量</t>
        </is>
      </c>
      <c r="J53" s="97" t="n">
        <v>1400</v>
      </c>
      <c r="K53" s="98" t="n">
        <v>0.14</v>
      </c>
      <c r="L53" s="95">
        <f>ROUND(K53*LABOR_DAY,0)</f>
        <v>2660</v>
      </c>
      <c r="M53" s="95">
        <f>J53+L53</f>
        <v>4060</v>
      </c>
      <c r="N53" s="99">
        <f>COEF</f>
        <v>1.22</v>
      </c>
      <c r="O53" s="93">
        <f>E53*M53</f>
        <v>207060</v>
      </c>
      <c r="P53" s="93">
        <f>ROUND(E53*L53*N53,0)</f>
        <v>165505</v>
      </c>
      <c r="Q53" s="100" t="inlineStr">
        <is>
          <t>実測</t>
        </is>
      </c>
      <c r="R53" s="93">
        <f>IF(H53="","",H53-O53)</f>
        <v>45390</v>
      </c>
      <c r="S53" s="101">
        <f>IF(OR(H53="",H53=0),"",R53/H53)</f>
        <v>0.1797979797979798</v>
      </c>
      <c r="T53" s="95" t="n"/>
      <c r="U53" s="102" t="n"/>
      <c r="V53" s="103" t="inlineStr">
        <is>
          <t>1F 50.4m</t>
        </is>
      </c>
    </row>
    <row r="54" ht="18" customHeight="1">
      <c r="A54" s="91" t="inlineStr">
        <is>
          <t xml:space="preserve">　スパイラルダクト 200φ (OA)</t>
        </is>
      </c>
      <c r="B54" s="40" t="n"/>
      <c r="C54" s="92" t="inlineStr">
        <is>
          <t>亜鉛鉄板 継手・支持共</t>
        </is>
      </c>
      <c r="D54" s="40" t="n"/>
      <c r="E54" s="93" t="n">
        <v>57</v>
      </c>
      <c r="F54" s="94" t="inlineStr">
        <is>
          <t>m</t>
        </is>
      </c>
      <c r="G54" s="95">
        <f>IF(M54="","",ROUND(M54*N54,-1))</f>
        <v>6030</v>
      </c>
      <c r="H54" s="93">
        <f>IF(G54="","",ROUND(E54*G54,0))</f>
        <v>343710</v>
      </c>
      <c r="I54" s="96" t="inlineStr">
        <is>
          <t>図面実測＋想定（別紙）</t>
        </is>
      </c>
      <c r="J54" s="97" t="n">
        <v>1900</v>
      </c>
      <c r="K54" s="98" t="n">
        <v>0.16</v>
      </c>
      <c r="L54" s="95">
        <f>ROUND(K54*LABOR_DAY,0)</f>
        <v>3040</v>
      </c>
      <c r="M54" s="95">
        <f>J54+L54</f>
        <v>4940</v>
      </c>
      <c r="N54" s="99">
        <f>COEF</f>
        <v>1.22</v>
      </c>
      <c r="O54" s="93">
        <f>E54*M54</f>
        <v>281580</v>
      </c>
      <c r="P54" s="93">
        <f>ROUND(E54*L54*N54,0)</f>
        <v>211402</v>
      </c>
      <c r="Q54" s="100" t="inlineStr">
        <is>
          <t>実測+推測</t>
        </is>
      </c>
      <c r="R54" s="93">
        <f>IF(H54="","",H54-O54)</f>
        <v>62130</v>
      </c>
      <c r="S54" s="101">
        <f>IF(OR(H54="",H54=0),"",R54/H54)</f>
        <v>0.18076285240464346</v>
      </c>
      <c r="T54" s="95" t="n"/>
      <c r="U54" s="102" t="n"/>
      <c r="V54" s="103" t="inlineStr">
        <is>
          <t>1F 45.7m・2F 3.5m 実測＋厨房FS-1 7.5m 推測</t>
        </is>
      </c>
    </row>
    <row r="55" ht="18" customHeight="1">
      <c r="A55" s="91" t="inlineStr">
        <is>
          <t xml:space="preserve">　スパイラルダクト 250φ (OA 厨房 FS-2)</t>
        </is>
      </c>
      <c r="B55" s="40" t="n"/>
      <c r="C55" s="92" t="inlineStr">
        <is>
          <t>亜鉛鉄板 継手・支持共</t>
        </is>
      </c>
      <c r="D55" s="40" t="n"/>
      <c r="E55" s="93" t="n">
        <v>6</v>
      </c>
      <c r="F55" s="94" t="inlineStr">
        <is>
          <t>m</t>
        </is>
      </c>
      <c r="G55" s="95">
        <f>IF(M55="","",ROUND(M55*N55,-1))</f>
        <v>7810</v>
      </c>
      <c r="H55" s="93">
        <f>IF(G55="","",ROUND(E55*G55,0))</f>
        <v>46860</v>
      </c>
      <c r="I55" s="96" t="inlineStr">
        <is>
          <t>想定数量（別紙条件書）</t>
        </is>
      </c>
      <c r="J55" s="97" t="n">
        <v>2600</v>
      </c>
      <c r="K55" s="98" t="n">
        <v>0.2</v>
      </c>
      <c r="L55" s="95">
        <f>ROUND(K55*LABOR_DAY,0)</f>
        <v>3800</v>
      </c>
      <c r="M55" s="95">
        <f>J55+L55</f>
        <v>6400</v>
      </c>
      <c r="N55" s="99">
        <f>COEF</f>
        <v>1.22</v>
      </c>
      <c r="O55" s="93">
        <f>E55*M55</f>
        <v>38400</v>
      </c>
      <c r="P55" s="93">
        <f>ROUND(E55*L55*N55,0)</f>
        <v>27816</v>
      </c>
      <c r="Q55" s="104" t="inlineStr">
        <is>
          <t>推測</t>
        </is>
      </c>
      <c r="R55" s="93">
        <f>IF(H55="","",H55-O55)</f>
        <v>8460</v>
      </c>
      <c r="S55" s="101">
        <f>IF(OR(H55="",H55=0),"",R55/H55)</f>
        <v>0.18053777208706787</v>
      </c>
      <c r="T55" s="95" t="n"/>
      <c r="U55" s="102" t="n"/>
      <c r="V55" s="103" t="n"/>
    </row>
    <row r="56" ht="18" customHeight="1">
      <c r="A56" s="91" t="inlineStr">
        <is>
          <t xml:space="preserve">　スパイラルダクト 300φ (OA 厨房)</t>
        </is>
      </c>
      <c r="B56" s="40" t="n"/>
      <c r="C56" s="92" t="inlineStr">
        <is>
          <t>亜鉛鉄板 継手・支持共 F-3用自然給気</t>
        </is>
      </c>
      <c r="D56" s="40" t="n"/>
      <c r="E56" s="93" t="n">
        <v>3</v>
      </c>
      <c r="F56" s="94" t="inlineStr">
        <is>
          <t>m</t>
        </is>
      </c>
      <c r="G56" s="95">
        <f>IF(M56="","",ROUND(M56*N56,-1))</f>
        <v>9590</v>
      </c>
      <c r="H56" s="93">
        <f>IF(G56="","",ROUND(E56*G56,0))</f>
        <v>28770</v>
      </c>
      <c r="I56" s="96" t="inlineStr">
        <is>
          <t>想定数量（別紙条件書）</t>
        </is>
      </c>
      <c r="J56" s="97" t="n">
        <v>3300</v>
      </c>
      <c r="K56" s="98" t="n">
        <v>0.24</v>
      </c>
      <c r="L56" s="95">
        <f>ROUND(K56*LABOR_DAY,0)</f>
        <v>4560</v>
      </c>
      <c r="M56" s="95">
        <f>J56+L56</f>
        <v>7860</v>
      </c>
      <c r="N56" s="99">
        <f>COEF</f>
        <v>1.22</v>
      </c>
      <c r="O56" s="93">
        <f>E56*M56</f>
        <v>23580</v>
      </c>
      <c r="P56" s="93">
        <f>ROUND(E56*L56*N56,0)</f>
        <v>16690</v>
      </c>
      <c r="Q56" s="104" t="inlineStr">
        <is>
          <t>推測</t>
        </is>
      </c>
      <c r="R56" s="93">
        <f>IF(H56="","",H56-O56)</f>
        <v>5190</v>
      </c>
      <c r="S56" s="101">
        <f>IF(OR(H56="",H56=0),"",R56/H56)</f>
        <v>0.18039624608967675</v>
      </c>
      <c r="T56" s="95" t="n"/>
      <c r="U56" s="102" t="n"/>
      <c r="V56" s="103" t="n"/>
    </row>
    <row r="57" ht="18" customHeight="1">
      <c r="A57" s="91" t="inlineStr">
        <is>
          <t xml:space="preserve">　外壁貫通部ダクト (フード接続)</t>
        </is>
      </c>
      <c r="B57" s="40" t="n"/>
      <c r="C57" s="92" t="inlineStr">
        <is>
          <t>150φ相当 1.0m/箇所</t>
        </is>
      </c>
      <c r="D57" s="40" t="n"/>
      <c r="E57" s="93" t="n">
        <v>58</v>
      </c>
      <c r="F57" s="94" t="inlineStr">
        <is>
          <t>m</t>
        </is>
      </c>
      <c r="G57" s="95">
        <f>IF(M57="","",ROUND(M57*N57,-1))</f>
        <v>4950</v>
      </c>
      <c r="H57" s="93">
        <f>IF(G57="","",ROUND(E57*G57,0))</f>
        <v>287100</v>
      </c>
      <c r="I57" s="96" t="inlineStr">
        <is>
          <t>想定数量（別紙条件書）</t>
        </is>
      </c>
      <c r="J57" s="97" t="n">
        <v>1400</v>
      </c>
      <c r="K57" s="98" t="n">
        <v>0.14</v>
      </c>
      <c r="L57" s="95">
        <f>ROUND(K57*LABOR_DAY,0)</f>
        <v>2660</v>
      </c>
      <c r="M57" s="95">
        <f>J57+L57</f>
        <v>4060</v>
      </c>
      <c r="N57" s="99">
        <f>COEF</f>
        <v>1.22</v>
      </c>
      <c r="O57" s="93">
        <f>E57*M57</f>
        <v>235480</v>
      </c>
      <c r="P57" s="93">
        <f>ROUND(E57*L57*N57,0)</f>
        <v>188222</v>
      </c>
      <c r="Q57" s="104" t="inlineStr">
        <is>
          <t>推測</t>
        </is>
      </c>
      <c r="R57" s="93">
        <f>IF(H57="","",H57-O57)</f>
        <v>51620</v>
      </c>
      <c r="S57" s="101">
        <f>IF(OR(H57="",H57=0),"",R57/H57)</f>
        <v>0.1797979797979798</v>
      </c>
      <c r="T57" s="95" t="n"/>
      <c r="U57" s="102" t="n"/>
      <c r="V57" s="103" t="inlineStr">
        <is>
          <t>1F フード48箇所・2F廊下10箇所</t>
        </is>
      </c>
    </row>
    <row r="58" ht="18" customHeight="1">
      <c r="A58" s="91" t="inlineStr">
        <is>
          <t xml:space="preserve">　VD 風量調整ダンパー</t>
        </is>
      </c>
      <c r="B58" s="40" t="n"/>
      <c r="C58" s="92" t="inlineStr">
        <is>
          <t>150～200φ</t>
        </is>
      </c>
      <c r="D58" s="40" t="n"/>
      <c r="E58" s="93" t="n">
        <v>13</v>
      </c>
      <c r="F58" s="94" t="inlineStr">
        <is>
          <t>個</t>
        </is>
      </c>
      <c r="G58" s="95">
        <f>IF(M58="","",ROUND(M58*N58,-1))</f>
        <v>11290</v>
      </c>
      <c r="H58" s="93">
        <f>IF(G58="","",ROUND(E58*G58,0))</f>
        <v>146770</v>
      </c>
      <c r="I58" s="96" t="inlineStr">
        <is>
          <t>図面実測数量</t>
        </is>
      </c>
      <c r="J58" s="97" t="n">
        <v>4500</v>
      </c>
      <c r="K58" s="98" t="n">
        <v>0.25</v>
      </c>
      <c r="L58" s="95">
        <f>ROUND(K58*LABOR_DAY,0)</f>
        <v>4750</v>
      </c>
      <c r="M58" s="95">
        <f>J58+L58</f>
        <v>9250</v>
      </c>
      <c r="N58" s="99">
        <f>COEF</f>
        <v>1.22</v>
      </c>
      <c r="O58" s="93">
        <f>E58*M58</f>
        <v>120250</v>
      </c>
      <c r="P58" s="93">
        <f>ROUND(E58*L58*N58,0)</f>
        <v>75335</v>
      </c>
      <c r="Q58" s="100" t="inlineStr">
        <is>
          <t>実測</t>
        </is>
      </c>
      <c r="R58" s="93">
        <f>IF(H58="","",H58-O58)</f>
        <v>26520</v>
      </c>
      <c r="S58" s="101">
        <f>IF(OR(H58="",H58=0),"",R58/H58)</f>
        <v>0.18069087688219662</v>
      </c>
      <c r="T58" s="95" t="n"/>
      <c r="U58" s="102" t="n"/>
      <c r="V58" s="103" t="inlineStr">
        <is>
          <t>図示 VD 1F 9・2F 4</t>
        </is>
      </c>
    </row>
    <row r="59" ht="18" customHeight="1">
      <c r="A59" s="91" t="inlineStr">
        <is>
          <t xml:space="preserve">　フレキシブルダクト・接続材</t>
        </is>
      </c>
      <c r="B59" s="40" t="n"/>
      <c r="C59" s="92" t="inlineStr">
        <is>
          <t>機器接続部</t>
        </is>
      </c>
      <c r="D59" s="40" t="n"/>
      <c r="E59" s="93" t="n">
        <v>1</v>
      </c>
      <c r="F59" s="94" t="inlineStr">
        <is>
          <t>式</t>
        </is>
      </c>
      <c r="G59" s="95">
        <f>IF(M59="","",ROUND(M59*N59,-1))</f>
        <v>67340</v>
      </c>
      <c r="H59" s="93">
        <f>IF(G59="","",ROUND(E59*G59,0))</f>
        <v>67340</v>
      </c>
      <c r="I59" s="96" t="inlineStr">
        <is>
          <t>想定数量（別紙条件書）</t>
        </is>
      </c>
      <c r="J59" s="97" t="n">
        <v>40000</v>
      </c>
      <c r="K59" s="98" t="n">
        <v>0.8</v>
      </c>
      <c r="L59" s="95">
        <f>ROUND(K59*LABOR_DAY,0)</f>
        <v>15200</v>
      </c>
      <c r="M59" s="95">
        <f>J59+L59</f>
        <v>55200</v>
      </c>
      <c r="N59" s="99">
        <f>COEF</f>
        <v>1.22</v>
      </c>
      <c r="O59" s="93">
        <f>E59*M59</f>
        <v>55200</v>
      </c>
      <c r="P59" s="93">
        <f>ROUND(E59*L59*N59,0)</f>
        <v>18544</v>
      </c>
      <c r="Q59" s="104" t="inlineStr">
        <is>
          <t>推測</t>
        </is>
      </c>
      <c r="R59" s="93">
        <f>IF(H59="","",H59-O59)</f>
        <v>12140</v>
      </c>
      <c r="S59" s="101">
        <f>IF(OR(H59="",H59=0),"",R59/H59)</f>
        <v>0.18027918027918027</v>
      </c>
      <c r="T59" s="95" t="n"/>
      <c r="U59" s="102" t="n"/>
      <c r="V59" s="103" t="n"/>
    </row>
    <row r="60" ht="18" customHeight="1">
      <c r="A60" s="90" t="inlineStr">
        <is>
          <t>（3）ダクト保温</t>
        </is>
      </c>
      <c r="B60" s="40" t="n"/>
      <c r="C60" s="40" t="n"/>
      <c r="D60" s="40" t="n"/>
      <c r="E60" s="40" t="n"/>
      <c r="F60" s="40" t="n"/>
      <c r="G60" s="40" t="n"/>
      <c r="H60" s="40" t="n"/>
      <c r="I60" s="89" t="n"/>
      <c r="J60" s="40" t="n"/>
      <c r="K60" s="40" t="n"/>
      <c r="L60" s="40" t="n"/>
      <c r="M60" s="40" t="n"/>
      <c r="N60" s="40" t="n"/>
      <c r="O60" s="40" t="n"/>
      <c r="P60" s="40" t="n"/>
      <c r="Q60" s="40" t="n"/>
      <c r="R60" s="40" t="n"/>
      <c r="S60" s="40" t="n"/>
      <c r="T60" s="40" t="n"/>
      <c r="U60" s="40" t="n"/>
      <c r="V60" s="40" t="n"/>
    </row>
    <row r="61" ht="18" customHeight="1">
      <c r="A61" s="91" t="inlineStr">
        <is>
          <t xml:space="preserve">　OAダクト 保温</t>
        </is>
      </c>
      <c r="B61" s="40" t="n"/>
      <c r="C61" s="92" t="inlineStr">
        <is>
          <t>GW保温筒25 ALGC 隠蔽(天井内) 特記仕様書 保温表</t>
        </is>
      </c>
      <c r="D61" s="40" t="n"/>
      <c r="E61" s="93" t="n">
        <v>123</v>
      </c>
      <c r="F61" s="94" t="inlineStr">
        <is>
          <t>m</t>
        </is>
      </c>
      <c r="G61" s="95">
        <f>IF(M61="","",ROUND(M61*N61,-1))</f>
        <v>3200</v>
      </c>
      <c r="H61" s="93">
        <f>IF(G61="","",ROUND(E61*G61,0))</f>
        <v>393600</v>
      </c>
      <c r="I61" s="96" t="inlineStr">
        <is>
          <t>図面実測＋想定（別紙）</t>
        </is>
      </c>
      <c r="J61" s="97" t="n">
        <v>1100</v>
      </c>
      <c r="K61" s="98" t="n">
        <v>0.08</v>
      </c>
      <c r="L61" s="95">
        <f>ROUND(K61*LABOR_DAY,0)</f>
        <v>1520</v>
      </c>
      <c r="M61" s="95">
        <f>J61+L61</f>
        <v>2620</v>
      </c>
      <c r="N61" s="99">
        <f>COEF</f>
        <v>1.22</v>
      </c>
      <c r="O61" s="93">
        <f>E61*M61</f>
        <v>322260</v>
      </c>
      <c r="P61" s="93">
        <f>ROUND(E61*L61*N61,0)</f>
        <v>228091</v>
      </c>
      <c r="Q61" s="100" t="inlineStr">
        <is>
          <t>実測+推測</t>
        </is>
      </c>
      <c r="R61" s="93">
        <f>IF(H61="","",H61-O61)</f>
        <v>71340</v>
      </c>
      <c r="S61" s="101">
        <f>IF(OR(H61="",H61=0),"",R61/H61)</f>
        <v>0.18125</v>
      </c>
      <c r="T61" s="95" t="n"/>
      <c r="U61" s="102" t="n"/>
      <c r="V61" s="103" t="inlineStr">
        <is>
          <t>GW保温筒25 ALGC｜OAダクト全長</t>
        </is>
      </c>
    </row>
    <row r="62" ht="18" customHeight="1">
      <c r="A62" s="91" t="inlineStr">
        <is>
          <t xml:space="preserve">　厨房排気ダクト 保温</t>
        </is>
      </c>
      <c r="B62" s="40" t="n"/>
      <c r="C62" s="92" t="inlineStr">
        <is>
          <t>RW保温筒50 ＋アルミガラスクロス＋亀甲金網巻</t>
        </is>
      </c>
      <c r="D62" s="40" t="n"/>
      <c r="E62" s="93" t="n">
        <v>20</v>
      </c>
      <c r="F62" s="94" t="inlineStr">
        <is>
          <t>m</t>
        </is>
      </c>
      <c r="G62" s="95">
        <f>IF(M62="","",ROUND(M62*N62,-1))</f>
        <v>7380</v>
      </c>
      <c r="H62" s="93">
        <f>IF(G62="","",ROUND(E62*G62,0))</f>
        <v>147600</v>
      </c>
      <c r="I62" s="96" t="inlineStr">
        <is>
          <t>想定数量（別紙条件書）</t>
        </is>
      </c>
      <c r="J62" s="97" t="n">
        <v>3200</v>
      </c>
      <c r="K62" s="98" t="n">
        <v>0.15</v>
      </c>
      <c r="L62" s="95">
        <f>ROUND(K62*LABOR_DAY,0)</f>
        <v>2850</v>
      </c>
      <c r="M62" s="95">
        <f>J62+L62</f>
        <v>6050</v>
      </c>
      <c r="N62" s="99">
        <f>COEF</f>
        <v>1.22</v>
      </c>
      <c r="O62" s="93">
        <f>E62*M62</f>
        <v>121000</v>
      </c>
      <c r="P62" s="93">
        <f>ROUND(E62*L62*N62,0)</f>
        <v>69540</v>
      </c>
      <c r="Q62" s="104" t="inlineStr">
        <is>
          <t>推測</t>
        </is>
      </c>
      <c r="R62" s="93">
        <f>IF(H62="","",H62-O62)</f>
        <v>26600</v>
      </c>
      <c r="S62" s="101">
        <f>IF(OR(H62="",H62=0),"",R62/H62)</f>
        <v>0.1802168021680217</v>
      </c>
      <c r="T62" s="95" t="n"/>
      <c r="U62" s="102" t="n"/>
      <c r="V62" s="103" t="inlineStr">
        <is>
          <t>RW50＋アルミガラスクロス＋金網｜厨房200/250/300φ EA</t>
        </is>
      </c>
    </row>
    <row r="63" ht="18" customHeight="1">
      <c r="A63" s="90" t="inlineStr">
        <is>
          <t>（4）制気口・ボックス</t>
        </is>
      </c>
      <c r="B63" s="40" t="n"/>
      <c r="C63" s="40" t="n"/>
      <c r="D63" s="40" t="n"/>
      <c r="E63" s="40" t="n"/>
      <c r="F63" s="40" t="n"/>
      <c r="G63" s="40" t="n"/>
      <c r="H63" s="40" t="n"/>
      <c r="I63" s="89" t="n"/>
      <c r="J63" s="40" t="n"/>
      <c r="K63" s="40" t="n"/>
      <c r="L63" s="40" t="n"/>
      <c r="M63" s="40" t="n"/>
      <c r="N63" s="40" t="n"/>
      <c r="O63" s="40" t="n"/>
      <c r="P63" s="40" t="n"/>
      <c r="Q63" s="40" t="n"/>
      <c r="R63" s="40" t="n"/>
      <c r="S63" s="40" t="n"/>
      <c r="T63" s="40" t="n"/>
      <c r="U63" s="40" t="n"/>
      <c r="V63" s="40" t="n"/>
    </row>
    <row r="64" ht="18" customHeight="1">
      <c r="A64" s="91" t="inlineStr">
        <is>
          <t xml:space="preserve">　VHS 200×200 (開口率70%)</t>
        </is>
      </c>
      <c r="B64" s="40" t="n"/>
      <c r="C64" s="92" t="inlineStr">
        <is>
          <t>SUS/鋼製 指定色</t>
        </is>
      </c>
      <c r="D64" s="40" t="n"/>
      <c r="E64" s="93" t="n">
        <v>8</v>
      </c>
      <c r="F64" s="94" t="inlineStr">
        <is>
          <t>個</t>
        </is>
      </c>
      <c r="G64" s="95">
        <f>IF(M64="","",ROUND(M64*N64,-1))</f>
        <v>11770</v>
      </c>
      <c r="H64" s="93">
        <f>IF(G64="","",ROUND(E64*G64,0))</f>
        <v>94160</v>
      </c>
      <c r="I64" s="96" t="n"/>
      <c r="J64" s="97" t="n">
        <v>4900</v>
      </c>
      <c r="K64" s="98" t="n">
        <v>0.25</v>
      </c>
      <c r="L64" s="95">
        <f>ROUND(K64*LABOR_DAY,0)</f>
        <v>4750</v>
      </c>
      <c r="M64" s="95">
        <f>J64+L64</f>
        <v>9650</v>
      </c>
      <c r="N64" s="99">
        <f>COEF</f>
        <v>1.22</v>
      </c>
      <c r="O64" s="93">
        <f>E64*M64</f>
        <v>77200</v>
      </c>
      <c r="P64" s="93">
        <f>ROUND(E64*L64*N64,0)</f>
        <v>46360</v>
      </c>
      <c r="Q64" s="100" t="inlineStr">
        <is>
          <t>図面カウント</t>
        </is>
      </c>
      <c r="R64" s="93">
        <f>IF(H64="","",H64-O64)</f>
        <v>16960</v>
      </c>
      <c r="S64" s="101">
        <f>IF(OR(H64="",H64=0),"",R64/H64)</f>
        <v>0.18011894647408666</v>
      </c>
      <c r="T64" s="95" t="n"/>
      <c r="U64" s="102" t="n"/>
      <c r="V64" s="103" t="inlineStr">
        <is>
          <t>制気口 材＋取付0.25人工｜管理人室1・倉庫2 1・食堂3・ﾐｰﾃｨﾝｸﾞ3</t>
        </is>
      </c>
    </row>
    <row r="65" ht="18" customHeight="1">
      <c r="A65" s="91" t="inlineStr">
        <is>
          <t xml:space="preserve">　VHS 250×250</t>
        </is>
      </c>
      <c r="B65" s="40" t="n"/>
      <c r="C65" s="92" t="n"/>
      <c r="D65" s="40" t="n"/>
      <c r="E65" s="93" t="n">
        <v>3</v>
      </c>
      <c r="F65" s="94" t="inlineStr">
        <is>
          <t>個</t>
        </is>
      </c>
      <c r="G65" s="95">
        <f>IF(M65="","",ROUND(M65*N65,-1))</f>
        <v>13360</v>
      </c>
      <c r="H65" s="93">
        <f>IF(G65="","",ROUND(E65*G65,0))</f>
        <v>40080</v>
      </c>
      <c r="I65" s="96" t="n"/>
      <c r="J65" s="97" t="n">
        <v>6200</v>
      </c>
      <c r="K65" s="98" t="n">
        <v>0.25</v>
      </c>
      <c r="L65" s="95">
        <f>ROUND(K65*LABOR_DAY,0)</f>
        <v>4750</v>
      </c>
      <c r="M65" s="95">
        <f>J65+L65</f>
        <v>10950</v>
      </c>
      <c r="N65" s="99">
        <f>COEF</f>
        <v>1.22</v>
      </c>
      <c r="O65" s="93">
        <f>E65*M65</f>
        <v>32850</v>
      </c>
      <c r="P65" s="93">
        <f>ROUND(E65*L65*N65,0)</f>
        <v>17385</v>
      </c>
      <c r="Q65" s="100" t="inlineStr">
        <is>
          <t>図面カウント</t>
        </is>
      </c>
      <c r="R65" s="93">
        <f>IF(H65="","",H65-O65)</f>
        <v>7230</v>
      </c>
      <c r="S65" s="101">
        <f>IF(OR(H65="",H65=0),"",R65/H65)</f>
        <v>0.18038922155688622</v>
      </c>
      <c r="T65" s="95" t="n"/>
      <c r="U65" s="102" t="n"/>
      <c r="V65" s="103" t="inlineStr">
        <is>
          <t>制気口 材＋取付0.25人工｜和室・シューズロッカー・廊下D1</t>
        </is>
      </c>
    </row>
    <row r="66" ht="18" customHeight="1">
      <c r="A66" s="91" t="inlineStr">
        <is>
          <t xml:space="preserve">　VHS 300×300</t>
        </is>
      </c>
      <c r="B66" s="40" t="n"/>
      <c r="C66" s="92" t="n"/>
      <c r="D66" s="40" t="n"/>
      <c r="E66" s="93" t="n">
        <v>1</v>
      </c>
      <c r="F66" s="94" t="inlineStr">
        <is>
          <t>個</t>
        </is>
      </c>
      <c r="G66" s="95">
        <f>IF(M66="","",ROUND(M66*N66,-1))</f>
        <v>15430</v>
      </c>
      <c r="H66" s="93">
        <f>IF(G66="","",ROUND(E66*G66,0))</f>
        <v>15430</v>
      </c>
      <c r="I66" s="96" t="n"/>
      <c r="J66" s="97" t="n">
        <v>7900</v>
      </c>
      <c r="K66" s="98" t="n">
        <v>0.25</v>
      </c>
      <c r="L66" s="95">
        <f>ROUND(K66*LABOR_DAY,0)</f>
        <v>4750</v>
      </c>
      <c r="M66" s="95">
        <f>J66+L66</f>
        <v>12650</v>
      </c>
      <c r="N66" s="99">
        <f>COEF</f>
        <v>1.22</v>
      </c>
      <c r="O66" s="93">
        <f>E66*M66</f>
        <v>12650</v>
      </c>
      <c r="P66" s="93">
        <f>ROUND(E66*L66*N66,0)</f>
        <v>5795</v>
      </c>
      <c r="Q66" s="100" t="inlineStr">
        <is>
          <t>図面カウント</t>
        </is>
      </c>
      <c r="R66" s="93">
        <f>IF(H66="","",H66-O66)</f>
        <v>2780</v>
      </c>
      <c r="S66" s="101">
        <f>IF(OR(H66="",H66=0),"",R66/H66)</f>
        <v>0.18016850291639663</v>
      </c>
      <c r="T66" s="95" t="n"/>
      <c r="U66" s="102" t="n"/>
      <c r="V66" s="103" t="inlineStr">
        <is>
          <t>制気口 材＋取付0.25人工｜厨房前室</t>
        </is>
      </c>
    </row>
    <row r="67" ht="18" customHeight="1">
      <c r="A67" s="91" t="inlineStr">
        <is>
          <t xml:space="preserve">　VHS 350×350</t>
        </is>
      </c>
      <c r="B67" s="40" t="n"/>
      <c r="C67" s="92" t="n"/>
      <c r="D67" s="40" t="n"/>
      <c r="E67" s="93" t="n">
        <v>4</v>
      </c>
      <c r="F67" s="94" t="inlineStr">
        <is>
          <t>個</t>
        </is>
      </c>
      <c r="G67" s="95">
        <f>IF(M67="","",ROUND(M67*N67,-1))</f>
        <v>17750</v>
      </c>
      <c r="H67" s="93">
        <f>IF(G67="","",ROUND(E67*G67,0))</f>
        <v>71000</v>
      </c>
      <c r="I67" s="96" t="n"/>
      <c r="J67" s="97" t="n">
        <v>9800</v>
      </c>
      <c r="K67" s="98" t="n">
        <v>0.25</v>
      </c>
      <c r="L67" s="95">
        <f>ROUND(K67*LABOR_DAY,0)</f>
        <v>4750</v>
      </c>
      <c r="M67" s="95">
        <f>J67+L67</f>
        <v>14550</v>
      </c>
      <c r="N67" s="99">
        <f>COEF</f>
        <v>1.22</v>
      </c>
      <c r="O67" s="93">
        <f>E67*M67</f>
        <v>58200</v>
      </c>
      <c r="P67" s="93">
        <f>ROUND(E67*L67*N67,0)</f>
        <v>23180</v>
      </c>
      <c r="Q67" s="100" t="inlineStr">
        <is>
          <t>図面カウント</t>
        </is>
      </c>
      <c r="R67" s="93">
        <f>IF(H67="","",H67-O67)</f>
        <v>12800</v>
      </c>
      <c r="S67" s="101">
        <f>IF(OR(H67="",H67=0),"",R67/H67)</f>
        <v>0.18028169014084508</v>
      </c>
      <c r="T67" s="95" t="n"/>
      <c r="U67" s="102" t="n"/>
      <c r="V67" s="103" t="inlineStr">
        <is>
          <t>制気口 材＋取付0.25人工｜2F廊下</t>
        </is>
      </c>
    </row>
    <row r="68" ht="18" customHeight="1">
      <c r="A68" s="91" t="inlineStr">
        <is>
          <t xml:space="preserve">　VHS 400×400</t>
        </is>
      </c>
      <c r="B68" s="40" t="n"/>
      <c r="C68" s="92" t="n"/>
      <c r="D68" s="40" t="n"/>
      <c r="E68" s="93" t="n">
        <v>2</v>
      </c>
      <c r="F68" s="94" t="inlineStr">
        <is>
          <t>個</t>
        </is>
      </c>
      <c r="G68" s="95">
        <f>IF(M68="","",ROUND(M68*N68,-1))</f>
        <v>20560</v>
      </c>
      <c r="H68" s="93">
        <f>IF(G68="","",ROUND(E68*G68,0))</f>
        <v>41120</v>
      </c>
      <c r="I68" s="96" t="n"/>
      <c r="J68" s="97" t="n">
        <v>12100</v>
      </c>
      <c r="K68" s="98" t="n">
        <v>0.25</v>
      </c>
      <c r="L68" s="95">
        <f>ROUND(K68*LABOR_DAY,0)</f>
        <v>4750</v>
      </c>
      <c r="M68" s="95">
        <f>J68+L68</f>
        <v>16850</v>
      </c>
      <c r="N68" s="99">
        <f>COEF</f>
        <v>1.22</v>
      </c>
      <c r="O68" s="93">
        <f>E68*M68</f>
        <v>33700</v>
      </c>
      <c r="P68" s="93">
        <f>ROUND(E68*L68*N68,0)</f>
        <v>11590</v>
      </c>
      <c r="Q68" s="100" t="inlineStr">
        <is>
          <t>図面カウント</t>
        </is>
      </c>
      <c r="R68" s="93">
        <f>IF(H68="","",H68-O68)</f>
        <v>7420</v>
      </c>
      <c r="S68" s="101">
        <f>IF(OR(H68="",H68=0),"",R68/H68)</f>
        <v>0.18044747081712062</v>
      </c>
      <c r="T68" s="95" t="n"/>
      <c r="U68" s="102" t="n"/>
      <c r="V68" s="103" t="inlineStr">
        <is>
          <t>制気口 材＋取付0.25人工｜洗濯室・廊下A</t>
        </is>
      </c>
    </row>
    <row r="69" ht="18" customHeight="1">
      <c r="A69" s="91" t="inlineStr">
        <is>
          <t xml:space="preserve">　VHS 450×450</t>
        </is>
      </c>
      <c r="B69" s="40" t="n"/>
      <c r="C69" s="92" t="n"/>
      <c r="D69" s="40" t="n"/>
      <c r="E69" s="93" t="n">
        <v>2</v>
      </c>
      <c r="F69" s="94" t="inlineStr">
        <is>
          <t>個</t>
        </is>
      </c>
      <c r="G69" s="95">
        <f>IF(M69="","",ROUND(M69*N69,-1))</f>
        <v>23610</v>
      </c>
      <c r="H69" s="93">
        <f>IF(G69="","",ROUND(E69*G69,0))</f>
        <v>47220</v>
      </c>
      <c r="I69" s="96" t="n"/>
      <c r="J69" s="97" t="n">
        <v>14600</v>
      </c>
      <c r="K69" s="98" t="n">
        <v>0.25</v>
      </c>
      <c r="L69" s="95">
        <f>ROUND(K69*LABOR_DAY,0)</f>
        <v>4750</v>
      </c>
      <c r="M69" s="95">
        <f>J69+L69</f>
        <v>19350</v>
      </c>
      <c r="N69" s="99">
        <f>COEF</f>
        <v>1.22</v>
      </c>
      <c r="O69" s="93">
        <f>E69*M69</f>
        <v>38700</v>
      </c>
      <c r="P69" s="93">
        <f>ROUND(E69*L69*N69,0)</f>
        <v>11590</v>
      </c>
      <c r="Q69" s="100" t="inlineStr">
        <is>
          <t>図面カウント</t>
        </is>
      </c>
      <c r="R69" s="93">
        <f>IF(H69="","",H69-O69)</f>
        <v>8520</v>
      </c>
      <c r="S69" s="101">
        <f>IF(OR(H69="",H69=0),"",R69/H69)</f>
        <v>0.18043202033036848</v>
      </c>
      <c r="T69" s="95" t="n"/>
      <c r="U69" s="102" t="n"/>
      <c r="V69" s="103" t="inlineStr">
        <is>
          <t>制気口 材＋取付0.25人工｜脱衣室</t>
        </is>
      </c>
    </row>
    <row r="70" ht="18" customHeight="1">
      <c r="A70" s="91" t="inlineStr">
        <is>
          <t xml:space="preserve">　HS/VHS 550×550</t>
        </is>
      </c>
      <c r="B70" s="40" t="n"/>
      <c r="C70" s="92" t="n"/>
      <c r="D70" s="40" t="n"/>
      <c r="E70" s="93" t="n">
        <v>2</v>
      </c>
      <c r="F70" s="94" t="inlineStr">
        <is>
          <t>個</t>
        </is>
      </c>
      <c r="G70" s="95">
        <f>IF(M70="","",ROUND(M70*N70,-1))</f>
        <v>30930</v>
      </c>
      <c r="H70" s="93">
        <f>IF(G70="","",ROUND(E70*G70,0))</f>
        <v>61860</v>
      </c>
      <c r="I70" s="96" t="n"/>
      <c r="J70" s="97" t="n">
        <v>20600</v>
      </c>
      <c r="K70" s="98" t="n">
        <v>0.25</v>
      </c>
      <c r="L70" s="95">
        <f>ROUND(K70*LABOR_DAY,0)</f>
        <v>4750</v>
      </c>
      <c r="M70" s="95">
        <f>J70+L70</f>
        <v>25350</v>
      </c>
      <c r="N70" s="99">
        <f>COEF</f>
        <v>1.22</v>
      </c>
      <c r="O70" s="93">
        <f>E70*M70</f>
        <v>50700</v>
      </c>
      <c r="P70" s="93">
        <f>ROUND(E70*L70*N70,0)</f>
        <v>11590</v>
      </c>
      <c r="Q70" s="100" t="inlineStr">
        <is>
          <t>図面カウント</t>
        </is>
      </c>
      <c r="R70" s="93">
        <f>IF(H70="","",H70-O70)</f>
        <v>11160</v>
      </c>
      <c r="S70" s="101">
        <f>IF(OR(H70="",H70=0),"",R70/H70)</f>
        <v>0.18040737148399613</v>
      </c>
      <c r="T70" s="95" t="n"/>
      <c r="U70" s="102" t="n"/>
      <c r="V70" s="103" t="inlineStr">
        <is>
          <t>制気口 材＋取付0.25人工｜浴室 FE-B3</t>
        </is>
      </c>
    </row>
    <row r="71" ht="18" customHeight="1">
      <c r="A71" s="91" t="inlineStr">
        <is>
          <t xml:space="preserve">　VHS 650×650</t>
        </is>
      </c>
      <c r="B71" s="40" t="n"/>
      <c r="C71" s="92" t="n"/>
      <c r="D71" s="40" t="n"/>
      <c r="E71" s="93" t="n">
        <v>2</v>
      </c>
      <c r="F71" s="94" t="inlineStr">
        <is>
          <t>個</t>
        </is>
      </c>
      <c r="G71" s="95">
        <f>IF(M71="","",ROUND(M71*N71,-1))</f>
        <v>39710</v>
      </c>
      <c r="H71" s="93">
        <f>IF(G71="","",ROUND(E71*G71,0))</f>
        <v>79420</v>
      </c>
      <c r="I71" s="96" t="n"/>
      <c r="J71" s="97" t="n">
        <v>27800</v>
      </c>
      <c r="K71" s="98" t="n">
        <v>0.25</v>
      </c>
      <c r="L71" s="95">
        <f>ROUND(K71*LABOR_DAY,0)</f>
        <v>4750</v>
      </c>
      <c r="M71" s="95">
        <f>J71+L71</f>
        <v>32550</v>
      </c>
      <c r="N71" s="99">
        <f>COEF</f>
        <v>1.22</v>
      </c>
      <c r="O71" s="93">
        <f>E71*M71</f>
        <v>65100</v>
      </c>
      <c r="P71" s="93">
        <f>ROUND(E71*L71*N71,0)</f>
        <v>11590</v>
      </c>
      <c r="Q71" s="100" t="inlineStr">
        <is>
          <t>図面カウント</t>
        </is>
      </c>
      <c r="R71" s="93">
        <f>IF(H71="","",H71-O71)</f>
        <v>14320</v>
      </c>
      <c r="S71" s="101">
        <f>IF(OR(H71="",H71=0),"",R71/H71)</f>
        <v>0.18030722739864014</v>
      </c>
      <c r="T71" s="95" t="n"/>
      <c r="U71" s="102" t="n"/>
      <c r="V71" s="103" t="inlineStr">
        <is>
          <t>制気口 材＋取付0.25人工｜厨房 F-3 給気</t>
        </is>
      </c>
    </row>
    <row r="72" ht="18" customHeight="1">
      <c r="A72" s="91" t="inlineStr">
        <is>
          <t xml:space="preserve">　HS 150×150</t>
        </is>
      </c>
      <c r="B72" s="40" t="n"/>
      <c r="C72" s="92" t="n"/>
      <c r="D72" s="40" t="n"/>
      <c r="E72" s="93" t="n">
        <v>4</v>
      </c>
      <c r="F72" s="94" t="inlineStr">
        <is>
          <t>個</t>
        </is>
      </c>
      <c r="G72" s="95">
        <f>IF(M72="","",ROUND(M72*N72,-1))</f>
        <v>10430</v>
      </c>
      <c r="H72" s="93">
        <f>IF(G72="","",ROUND(E72*G72,0))</f>
        <v>41720</v>
      </c>
      <c r="I72" s="96" t="n"/>
      <c r="J72" s="97" t="n">
        <v>3800</v>
      </c>
      <c r="K72" s="98" t="n">
        <v>0.25</v>
      </c>
      <c r="L72" s="95">
        <f>ROUND(K72*LABOR_DAY,0)</f>
        <v>4750</v>
      </c>
      <c r="M72" s="95">
        <f>J72+L72</f>
        <v>8550</v>
      </c>
      <c r="N72" s="99">
        <f>COEF</f>
        <v>1.22</v>
      </c>
      <c r="O72" s="93">
        <f>E72*M72</f>
        <v>34200</v>
      </c>
      <c r="P72" s="93">
        <f>ROUND(E72*L72*N72,0)</f>
        <v>23180</v>
      </c>
      <c r="Q72" s="100" t="inlineStr">
        <is>
          <t>図面カウント</t>
        </is>
      </c>
      <c r="R72" s="93">
        <f>IF(H72="","",H72-O72)</f>
        <v>7520</v>
      </c>
      <c r="S72" s="101">
        <f>IF(OR(H72="",H72=0),"",R72/H72)</f>
        <v>0.18024928092042186</v>
      </c>
      <c r="T72" s="95" t="n"/>
      <c r="U72" s="102" t="n"/>
      <c r="V72" s="103" t="inlineStr">
        <is>
          <t>制気口 材＋取付0.25人工｜男子WC</t>
        </is>
      </c>
    </row>
    <row r="73" ht="18" customHeight="1">
      <c r="A73" s="91" t="inlineStr">
        <is>
          <t xml:space="preserve">　HS 200×200</t>
        </is>
      </c>
      <c r="B73" s="40" t="n"/>
      <c r="C73" s="92" t="n"/>
      <c r="D73" s="40" t="n"/>
      <c r="E73" s="93" t="n">
        <v>18</v>
      </c>
      <c r="F73" s="94" t="inlineStr">
        <is>
          <t>個</t>
        </is>
      </c>
      <c r="G73" s="95">
        <f>IF(M73="","",ROUND(M73*N73,-1))</f>
        <v>11770</v>
      </c>
      <c r="H73" s="93">
        <f>IF(G73="","",ROUND(E73*G73,0))</f>
        <v>211860</v>
      </c>
      <c r="I73" s="96" t="n"/>
      <c r="J73" s="97" t="n">
        <v>4900</v>
      </c>
      <c r="K73" s="98" t="n">
        <v>0.25</v>
      </c>
      <c r="L73" s="95">
        <f>ROUND(K73*LABOR_DAY,0)</f>
        <v>4750</v>
      </c>
      <c r="M73" s="95">
        <f>J73+L73</f>
        <v>9650</v>
      </c>
      <c r="N73" s="99">
        <f>COEF</f>
        <v>1.22</v>
      </c>
      <c r="O73" s="93">
        <f>E73*M73</f>
        <v>173700</v>
      </c>
      <c r="P73" s="93">
        <f>ROUND(E73*L73*N73,0)</f>
        <v>104310</v>
      </c>
      <c r="Q73" s="100" t="inlineStr">
        <is>
          <t>図面カウント</t>
        </is>
      </c>
      <c r="R73" s="93">
        <f>IF(H73="","",H73-O73)</f>
        <v>38160</v>
      </c>
      <c r="S73" s="101">
        <f>IF(OR(H73="",H73=0),"",R73/H73)</f>
        <v>0.18011894647408666</v>
      </c>
      <c r="T73" s="95" t="n"/>
      <c r="U73" s="102" t="n"/>
      <c r="V73" s="103" t="inlineStr">
        <is>
          <t>制気口 材＋取付0.25人工｜食堂3・ﾐｰﾃｨﾝｸﾞ3・北WC7・南WC5</t>
        </is>
      </c>
    </row>
    <row r="74" ht="18" customHeight="1">
      <c r="A74" s="91" t="inlineStr">
        <is>
          <t xml:space="preserve">　BOX(内貼) 300×300×300H</t>
        </is>
      </c>
      <c r="B74" s="40" t="n"/>
      <c r="C74" s="92" t="inlineStr">
        <is>
          <t>GW25 内貼</t>
        </is>
      </c>
      <c r="D74" s="40" t="n"/>
      <c r="E74" s="93" t="n">
        <v>4</v>
      </c>
      <c r="F74" s="94" t="inlineStr">
        <is>
          <t>個</t>
        </is>
      </c>
      <c r="G74" s="95">
        <f>IF(M74="","",ROUND(M74*N74,-1))</f>
        <v>18420</v>
      </c>
      <c r="H74" s="93">
        <f>IF(G74="","",ROUND(E74*G74,0))</f>
        <v>73680</v>
      </c>
      <c r="I74" s="96" t="n"/>
      <c r="J74" s="97" t="n">
        <v>9400</v>
      </c>
      <c r="K74" s="98" t="n">
        <v>0.3</v>
      </c>
      <c r="L74" s="95">
        <f>ROUND(K74*LABOR_DAY,0)</f>
        <v>5700</v>
      </c>
      <c r="M74" s="95">
        <f>J74+L74</f>
        <v>15100</v>
      </c>
      <c r="N74" s="99">
        <f>COEF</f>
        <v>1.22</v>
      </c>
      <c r="O74" s="93">
        <f>E74*M74</f>
        <v>60400</v>
      </c>
      <c r="P74" s="93">
        <f>ROUND(E74*L74*N74,0)</f>
        <v>27816</v>
      </c>
      <c r="Q74" s="100" t="inlineStr">
        <is>
          <t>図面カウント</t>
        </is>
      </c>
      <c r="R74" s="93">
        <f>IF(H74="","",H74-O74)</f>
        <v>13280</v>
      </c>
      <c r="S74" s="101">
        <f>IF(OR(H74="",H74=0),"",R74/H74)</f>
        <v>0.18023887079261672</v>
      </c>
      <c r="T74" s="95" t="n">
        <v>18422</v>
      </c>
      <c r="U74" s="102">
        <f>IF(OR(T74="",T74=0),"",G74/T74)</f>
        <v>0.9998914341548149</v>
      </c>
      <c r="V74" s="103" t="inlineStr">
        <is>
          <t>6330248-2 チャンバー700×500×500 GW内貼 40,550/個＋取付 8,100/個 → 表面積 1.9m² ≒ 17,500円/m²(原価)｜男子WC</t>
        </is>
      </c>
    </row>
    <row r="75" ht="18" customHeight="1">
      <c r="A75" s="91" t="inlineStr">
        <is>
          <t xml:space="preserve">　BOX(内貼) 350×350×300H</t>
        </is>
      </c>
      <c r="B75" s="40" t="n"/>
      <c r="C75" s="92" t="n"/>
      <c r="D75" s="40" t="n"/>
      <c r="E75" s="93" t="n">
        <v>26</v>
      </c>
      <c r="F75" s="94" t="inlineStr">
        <is>
          <t>個</t>
        </is>
      </c>
      <c r="G75" s="95">
        <f>IF(M75="","",ROUND(M75*N75,-1))</f>
        <v>21110</v>
      </c>
      <c r="H75" s="93">
        <f>IF(G75="","",ROUND(E75*G75,0))</f>
        <v>548860</v>
      </c>
      <c r="I75" s="96" t="n"/>
      <c r="J75" s="97" t="n">
        <v>11600</v>
      </c>
      <c r="K75" s="98" t="n">
        <v>0.3</v>
      </c>
      <c r="L75" s="95">
        <f>ROUND(K75*LABOR_DAY,0)</f>
        <v>5700</v>
      </c>
      <c r="M75" s="95">
        <f>J75+L75</f>
        <v>17300</v>
      </c>
      <c r="N75" s="99">
        <f>COEF</f>
        <v>1.22</v>
      </c>
      <c r="O75" s="93">
        <f>E75*M75</f>
        <v>449800</v>
      </c>
      <c r="P75" s="93">
        <f>ROUND(E75*L75*N75,0)</f>
        <v>180804</v>
      </c>
      <c r="Q75" s="100" t="inlineStr">
        <is>
          <t>図面カウント</t>
        </is>
      </c>
      <c r="R75" s="93">
        <f>IF(H75="","",H75-O75)</f>
        <v>99060</v>
      </c>
      <c r="S75" s="101">
        <f>IF(OR(H75="",H75=0),"",R75/H75)</f>
        <v>0.18048318332543817</v>
      </c>
      <c r="T75" s="95" t="n">
        <v>21106</v>
      </c>
      <c r="U75" s="102">
        <f>IF(OR(T75="",T75=0),"",G75/T75)</f>
        <v>1.0001895195678954</v>
      </c>
      <c r="V75" s="103" t="inlineStr">
        <is>
          <t>6330248-2 チャンバー700×500×500 GW内貼 40,550/個＋取付 8,100/個 → 表面積 1.9m² ≒ 17,500円/m²(原価)｜</t>
        </is>
      </c>
    </row>
    <row r="76" ht="18" customHeight="1">
      <c r="A76" s="91" t="inlineStr">
        <is>
          <t xml:space="preserve">　BOX(内貼) 400×400×300H</t>
        </is>
      </c>
      <c r="B76" s="40" t="n"/>
      <c r="C76" s="92" t="n"/>
      <c r="D76" s="40" t="n"/>
      <c r="E76" s="93" t="n">
        <v>1</v>
      </c>
      <c r="F76" s="94" t="inlineStr">
        <is>
          <t>個</t>
        </is>
      </c>
      <c r="G76" s="95">
        <f>IF(M76="","",ROUND(M76*N76,-1))</f>
        <v>24030</v>
      </c>
      <c r="H76" s="93">
        <f>IF(G76="","",ROUND(E76*G76,0))</f>
        <v>24030</v>
      </c>
      <c r="I76" s="96" t="n"/>
      <c r="J76" s="97" t="n">
        <v>14000</v>
      </c>
      <c r="K76" s="98" t="n">
        <v>0.3</v>
      </c>
      <c r="L76" s="95">
        <f>ROUND(K76*LABOR_DAY,0)</f>
        <v>5700</v>
      </c>
      <c r="M76" s="95">
        <f>J76+L76</f>
        <v>19700</v>
      </c>
      <c r="N76" s="99">
        <f>COEF</f>
        <v>1.22</v>
      </c>
      <c r="O76" s="93">
        <f>E76*M76</f>
        <v>19700</v>
      </c>
      <c r="P76" s="93">
        <f>ROUND(E76*L76*N76,0)</f>
        <v>6954</v>
      </c>
      <c r="Q76" s="100" t="inlineStr">
        <is>
          <t>図面カウント</t>
        </is>
      </c>
      <c r="R76" s="93">
        <f>IF(H76="","",H76-O76)</f>
        <v>4330</v>
      </c>
      <c r="S76" s="101">
        <f>IF(OR(H76="",H76=0),"",R76/H76)</f>
        <v>0.18019142738243862</v>
      </c>
      <c r="T76" s="95" t="n">
        <v>24034</v>
      </c>
      <c r="U76" s="102">
        <f>IF(OR(T76="",T76=0),"",G76/T76)</f>
        <v>0.9998335691104269</v>
      </c>
      <c r="V76" s="103" t="inlineStr">
        <is>
          <t>6330248-2 チャンバー700×500×500 GW内貼 40,550/個＋取付 8,100/個 → 表面積 1.9m² ≒ 17,500円/m²(原価)｜</t>
        </is>
      </c>
    </row>
    <row r="77" ht="18" customHeight="1">
      <c r="A77" s="91" t="inlineStr">
        <is>
          <t xml:space="preserve">　BOX(内貼) 450×450×350H</t>
        </is>
      </c>
      <c r="B77" s="40" t="n"/>
      <c r="C77" s="92" t="n"/>
      <c r="D77" s="40" t="n"/>
      <c r="E77" s="93" t="n">
        <v>3</v>
      </c>
      <c r="F77" s="94" t="inlineStr">
        <is>
          <t>個</t>
        </is>
      </c>
      <c r="G77" s="95">
        <f>IF(M77="","",ROUND(M77*N77,-1))</f>
        <v>29040</v>
      </c>
      <c r="H77" s="93">
        <f>IF(G77="","",ROUND(E77*G77,0))</f>
        <v>87120</v>
      </c>
      <c r="I77" s="96" t="n"/>
      <c r="J77" s="97" t="n">
        <v>18100</v>
      </c>
      <c r="K77" s="98" t="n">
        <v>0.3</v>
      </c>
      <c r="L77" s="95">
        <f>ROUND(K77*LABOR_DAY,0)</f>
        <v>5700</v>
      </c>
      <c r="M77" s="95">
        <f>J77+L77</f>
        <v>23800</v>
      </c>
      <c r="N77" s="99">
        <f>COEF</f>
        <v>1.22</v>
      </c>
      <c r="O77" s="93">
        <f>E77*M77</f>
        <v>71400</v>
      </c>
      <c r="P77" s="93">
        <f>ROUND(E77*L77*N77,0)</f>
        <v>20862</v>
      </c>
      <c r="Q77" s="100" t="inlineStr">
        <is>
          <t>図面カウント</t>
        </is>
      </c>
      <c r="R77" s="93">
        <f>IF(H77="","",H77-O77)</f>
        <v>15720</v>
      </c>
      <c r="S77" s="101">
        <f>IF(OR(H77="",H77=0),"",R77/H77)</f>
        <v>0.18044077134986225</v>
      </c>
      <c r="T77" s="95" t="n">
        <v>29036</v>
      </c>
      <c r="U77" s="102">
        <f>IF(OR(T77="",T77=0),"",G77/T77)</f>
        <v>1.0001377600220416</v>
      </c>
      <c r="V77" s="103" t="inlineStr">
        <is>
          <t>6330248-2 チャンバー700×500×500 GW内貼 40,550/個＋取付 8,100/個 → 表面積 1.9m² ≒ 17,500円/m²(原価)｜</t>
        </is>
      </c>
    </row>
    <row r="78" ht="18" customHeight="1">
      <c r="A78" s="91" t="inlineStr">
        <is>
          <t xml:space="preserve">　BOX(内貼) 500×500×350H</t>
        </is>
      </c>
      <c r="B78" s="40" t="n"/>
      <c r="C78" s="92" t="n"/>
      <c r="D78" s="40" t="n"/>
      <c r="E78" s="93" t="n">
        <v>4</v>
      </c>
      <c r="F78" s="94" t="inlineStr">
        <is>
          <t>個</t>
        </is>
      </c>
      <c r="G78" s="95">
        <f>IF(M78="","",ROUND(M78*N78,-1))</f>
        <v>32570</v>
      </c>
      <c r="H78" s="93">
        <f>IF(G78="","",ROUND(E78*G78,0))</f>
        <v>130280</v>
      </c>
      <c r="I78" s="96" t="n"/>
      <c r="J78" s="97" t="n">
        <v>21000</v>
      </c>
      <c r="K78" s="98" t="n">
        <v>0.3</v>
      </c>
      <c r="L78" s="95">
        <f>ROUND(K78*LABOR_DAY,0)</f>
        <v>5700</v>
      </c>
      <c r="M78" s="95">
        <f>J78+L78</f>
        <v>26700</v>
      </c>
      <c r="N78" s="99">
        <f>COEF</f>
        <v>1.22</v>
      </c>
      <c r="O78" s="93">
        <f>E78*M78</f>
        <v>106800</v>
      </c>
      <c r="P78" s="93">
        <f>ROUND(E78*L78*N78,0)</f>
        <v>27816</v>
      </c>
      <c r="Q78" s="100" t="inlineStr">
        <is>
          <t>図面カウント</t>
        </is>
      </c>
      <c r="R78" s="93">
        <f>IF(H78="","",H78-O78)</f>
        <v>23480</v>
      </c>
      <c r="S78" s="101">
        <f>IF(OR(H78="",H78=0),"",R78/H78)</f>
        <v>0.1802272029474977</v>
      </c>
      <c r="T78" s="95" t="n">
        <v>32574</v>
      </c>
      <c r="U78" s="102">
        <f>IF(OR(T78="",T78=0),"",G78/T78)</f>
        <v>0.9998772026769817</v>
      </c>
      <c r="V78" s="103" t="inlineStr">
        <is>
          <t>6330248-2 チャンバー700×500×500 GW内貼 40,550/個＋取付 8,100/個 → 表面積 1.9m² ≒ 17,500円/m²(原価)｜</t>
        </is>
      </c>
    </row>
    <row r="79" ht="18" customHeight="1">
      <c r="A79" s="91" t="inlineStr">
        <is>
          <t xml:space="preserve">　BOX(内貼) 550×550×400H</t>
        </is>
      </c>
      <c r="B79" s="40" t="n"/>
      <c r="C79" s="92" t="n"/>
      <c r="D79" s="40" t="n"/>
      <c r="E79" s="93" t="n">
        <v>2</v>
      </c>
      <c r="F79" s="94" t="inlineStr">
        <is>
          <t>個</t>
        </is>
      </c>
      <c r="G79" s="95">
        <f>IF(M79="","",ROUND(M79*N79,-1))</f>
        <v>38670</v>
      </c>
      <c r="H79" s="93">
        <f>IF(G79="","",ROUND(E79*G79,0))</f>
        <v>77340</v>
      </c>
      <c r="I79" s="96" t="n"/>
      <c r="J79" s="97" t="n">
        <v>26000</v>
      </c>
      <c r="K79" s="98" t="n">
        <v>0.3</v>
      </c>
      <c r="L79" s="95">
        <f>ROUND(K79*LABOR_DAY,0)</f>
        <v>5700</v>
      </c>
      <c r="M79" s="95">
        <f>J79+L79</f>
        <v>31700</v>
      </c>
      <c r="N79" s="99">
        <f>COEF</f>
        <v>1.22</v>
      </c>
      <c r="O79" s="93">
        <f>E79*M79</f>
        <v>63400</v>
      </c>
      <c r="P79" s="93">
        <f>ROUND(E79*L79*N79,0)</f>
        <v>13908</v>
      </c>
      <c r="Q79" s="100" t="inlineStr">
        <is>
          <t>図面カウント</t>
        </is>
      </c>
      <c r="R79" s="93">
        <f>IF(H79="","",H79-O79)</f>
        <v>13940</v>
      </c>
      <c r="S79" s="101">
        <f>IF(OR(H79="",H79=0),"",R79/H79)</f>
        <v>0.18024308249288853</v>
      </c>
      <c r="T79" s="95" t="n">
        <v>38674</v>
      </c>
      <c r="U79" s="102">
        <f>IF(OR(T79="",T79=0),"",G79/T79)</f>
        <v>0.9998965713399183</v>
      </c>
      <c r="V79" s="103" t="inlineStr">
        <is>
          <t>6330248-2 チャンバー700×500×500 GW内貼 40,550/個＋取付 8,100/個 → 表面積 1.9m² ≒ 17,500円/m²(原価)｜</t>
        </is>
      </c>
    </row>
    <row r="80" ht="18" customHeight="1">
      <c r="A80" s="91" t="inlineStr">
        <is>
          <t xml:space="preserve">　BOX(内貼) 600×600×400H</t>
        </is>
      </c>
      <c r="B80" s="40" t="n"/>
      <c r="C80" s="92" t="n"/>
      <c r="D80" s="40" t="n"/>
      <c r="E80" s="93" t="n">
        <v>2</v>
      </c>
      <c r="F80" s="94" t="inlineStr">
        <is>
          <t>個</t>
        </is>
      </c>
      <c r="G80" s="95">
        <f>IF(M80="","",ROUND(M80*N80,-1))</f>
        <v>42820</v>
      </c>
      <c r="H80" s="93">
        <f>IF(G80="","",ROUND(E80*G80,0))</f>
        <v>85640</v>
      </c>
      <c r="I80" s="96" t="n"/>
      <c r="J80" s="97" t="n">
        <v>29400</v>
      </c>
      <c r="K80" s="98" t="n">
        <v>0.3</v>
      </c>
      <c r="L80" s="95">
        <f>ROUND(K80*LABOR_DAY,0)</f>
        <v>5700</v>
      </c>
      <c r="M80" s="95">
        <f>J80+L80</f>
        <v>35100</v>
      </c>
      <c r="N80" s="99">
        <f>COEF</f>
        <v>1.22</v>
      </c>
      <c r="O80" s="93">
        <f>E80*M80</f>
        <v>70200</v>
      </c>
      <c r="P80" s="93">
        <f>ROUND(E80*L80*N80,0)</f>
        <v>13908</v>
      </c>
      <c r="Q80" s="100" t="inlineStr">
        <is>
          <t>図面カウント</t>
        </is>
      </c>
      <c r="R80" s="93">
        <f>IF(H80="","",H80-O80)</f>
        <v>15440</v>
      </c>
      <c r="S80" s="101">
        <f>IF(OR(H80="",H80=0),"",R80/H80)</f>
        <v>0.18028958430639888</v>
      </c>
      <c r="T80" s="95" t="n">
        <v>42822</v>
      </c>
      <c r="U80" s="102">
        <f>IF(OR(T80="",T80=0),"",G80/T80)</f>
        <v>0.9999532950352622</v>
      </c>
      <c r="V80" s="103" t="inlineStr">
        <is>
          <t>6330248-2 チャンバー700×500×500 GW内貼 40,550/個＋取付 8,100/個 → 表面積 1.9m² ≒ 17,500円/m²(原価)｜</t>
        </is>
      </c>
    </row>
    <row r="81" ht="18" customHeight="1">
      <c r="A81" s="91" t="inlineStr">
        <is>
          <t xml:space="preserve">　BOX(内貼) 700×700×450H</t>
        </is>
      </c>
      <c r="B81" s="40" t="n"/>
      <c r="C81" s="92" t="n"/>
      <c r="D81" s="40" t="n"/>
      <c r="E81" s="93" t="n">
        <v>2</v>
      </c>
      <c r="F81" s="94" t="inlineStr">
        <is>
          <t>個</t>
        </is>
      </c>
      <c r="G81" s="95">
        <f>IF(M81="","",ROUND(M81*N81,-1))</f>
        <v>54780</v>
      </c>
      <c r="H81" s="93">
        <f>IF(G81="","",ROUND(E81*G81,0))</f>
        <v>109560</v>
      </c>
      <c r="I81" s="96" t="n"/>
      <c r="J81" s="97" t="n">
        <v>39200</v>
      </c>
      <c r="K81" s="98" t="n">
        <v>0.3</v>
      </c>
      <c r="L81" s="95">
        <f>ROUND(K81*LABOR_DAY,0)</f>
        <v>5700</v>
      </c>
      <c r="M81" s="95">
        <f>J81+L81</f>
        <v>44900</v>
      </c>
      <c r="N81" s="99">
        <f>COEF</f>
        <v>1.22</v>
      </c>
      <c r="O81" s="93">
        <f>E81*M81</f>
        <v>89800</v>
      </c>
      <c r="P81" s="93">
        <f>ROUND(E81*L81*N81,0)</f>
        <v>13908</v>
      </c>
      <c r="Q81" s="100" t="inlineStr">
        <is>
          <t>図面カウント</t>
        </is>
      </c>
      <c r="R81" s="93">
        <f>IF(H81="","",H81-O81)</f>
        <v>19760</v>
      </c>
      <c r="S81" s="101">
        <f>IF(OR(H81="",H81=0),"",R81/H81)</f>
        <v>0.18035779481562614</v>
      </c>
      <c r="T81" s="95" t="n">
        <v>54778</v>
      </c>
      <c r="U81" s="102">
        <f>IF(OR(T81="",T81=0),"",G81/T81)</f>
        <v>1.000036511008069</v>
      </c>
      <c r="V81" s="103" t="inlineStr">
        <is>
          <t>6330248-2 チャンバー700×500×500 GW内貼 40,550/個＋取付 8,100/個 → 表面積 1.9m² ≒ 17,500円/m²(原価)｜</t>
        </is>
      </c>
    </row>
    <row r="82" ht="18" customHeight="1">
      <c r="A82" s="91" t="inlineStr">
        <is>
          <t xml:space="preserve">　BOX(内貼) 800×800×500H</t>
        </is>
      </c>
      <c r="B82" s="40" t="n"/>
      <c r="C82" s="92" t="n"/>
      <c r="D82" s="40" t="n"/>
      <c r="E82" s="93" t="n">
        <v>2</v>
      </c>
      <c r="F82" s="94" t="inlineStr">
        <is>
          <t>個</t>
        </is>
      </c>
      <c r="G82" s="95">
        <f>IF(M82="","",ROUND(M82*N82,-1))</f>
        <v>68440</v>
      </c>
      <c r="H82" s="93">
        <f>IF(G82="","",ROUND(E82*G82,0))</f>
        <v>136880</v>
      </c>
      <c r="I82" s="96" t="n"/>
      <c r="J82" s="97" t="n">
        <v>50400</v>
      </c>
      <c r="K82" s="98" t="n">
        <v>0.3</v>
      </c>
      <c r="L82" s="95">
        <f>ROUND(K82*LABOR_DAY,0)</f>
        <v>5700</v>
      </c>
      <c r="M82" s="95">
        <f>J82+L82</f>
        <v>56100</v>
      </c>
      <c r="N82" s="99">
        <f>COEF</f>
        <v>1.22</v>
      </c>
      <c r="O82" s="93">
        <f>E82*M82</f>
        <v>112200</v>
      </c>
      <c r="P82" s="93">
        <f>ROUND(E82*L82*N82,0)</f>
        <v>13908</v>
      </c>
      <c r="Q82" s="100" t="inlineStr">
        <is>
          <t>図面カウント</t>
        </is>
      </c>
      <c r="R82" s="93">
        <f>IF(H82="","",H82-O82)</f>
        <v>24680</v>
      </c>
      <c r="S82" s="101">
        <f>IF(OR(H82="",H82=0),"",R82/H82)</f>
        <v>0.18030391583869082</v>
      </c>
      <c r="T82" s="95" t="n">
        <v>68442</v>
      </c>
      <c r="U82" s="102">
        <f>IF(OR(T82="",T82=0),"",G82/T82)</f>
        <v>0.9999707781771426</v>
      </c>
      <c r="V82" s="103" t="inlineStr">
        <is>
          <t>6330248-2 チャンバー700×500×500 GW内貼 40,550/個＋取付 8,100/個 → 表面積 1.9m² ≒ 17,500円/m²(原価)｜</t>
        </is>
      </c>
    </row>
    <row r="83" ht="18" customHeight="1">
      <c r="A83" s="90" t="inlineStr">
        <is>
          <t>（5）フード類・その他</t>
        </is>
      </c>
      <c r="B83" s="40" t="n"/>
      <c r="C83" s="40" t="n"/>
      <c r="D83" s="40" t="n"/>
      <c r="E83" s="40" t="n"/>
      <c r="F83" s="40" t="n"/>
      <c r="G83" s="40" t="n"/>
      <c r="H83" s="40" t="n"/>
      <c r="I83" s="89" t="n"/>
      <c r="J83" s="40" t="n"/>
      <c r="K83" s="40" t="n"/>
      <c r="L83" s="40" t="n"/>
      <c r="M83" s="40" t="n"/>
      <c r="N83" s="40" t="n"/>
      <c r="O83" s="40" t="n"/>
      <c r="P83" s="40" t="n"/>
      <c r="Q83" s="40" t="n"/>
      <c r="R83" s="40" t="n"/>
      <c r="S83" s="40" t="n"/>
      <c r="T83" s="40" t="n"/>
      <c r="U83" s="40" t="n"/>
      <c r="V83" s="40" t="n"/>
    </row>
    <row r="84" ht="18" customHeight="1">
      <c r="A84" s="91" t="inlineStr">
        <is>
          <t xml:space="preserve">　SUS製フード 取付 (支給品)</t>
        </is>
      </c>
      <c r="B84" s="40" t="n"/>
      <c r="C84" s="92" t="inlineStr">
        <is>
          <t>指定色塗装 外壁貫通部</t>
        </is>
      </c>
      <c r="D84" s="40" t="n"/>
      <c r="E84" s="93" t="n">
        <v>204</v>
      </c>
      <c r="F84" s="94" t="inlineStr">
        <is>
          <t>箇所</t>
        </is>
      </c>
      <c r="G84" s="95">
        <f>IF(M84="","",ROUND(M84*N84,-1))</f>
        <v>3840</v>
      </c>
      <c r="H84" s="93">
        <f>IF(G84="","",ROUND(E84*G84,0))</f>
        <v>783360</v>
      </c>
      <c r="I84" s="96" t="inlineStr">
        <is>
          <t>想定数量（別紙条件書）</t>
        </is>
      </c>
      <c r="J84" s="97" t="n">
        <v>300</v>
      </c>
      <c r="K84" s="98" t="n">
        <v>0.15</v>
      </c>
      <c r="L84" s="95">
        <f>ROUND(K84*LABOR_DAY,0)</f>
        <v>2850</v>
      </c>
      <c r="M84" s="95">
        <f>J84+L84</f>
        <v>3150</v>
      </c>
      <c r="N84" s="99">
        <f>COEF</f>
        <v>1.22</v>
      </c>
      <c r="O84" s="93">
        <f>E84*M84</f>
        <v>642600</v>
      </c>
      <c r="P84" s="93">
        <f>ROUND(E84*L84*N84,0)</f>
        <v>709308</v>
      </c>
      <c r="Q84" s="104" t="inlineStr">
        <is>
          <t>推測</t>
        </is>
      </c>
      <c r="R84" s="93">
        <f>IF(H84="","",H84-O84)</f>
        <v>140760</v>
      </c>
      <c r="S84" s="101">
        <f>IF(OR(H84="",H84=0),"",R84/H84)</f>
        <v>0.1796875</v>
      </c>
      <c r="T84" s="95" t="n"/>
      <c r="U84" s="102" t="n"/>
      <c r="V84" s="103" t="inlineStr">
        <is>
          <t>SUS製フード取付（支給）｜1F 48・2F廊下10・寮室146(HEX-4/5分)</t>
        </is>
      </c>
    </row>
    <row r="85" ht="18" customHeight="1">
      <c r="A85" s="91" t="inlineStr">
        <is>
          <t xml:space="preserve">　ウェザーカバー 取付 (支給品)</t>
        </is>
      </c>
      <c r="B85" s="40" t="n"/>
      <c r="C85" s="92" t="inlineStr">
        <is>
          <t>有圧扇用</t>
        </is>
      </c>
      <c r="D85" s="40" t="n"/>
      <c r="E85" s="93" t="n">
        <v>6</v>
      </c>
      <c r="F85" s="94" t="inlineStr">
        <is>
          <t>箇所</t>
        </is>
      </c>
      <c r="G85" s="95">
        <f>IF(M85="","",ROUND(M85*N85,-1))</f>
        <v>5250</v>
      </c>
      <c r="H85" s="93">
        <f>IF(G85="","",ROUND(E85*G85,0))</f>
        <v>31500</v>
      </c>
      <c r="I85" s="96" t="inlineStr">
        <is>
          <t>支給品の取付費</t>
        </is>
      </c>
      <c r="J85" s="97" t="n">
        <v>500</v>
      </c>
      <c r="K85" s="98" t="n">
        <v>0.2</v>
      </c>
      <c r="L85" s="95">
        <f>ROUND(K85*LABOR_DAY,0)</f>
        <v>3800</v>
      </c>
      <c r="M85" s="95">
        <f>J85+L85</f>
        <v>4300</v>
      </c>
      <c r="N85" s="99">
        <f>COEF</f>
        <v>1.22</v>
      </c>
      <c r="O85" s="93">
        <f>E85*M85</f>
        <v>25800</v>
      </c>
      <c r="P85" s="93">
        <f>ROUND(E85*L85*N85,0)</f>
        <v>27816</v>
      </c>
      <c r="Q85" s="100" t="inlineStr">
        <is>
          <t>図面カウント</t>
        </is>
      </c>
      <c r="R85" s="93">
        <f>IF(H85="","",H85-O85)</f>
        <v>5700</v>
      </c>
      <c r="S85" s="101">
        <f>IF(OR(H85="",H85=0),"",R85/H85)</f>
        <v>0.18095238095238095</v>
      </c>
      <c r="T85" s="95" t="n"/>
      <c r="U85" s="102" t="n"/>
      <c r="V85" s="103" t="inlineStr">
        <is>
          <t>ウェザーカバー取付（支給）｜FE-B3 2・FE-D2 1・F-3 3</t>
        </is>
      </c>
    </row>
    <row r="86" ht="18" customHeight="1">
      <c r="A86" s="91" t="inlineStr">
        <is>
          <t xml:space="preserve">　厨房フード① 製作取付</t>
        </is>
      </c>
      <c r="B86" s="40" t="n"/>
      <c r="C86" s="92" t="inlineStr">
        <is>
          <t>SUS製 900×850×800H 二重フード</t>
        </is>
      </c>
      <c r="D86" s="40" t="n"/>
      <c r="E86" s="93" t="n">
        <v>1</v>
      </c>
      <c r="F86" s="94" t="inlineStr">
        <is>
          <t>台</t>
        </is>
      </c>
      <c r="G86" s="95">
        <f>IF(M86="","",ROUND(M86*N86,-1))</f>
        <v>180560</v>
      </c>
      <c r="H86" s="93">
        <f>IF(G86="","",ROUND(E86*G86,0))</f>
        <v>180560</v>
      </c>
      <c r="I86" s="96" t="n"/>
      <c r="J86" s="97" t="n">
        <v>110000</v>
      </c>
      <c r="K86" s="98" t="n">
        <v>2</v>
      </c>
      <c r="L86" s="95">
        <f>ROUND(K86*LABOR_DAY,0)</f>
        <v>38000</v>
      </c>
      <c r="M86" s="95">
        <f>J86+L86</f>
        <v>148000</v>
      </c>
      <c r="N86" s="99">
        <f>COEF</f>
        <v>1.22</v>
      </c>
      <c r="O86" s="93">
        <f>E86*M86</f>
        <v>148000</v>
      </c>
      <c r="P86" s="93">
        <f>ROUND(E86*L86*N86,0)</f>
        <v>46360</v>
      </c>
      <c r="Q86" s="100" t="inlineStr">
        <is>
          <t>図面カウント</t>
        </is>
      </c>
      <c r="R86" s="93">
        <f>IF(H86="","",H86-O86)</f>
        <v>32560</v>
      </c>
      <c r="S86" s="101">
        <f>IF(OR(H86="",H86=0),"",R86/H86)</f>
        <v>0.18032786885245902</v>
      </c>
      <c r="T86" s="95" t="n"/>
      <c r="U86" s="102" t="n"/>
      <c r="V86" s="103" t="inlineStr">
        <is>
          <t>SUS厨房フード製作品（外注想定 原価=提出/1.22）｜フードリスト(p24) 工事区分要確認</t>
        </is>
      </c>
    </row>
    <row r="87" ht="18" customHeight="1">
      <c r="A87" s="91" t="inlineStr">
        <is>
          <t xml:space="preserve">　厨房フード② 製作取付</t>
        </is>
      </c>
      <c r="B87" s="40" t="n"/>
      <c r="C87" s="92" t="inlineStr">
        <is>
          <t>SUS製 1400×900×800H GF・二重フード</t>
        </is>
      </c>
      <c r="D87" s="40" t="n"/>
      <c r="E87" s="93" t="n">
        <v>1</v>
      </c>
      <c r="F87" s="94" t="inlineStr">
        <is>
          <t>台</t>
        </is>
      </c>
      <c r="G87" s="95">
        <f>IF(M87="","",ROUND(M87*N87,-1))</f>
        <v>259860</v>
      </c>
      <c r="H87" s="93">
        <f>IF(G87="","",ROUND(E87*G87,0))</f>
        <v>259860</v>
      </c>
      <c r="I87" s="96" t="n"/>
      <c r="J87" s="97" t="n">
        <v>175000</v>
      </c>
      <c r="K87" s="98" t="n">
        <v>2</v>
      </c>
      <c r="L87" s="95">
        <f>ROUND(K87*LABOR_DAY,0)</f>
        <v>38000</v>
      </c>
      <c r="M87" s="95">
        <f>J87+L87</f>
        <v>213000</v>
      </c>
      <c r="N87" s="99">
        <f>COEF</f>
        <v>1.22</v>
      </c>
      <c r="O87" s="93">
        <f>E87*M87</f>
        <v>213000</v>
      </c>
      <c r="P87" s="93">
        <f>ROUND(E87*L87*N87,0)</f>
        <v>46360</v>
      </c>
      <c r="Q87" s="100" t="inlineStr">
        <is>
          <t>図面カウント</t>
        </is>
      </c>
      <c r="R87" s="93">
        <f>IF(H87="","",H87-O87)</f>
        <v>46860</v>
      </c>
      <c r="S87" s="101">
        <f>IF(OR(H87="",H87=0),"",R87/H87)</f>
        <v>0.18032786885245902</v>
      </c>
      <c r="T87" s="95" t="n"/>
      <c r="U87" s="102" t="n"/>
      <c r="V87" s="103" t="inlineStr">
        <is>
          <t>SUS厨房フード製作品（外注想定 原価=提出/1.22）｜</t>
        </is>
      </c>
    </row>
    <row r="88" ht="18" customHeight="1">
      <c r="A88" s="91" t="inlineStr">
        <is>
          <t xml:space="preserve">　厨房フード③ 製作取付</t>
        </is>
      </c>
      <c r="B88" s="40" t="n"/>
      <c r="C88" s="92" t="inlineStr">
        <is>
          <t>SUS製 1170×1170×800H GF</t>
        </is>
      </c>
      <c r="D88" s="40" t="n"/>
      <c r="E88" s="93" t="n">
        <v>1</v>
      </c>
      <c r="F88" s="94" t="inlineStr">
        <is>
          <t>台</t>
        </is>
      </c>
      <c r="G88" s="95">
        <f>IF(M88="","",ROUND(M88*N88,-1))</f>
        <v>259860</v>
      </c>
      <c r="H88" s="93">
        <f>IF(G88="","",ROUND(E88*G88,0))</f>
        <v>259860</v>
      </c>
      <c r="I88" s="96" t="n"/>
      <c r="J88" s="97" t="n">
        <v>175000</v>
      </c>
      <c r="K88" s="98" t="n">
        <v>2</v>
      </c>
      <c r="L88" s="95">
        <f>ROUND(K88*LABOR_DAY,0)</f>
        <v>38000</v>
      </c>
      <c r="M88" s="95">
        <f>J88+L88</f>
        <v>213000</v>
      </c>
      <c r="N88" s="99">
        <f>COEF</f>
        <v>1.22</v>
      </c>
      <c r="O88" s="93">
        <f>E88*M88</f>
        <v>213000</v>
      </c>
      <c r="P88" s="93">
        <f>ROUND(E88*L88*N88,0)</f>
        <v>46360</v>
      </c>
      <c r="Q88" s="100" t="inlineStr">
        <is>
          <t>図面カウント</t>
        </is>
      </c>
      <c r="R88" s="93">
        <f>IF(H88="","",H88-O88)</f>
        <v>46860</v>
      </c>
      <c r="S88" s="101">
        <f>IF(OR(H88="",H88=0),"",R88/H88)</f>
        <v>0.18032786885245902</v>
      </c>
      <c r="T88" s="95" t="n"/>
      <c r="U88" s="102" t="n"/>
      <c r="V88" s="103" t="inlineStr">
        <is>
          <t>SUS厨房フード製作品（外注想定 原価=提出/1.22）｜</t>
        </is>
      </c>
    </row>
    <row r="89" ht="18" customHeight="1">
      <c r="A89" s="91" t="inlineStr">
        <is>
          <t xml:space="preserve">　厨房フード④ 製作取付</t>
        </is>
      </c>
      <c r="B89" s="40" t="n"/>
      <c r="C89" s="92" t="inlineStr">
        <is>
          <t>SUS製 3350×750×800H GF</t>
        </is>
      </c>
      <c r="D89" s="40" t="n"/>
      <c r="E89" s="93" t="n">
        <v>1</v>
      </c>
      <c r="F89" s="94" t="inlineStr">
        <is>
          <t>台</t>
        </is>
      </c>
      <c r="G89" s="95">
        <f>IF(M89="","",ROUND(M89*N89,-1))</f>
        <v>450180</v>
      </c>
      <c r="H89" s="93">
        <f>IF(G89="","",ROUND(E89*G89,0))</f>
        <v>450180</v>
      </c>
      <c r="I89" s="96" t="n"/>
      <c r="J89" s="97" t="n">
        <v>331000</v>
      </c>
      <c r="K89" s="98" t="n">
        <v>2</v>
      </c>
      <c r="L89" s="95">
        <f>ROUND(K89*LABOR_DAY,0)</f>
        <v>38000</v>
      </c>
      <c r="M89" s="95">
        <f>J89+L89</f>
        <v>369000</v>
      </c>
      <c r="N89" s="99">
        <f>COEF</f>
        <v>1.22</v>
      </c>
      <c r="O89" s="93">
        <f>E89*M89</f>
        <v>369000</v>
      </c>
      <c r="P89" s="93">
        <f>ROUND(E89*L89*N89,0)</f>
        <v>46360</v>
      </c>
      <c r="Q89" s="100" t="inlineStr">
        <is>
          <t>図面カウント</t>
        </is>
      </c>
      <c r="R89" s="93">
        <f>IF(H89="","",H89-O89)</f>
        <v>81180</v>
      </c>
      <c r="S89" s="101">
        <f>IF(OR(H89="",H89=0),"",R89/H89)</f>
        <v>0.18032786885245902</v>
      </c>
      <c r="T89" s="95" t="n"/>
      <c r="U89" s="102" t="n"/>
      <c r="V89" s="103" t="inlineStr">
        <is>
          <t>SUS厨房フード製作品（外注想定 原価=提出/1.22）｜</t>
        </is>
      </c>
    </row>
    <row r="90" ht="18" customHeight="1">
      <c r="A90" s="91" t="inlineStr">
        <is>
          <t xml:space="preserve">　衣類乾燥機排気用スリーブ</t>
        </is>
      </c>
      <c r="B90" s="40" t="n"/>
      <c r="C90" s="92" t="inlineStr">
        <is>
          <t>スリーブキャップ共</t>
        </is>
      </c>
      <c r="D90" s="40" t="n"/>
      <c r="E90" s="93" t="n">
        <v>2</v>
      </c>
      <c r="F90" s="94" t="inlineStr">
        <is>
          <t>箇所</t>
        </is>
      </c>
      <c r="G90" s="95">
        <f>IF(M90="","",ROUND(M90*N90,-1))</f>
        <v>14270</v>
      </c>
      <c r="H90" s="93">
        <f>IF(G90="","",ROUND(E90*G90,0))</f>
        <v>28540</v>
      </c>
      <c r="I90" s="96" t="n"/>
      <c r="J90" s="97" t="n">
        <v>6000</v>
      </c>
      <c r="K90" s="98" t="n">
        <v>0.3</v>
      </c>
      <c r="L90" s="95">
        <f>ROUND(K90*LABOR_DAY,0)</f>
        <v>5700</v>
      </c>
      <c r="M90" s="95">
        <f>J90+L90</f>
        <v>11700</v>
      </c>
      <c r="N90" s="99">
        <f>COEF</f>
        <v>1.22</v>
      </c>
      <c r="O90" s="93">
        <f>E90*M90</f>
        <v>23400</v>
      </c>
      <c r="P90" s="93">
        <f>ROUND(E90*L90*N90,0)</f>
        <v>13908</v>
      </c>
      <c r="Q90" s="100" t="inlineStr">
        <is>
          <t>図面カウント</t>
        </is>
      </c>
      <c r="R90" s="93">
        <f>IF(H90="","",H90-O90)</f>
        <v>5140</v>
      </c>
      <c r="S90" s="101">
        <f>IF(OR(H90="",H90=0),"",R90/H90)</f>
        <v>0.1800981079187106</v>
      </c>
      <c r="T90" s="95" t="n"/>
      <c r="U90" s="102" t="n"/>
      <c r="V90" s="103" t="inlineStr">
        <is>
          <t>VP100 スリーブ材＋取付（参考実績なし）｜洗濯室 図示</t>
        </is>
      </c>
    </row>
    <row r="91" ht="18" customHeight="1">
      <c r="A91" s="91" t="inlineStr">
        <is>
          <t xml:space="preserve">　試運転調整・風量測定</t>
        </is>
      </c>
      <c r="B91" s="40" t="n"/>
      <c r="C91" s="92" t="inlineStr">
        <is>
          <t>一式</t>
        </is>
      </c>
      <c r="D91" s="40" t="n"/>
      <c r="E91" s="93" t="n">
        <v>1</v>
      </c>
      <c r="F91" s="94" t="inlineStr">
        <is>
          <t>式</t>
        </is>
      </c>
      <c r="G91" s="95">
        <f>IF(M91="","",ROUND(M91*N91,-1))</f>
        <v>104920</v>
      </c>
      <c r="H91" s="93">
        <f>IF(G91="","",ROUND(E91*G91,0))</f>
        <v>104920</v>
      </c>
      <c r="I91" s="96" t="inlineStr">
        <is>
          <t>想定数量（別紙条件書）</t>
        </is>
      </c>
      <c r="J91" s="97" t="n">
        <v>10000</v>
      </c>
      <c r="K91" s="98" t="n">
        <v>4</v>
      </c>
      <c r="L91" s="95">
        <f>ROUND(K91*LABOR_DAY,0)</f>
        <v>76000</v>
      </c>
      <c r="M91" s="95">
        <f>J91+L91</f>
        <v>86000</v>
      </c>
      <c r="N91" s="99">
        <f>COEF</f>
        <v>1.22</v>
      </c>
      <c r="O91" s="93">
        <f>E91*M91</f>
        <v>86000</v>
      </c>
      <c r="P91" s="93">
        <f>ROUND(E91*L91*N91,0)</f>
        <v>92720</v>
      </c>
      <c r="Q91" s="104" t="inlineStr">
        <is>
          <t>推測</t>
        </is>
      </c>
      <c r="R91" s="93">
        <f>IF(H91="","",H91-O91)</f>
        <v>18920</v>
      </c>
      <c r="S91" s="101">
        <f>IF(OR(H91="",H91=0),"",R91/H91)</f>
        <v>0.18032786885245902</v>
      </c>
      <c r="T91" s="95" t="n"/>
      <c r="U91" s="102" t="n"/>
      <c r="V91" s="103" t="inlineStr">
        <is>
          <t>風量測定・試運転｜</t>
        </is>
      </c>
    </row>
    <row r="92" ht="18" customHeight="1">
      <c r="A92" s="105" t="n"/>
      <c r="B92" s="106" t="n"/>
      <c r="C92" s="106" t="n"/>
      <c r="D92" s="106" t="n"/>
      <c r="E92" s="106" t="n"/>
      <c r="F92" s="106" t="n"/>
      <c r="G92" s="106" t="n"/>
      <c r="H92" s="106" t="n"/>
      <c r="I92" s="107" t="n"/>
      <c r="J92" s="106" t="n"/>
      <c r="K92" s="106" t="n"/>
      <c r="L92" s="106" t="n"/>
      <c r="M92" s="106" t="n"/>
      <c r="N92" s="106" t="n"/>
      <c r="O92" s="106" t="n"/>
      <c r="P92" s="106" t="n"/>
      <c r="Q92" s="106" t="n"/>
      <c r="R92" s="106" t="n"/>
      <c r="S92" s="106" t="n"/>
      <c r="T92" s="106" t="n"/>
      <c r="U92" s="106" t="n"/>
      <c r="V92" s="106" t="n"/>
    </row>
    <row r="93" ht="22" customHeight="1">
      <c r="A93" s="108" t="inlineStr">
        <is>
          <t>【小　　計】</t>
        </is>
      </c>
      <c r="B93" s="109" t="n"/>
      <c r="C93" s="109" t="n"/>
      <c r="D93" s="109" t="n"/>
      <c r="E93" s="109" t="n"/>
      <c r="F93" s="109" t="n"/>
      <c r="G93" s="109" t="n"/>
      <c r="H93" s="110">
        <f>SUM(H6:H92)</f>
        <v>9213300</v>
      </c>
      <c r="I93" s="111" t="n"/>
      <c r="J93" s="112" t="n"/>
      <c r="K93" s="113">
        <f>SUMPRODUCT(E6:E92,K6:K92)</f>
        <v>233.96</v>
      </c>
      <c r="L93" s="112" t="n"/>
      <c r="M93" s="112" t="n"/>
      <c r="N93" s="112" t="n"/>
      <c r="O93" s="114">
        <f>SUM(O6:O92)</f>
        <v>7552540</v>
      </c>
      <c r="P93" s="114">
        <f>SUM(P6:P92)</f>
        <v>5423193</v>
      </c>
      <c r="Q93" s="112" t="n"/>
      <c r="R93" s="114">
        <f>H93-O93</f>
        <v>1660760</v>
      </c>
      <c r="S93" s="115">
        <f>IF(H93=0,"",R93/H93)</f>
        <v>0.18025680266571154</v>
      </c>
      <c r="T93" s="112" t="n"/>
      <c r="U93" s="112" t="n"/>
      <c r="V93" s="112" t="n"/>
    </row>
  </sheetData>
  <mergeCells count="177">
    <mergeCell ref="A15:B15"/>
    <mergeCell ref="C62:D62"/>
    <mergeCell ref="A64:B64"/>
    <mergeCell ref="C15:D15"/>
    <mergeCell ref="A73:B73"/>
    <mergeCell ref="A51:B51"/>
    <mergeCell ref="C89:D89"/>
    <mergeCell ref="A88:B88"/>
    <mergeCell ref="A70:B70"/>
    <mergeCell ref="C64:D64"/>
    <mergeCell ref="C79:D79"/>
    <mergeCell ref="C73:D73"/>
    <mergeCell ref="A54:B54"/>
    <mergeCell ref="A7:B7"/>
    <mergeCell ref="C54:D54"/>
    <mergeCell ref="A41:B41"/>
    <mergeCell ref="A90:B90"/>
    <mergeCell ref="C41:D41"/>
    <mergeCell ref="C50:D50"/>
    <mergeCell ref="A74:B74"/>
    <mergeCell ref="A56:B56"/>
    <mergeCell ref="A27:B27"/>
    <mergeCell ref="C56:D56"/>
    <mergeCell ref="C43:D43"/>
    <mergeCell ref="A76:B76"/>
    <mergeCell ref="A33:B33"/>
    <mergeCell ref="C27:D27"/>
    <mergeCell ref="C76:D76"/>
    <mergeCell ref="A42:B42"/>
    <mergeCell ref="A85:B85"/>
    <mergeCell ref="C36:D36"/>
    <mergeCell ref="A17:B17"/>
    <mergeCell ref="C17:D17"/>
    <mergeCell ref="A22:B22"/>
    <mergeCell ref="A53:B53"/>
    <mergeCell ref="A35:B35"/>
    <mergeCell ref="A62:B62"/>
    <mergeCell ref="C67:D67"/>
    <mergeCell ref="A19:B19"/>
    <mergeCell ref="A68:B68"/>
    <mergeCell ref="C19:D19"/>
    <mergeCell ref="A28:B28"/>
    <mergeCell ref="C28:D28"/>
    <mergeCell ref="A9:B9"/>
    <mergeCell ref="C3:D3"/>
    <mergeCell ref="A39:B39"/>
    <mergeCell ref="C69:D69"/>
    <mergeCell ref="A48:B48"/>
    <mergeCell ref="A30:B30"/>
    <mergeCell ref="C92:D92"/>
    <mergeCell ref="C30:D30"/>
    <mergeCell ref="A59:B59"/>
    <mergeCell ref="A46:I46"/>
    <mergeCell ref="A11:B11"/>
    <mergeCell ref="C5:D5"/>
    <mergeCell ref="A45:B45"/>
    <mergeCell ref="C14:D14"/>
    <mergeCell ref="C45:D45"/>
    <mergeCell ref="A79:B79"/>
    <mergeCell ref="A61:B61"/>
    <mergeCell ref="A87:B87"/>
    <mergeCell ref="C47:D47"/>
    <mergeCell ref="A37:B37"/>
    <mergeCell ref="A89:B89"/>
    <mergeCell ref="C40:D40"/>
    <mergeCell ref="J1:V1"/>
    <mergeCell ref="A26:B26"/>
    <mergeCell ref="C90:D90"/>
    <mergeCell ref="A63:I63"/>
    <mergeCell ref="A71:B71"/>
    <mergeCell ref="C71:D71"/>
    <mergeCell ref="A83:I83"/>
    <mergeCell ref="A8:B8"/>
    <mergeCell ref="C8:D8"/>
    <mergeCell ref="A91:B91"/>
    <mergeCell ref="C91:D91"/>
    <mergeCell ref="A52:B52"/>
    <mergeCell ref="C82:D82"/>
    <mergeCell ref="A10:B10"/>
    <mergeCell ref="C57:D57"/>
    <mergeCell ref="A1:I1"/>
    <mergeCell ref="C66:D66"/>
    <mergeCell ref="C18:D18"/>
    <mergeCell ref="C53:D53"/>
    <mergeCell ref="A77:B77"/>
    <mergeCell ref="A34:B34"/>
    <mergeCell ref="C77:D77"/>
    <mergeCell ref="C34:D34"/>
    <mergeCell ref="A92:B92"/>
    <mergeCell ref="C86:D86"/>
    <mergeCell ref="C68:D68"/>
    <mergeCell ref="A49:B49"/>
    <mergeCell ref="C58:D58"/>
    <mergeCell ref="A36:B36"/>
    <mergeCell ref="A93:D93"/>
    <mergeCell ref="A69:B69"/>
    <mergeCell ref="C20:D20"/>
    <mergeCell ref="A78:B78"/>
    <mergeCell ref="C78:D78"/>
    <mergeCell ref="C29:D29"/>
    <mergeCell ref="C85:D85"/>
    <mergeCell ref="A65:B65"/>
    <mergeCell ref="C65:D65"/>
    <mergeCell ref="A75:B75"/>
    <mergeCell ref="C44:D44"/>
    <mergeCell ref="C75:D75"/>
    <mergeCell ref="C22:D22"/>
    <mergeCell ref="A80:B80"/>
    <mergeCell ref="C84:D84"/>
    <mergeCell ref="C31:D31"/>
    <mergeCell ref="A4:I4"/>
    <mergeCell ref="A3:B3"/>
    <mergeCell ref="C80:D80"/>
    <mergeCell ref="A55:B55"/>
    <mergeCell ref="A12:B12"/>
    <mergeCell ref="C59:D59"/>
    <mergeCell ref="C12:D12"/>
    <mergeCell ref="A21:B21"/>
    <mergeCell ref="C21:D21"/>
    <mergeCell ref="A57:B57"/>
    <mergeCell ref="C51:D51"/>
    <mergeCell ref="A5:B5"/>
    <mergeCell ref="A32:B32"/>
    <mergeCell ref="A14:B14"/>
    <mergeCell ref="C61:D61"/>
    <mergeCell ref="A23:B23"/>
    <mergeCell ref="C70:D70"/>
    <mergeCell ref="C48:D48"/>
    <mergeCell ref="C23:D23"/>
    <mergeCell ref="A38:B38"/>
    <mergeCell ref="C32:D32"/>
    <mergeCell ref="C7:D7"/>
    <mergeCell ref="C38:D38"/>
    <mergeCell ref="A43:B43"/>
    <mergeCell ref="A6:I6"/>
    <mergeCell ref="A40:B40"/>
    <mergeCell ref="A67:B67"/>
    <mergeCell ref="C49:D49"/>
    <mergeCell ref="A24:B24"/>
    <mergeCell ref="C24:D24"/>
    <mergeCell ref="A82:B82"/>
    <mergeCell ref="C33:D33"/>
    <mergeCell ref="C42:D42"/>
    <mergeCell ref="C74:D74"/>
    <mergeCell ref="C88:D88"/>
    <mergeCell ref="C26:D26"/>
    <mergeCell ref="C35:D35"/>
    <mergeCell ref="A16:B16"/>
    <mergeCell ref="C10:D10"/>
    <mergeCell ref="C16:D16"/>
    <mergeCell ref="A25:B25"/>
    <mergeCell ref="C25:D25"/>
    <mergeCell ref="C55:D55"/>
    <mergeCell ref="A84:B84"/>
    <mergeCell ref="A66:B66"/>
    <mergeCell ref="C9:D9"/>
    <mergeCell ref="A18:B18"/>
    <mergeCell ref="A50:B50"/>
    <mergeCell ref="A86:B86"/>
    <mergeCell ref="C11:D11"/>
    <mergeCell ref="A47:B47"/>
    <mergeCell ref="C52:D52"/>
    <mergeCell ref="C39:D39"/>
    <mergeCell ref="A20:B20"/>
    <mergeCell ref="A72:B72"/>
    <mergeCell ref="A29:B29"/>
    <mergeCell ref="C72:D72"/>
    <mergeCell ref="A81:B81"/>
    <mergeCell ref="A60:I60"/>
    <mergeCell ref="C81:D81"/>
    <mergeCell ref="C37:D37"/>
    <mergeCell ref="A13:B13"/>
    <mergeCell ref="A44:B44"/>
    <mergeCell ref="C13:D13"/>
    <mergeCell ref="A31:B31"/>
    <mergeCell ref="A58:B58"/>
    <mergeCell ref="C87:D87"/>
  </mergeCells>
  <printOptions horizontalCentered="1" gridLines="0"/>
  <pageMargins left="0.4724409448818897" right="0.4724409448818897" top="0.5905511811023622" bottom="0.5905511811023622" header="0.3149606299212598" footer="0.2362204724409449"/>
  <pageSetup orientation="portrait" paperSize="9" fitToHeight="0" fitToWidth="1"/>
  <headerFooter>
    <oddHeader/>
    <oddFooter>&amp;C&amp;"ＭＳ Ｐゴシック,標準"&amp;9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V21"/>
  <sheetViews>
    <sheetView showGridLines="0" tabSelected="0" workbookViewId="0">
      <selection activeCell="A1" sqref="A1"/>
    </sheetView>
  </sheetViews>
  <sheetFormatPr baseColWidth="8" defaultRowHeight="15"/>
  <cols>
    <col width="4" customWidth="1" min="1" max="1"/>
    <col width="27" customWidth="1" min="2" max="2"/>
    <col width="24" customWidth="1" min="3" max="3"/>
    <col width="4" customWidth="1" min="4" max="4"/>
    <col width="8" customWidth="1" min="5" max="5"/>
    <col width="5" customWidth="1" min="6" max="6"/>
    <col width="10" customWidth="1" min="7" max="7"/>
    <col width="13" customWidth="1" min="8" max="8"/>
    <col width="15" customWidth="1" min="9" max="9"/>
    <col width="10" customWidth="1" min="10" max="10"/>
    <col width="7" customWidth="1" min="11" max="11"/>
    <col width="10" customWidth="1" min="12" max="12"/>
    <col width="10" customWidth="1" min="13" max="13"/>
    <col width="7" customWidth="1" min="14" max="14"/>
    <col width="12" customWidth="1" min="15" max="15"/>
    <col width="12" customWidth="1" min="16" max="16"/>
    <col width="9" customWidth="1" min="17" max="17"/>
    <col width="12" customWidth="1" min="18" max="18"/>
    <col width="8" customWidth="1" min="19" max="19"/>
    <col width="11" customWidth="1" min="20" max="20"/>
    <col width="8" customWidth="1" min="21" max="21"/>
    <col width="40" customWidth="1" min="22" max="22"/>
  </cols>
  <sheetData>
    <row r="1" ht="26" customHeight="1">
      <c r="A1" s="116" t="inlineStr">
        <is>
          <t>内　訳　書</t>
        </is>
      </c>
      <c r="J1" s="80" t="inlineStr">
        <is>
          <t>原　価　内　訳　書（内部用・印刷範囲外）</t>
        </is>
      </c>
      <c r="K1" s="81" t="n"/>
      <c r="L1" s="81" t="n"/>
      <c r="M1" s="81" t="n"/>
      <c r="N1" s="81" t="n"/>
      <c r="O1" s="81" t="n"/>
      <c r="P1" s="81" t="n"/>
      <c r="Q1" s="81" t="n"/>
      <c r="R1" s="81" t="n"/>
      <c r="S1" s="81" t="n"/>
      <c r="T1" s="81" t="n"/>
      <c r="U1" s="81" t="n"/>
      <c r="V1" s="81" t="n"/>
    </row>
    <row r="2" ht="18" customHeight="1">
      <c r="A2" s="117" t="inlineStr">
        <is>
          <t>工事名：（仮称）サンフレッチェ広島　三矢寮新築工事　空調設備工事　換気工事</t>
        </is>
      </c>
      <c r="I2" s="118" t="inlineStr">
        <is>
          <t>内訳書 No.2</t>
        </is>
      </c>
    </row>
    <row r="3" ht="20" customHeight="1">
      <c r="A3" s="82" t="inlineStr">
        <is>
          <t>名　　称</t>
        </is>
      </c>
      <c r="B3" s="30" t="n"/>
      <c r="C3" s="83" t="inlineStr">
        <is>
          <t>規格・寸法</t>
        </is>
      </c>
      <c r="D3" s="30" t="n"/>
      <c r="E3" s="83" t="inlineStr">
        <is>
          <t>数 量</t>
        </is>
      </c>
      <c r="F3" s="83" t="inlineStr">
        <is>
          <t>単位</t>
        </is>
      </c>
      <c r="G3" s="83" t="inlineStr">
        <is>
          <t>単　価</t>
        </is>
      </c>
      <c r="H3" s="83" t="inlineStr">
        <is>
          <t>金　　額</t>
        </is>
      </c>
      <c r="I3" s="84" t="inlineStr">
        <is>
          <t>備　考</t>
        </is>
      </c>
      <c r="J3" s="85" t="inlineStr">
        <is>
          <t>材料原価</t>
        </is>
      </c>
      <c r="K3" s="85" t="inlineStr">
        <is>
          <t>人工/単位</t>
        </is>
      </c>
      <c r="L3" s="85" t="inlineStr">
        <is>
          <t>労務原価</t>
        </is>
      </c>
      <c r="M3" s="85" t="inlineStr">
        <is>
          <t>基準原価単価</t>
        </is>
      </c>
      <c r="N3" s="85" t="inlineStr">
        <is>
          <t>提出係数</t>
        </is>
      </c>
      <c r="O3" s="85" t="inlineStr">
        <is>
          <t>基準原価</t>
        </is>
      </c>
      <c r="P3" s="85" t="inlineStr">
        <is>
          <t>労務費(提出)</t>
        </is>
      </c>
      <c r="Q3" s="85" t="inlineStr">
        <is>
          <t>数量根拠</t>
        </is>
      </c>
      <c r="R3" s="85" t="inlineStr">
        <is>
          <t>粗利</t>
        </is>
      </c>
      <c r="S3" s="85" t="inlineStr">
        <is>
          <t>粗利率</t>
        </is>
      </c>
      <c r="T3" s="85" t="inlineStr">
        <is>
          <t>参考定価ベース</t>
        </is>
      </c>
      <c r="U3" s="85" t="inlineStr">
        <is>
          <t>当社/参考</t>
        </is>
      </c>
      <c r="V3" s="85" t="inlineStr">
        <is>
          <t>単価出典・メモ（内部）</t>
        </is>
      </c>
    </row>
    <row r="4" ht="18" customHeight="1">
      <c r="A4" s="119" t="inlineStr">
        <is>
          <t>２．金額変更案 No3・4 ロスナイ中止（検討図 08 朱書き・減額は負数表示）</t>
        </is>
      </c>
      <c r="B4" s="38" t="n"/>
      <c r="C4" s="38" t="n"/>
      <c r="D4" s="38" t="n"/>
      <c r="E4" s="38" t="n"/>
      <c r="F4" s="38" t="n"/>
      <c r="G4" s="38" t="n"/>
      <c r="H4" s="38" t="n"/>
      <c r="I4" s="87" t="n"/>
      <c r="J4" s="38" t="n"/>
      <c r="K4" s="38" t="n"/>
      <c r="L4" s="38" t="n"/>
      <c r="M4" s="38" t="n"/>
      <c r="N4" s="38" t="n"/>
      <c r="O4" s="38" t="n"/>
      <c r="P4" s="38" t="n"/>
      <c r="Q4" s="38" t="n"/>
      <c r="R4" s="38" t="n"/>
      <c r="S4" s="38" t="n"/>
      <c r="T4" s="38" t="n"/>
      <c r="U4" s="38" t="n"/>
      <c r="V4" s="38" t="n"/>
    </row>
    <row r="5" ht="18" customHeight="1">
      <c r="A5" s="88" t="n"/>
      <c r="B5" s="40" t="n"/>
      <c r="C5" s="40" t="n"/>
      <c r="D5" s="40" t="n"/>
      <c r="E5" s="40" t="n"/>
      <c r="F5" s="40" t="n"/>
      <c r="G5" s="40" t="n"/>
      <c r="H5" s="40" t="n"/>
      <c r="I5" s="89" t="n"/>
      <c r="J5" s="40" t="n"/>
      <c r="K5" s="40" t="n"/>
      <c r="L5" s="40" t="n"/>
      <c r="M5" s="40" t="n"/>
      <c r="N5" s="40" t="n"/>
      <c r="O5" s="40" t="n"/>
      <c r="P5" s="40" t="n"/>
      <c r="Q5" s="40" t="n"/>
      <c r="R5" s="40" t="n"/>
      <c r="S5" s="40" t="n"/>
      <c r="T5" s="40" t="n"/>
      <c r="U5" s="40" t="n"/>
      <c r="V5" s="40" t="n"/>
    </row>
    <row r="6" ht="18" customHeight="1">
      <c r="A6" s="120" t="inlineStr">
        <is>
          <t>（1）No3・4 ロスナイ中止（減額・代替機器）</t>
        </is>
      </c>
      <c r="B6" s="40" t="n"/>
      <c r="C6" s="40" t="n"/>
      <c r="D6" s="40" t="n"/>
      <c r="E6" s="40" t="n"/>
      <c r="F6" s="40" t="n"/>
      <c r="G6" s="40" t="n"/>
      <c r="H6" s="40" t="n"/>
      <c r="I6" s="89" t="n"/>
      <c r="J6" s="40" t="n"/>
      <c r="K6" s="40" t="n"/>
      <c r="L6" s="40" t="n"/>
      <c r="M6" s="40" t="n"/>
      <c r="N6" s="40" t="n"/>
      <c r="O6" s="40" t="n"/>
      <c r="P6" s="40" t="n"/>
      <c r="Q6" s="40" t="n"/>
      <c r="R6" s="40" t="n"/>
      <c r="S6" s="40" t="n"/>
      <c r="T6" s="40" t="n"/>
      <c r="U6" s="40" t="n"/>
      <c r="V6" s="40" t="n"/>
    </row>
    <row r="7" ht="18" customHeight="1">
      <c r="A7" s="121" t="inlineStr">
        <is>
          <t xml:space="preserve">　HEX-1 全熱交換器 据付 (中止)</t>
        </is>
      </c>
      <c r="B7" s="40" t="n"/>
      <c r="C7" s="122" t="inlineStr">
        <is>
          <t>LGH-N80RXV2 食堂</t>
        </is>
      </c>
      <c r="D7" s="40" t="n"/>
      <c r="E7" s="123" t="n">
        <v>-1</v>
      </c>
      <c r="F7" s="124" t="inlineStr">
        <is>
          <t>台</t>
        </is>
      </c>
      <c r="G7" s="125">
        <f>IF(M7="","",ROUND(M7*N7,-1))</f>
        <v>35500</v>
      </c>
      <c r="H7" s="123">
        <f>IF(G7="","",ROUND(E7*G7,0))</f>
        <v>-35500</v>
      </c>
      <c r="I7" s="126" t="inlineStr">
        <is>
          <t>本体は元請様支給</t>
        </is>
      </c>
      <c r="J7" s="97" t="n">
        <v>2500</v>
      </c>
      <c r="K7" s="98" t="n">
        <v>1.4</v>
      </c>
      <c r="L7" s="95">
        <f>ROUND(K7*LABOR_DAY,0)</f>
        <v>26600</v>
      </c>
      <c r="M7" s="95">
        <f>J7+L7</f>
        <v>29100</v>
      </c>
      <c r="N7" s="99">
        <f>COEF</f>
        <v>1.22</v>
      </c>
      <c r="O7" s="93">
        <f>E7*M7</f>
        <v>-29100</v>
      </c>
      <c r="P7" s="93">
        <f>ROUND(E7*L7*N7,0)</f>
        <v>-32452</v>
      </c>
      <c r="Q7" s="100" t="inlineStr">
        <is>
          <t>図面カウント</t>
        </is>
      </c>
      <c r="R7" s="93">
        <f>IF(H7="","",H7-O7)</f>
        <v>-6400</v>
      </c>
      <c r="S7" s="101">
        <f>IF(OR(H7="",H7=0),"",R7/H7)</f>
        <v>0.18028169014084508</v>
      </c>
      <c r="T7" s="95" t="n"/>
      <c r="U7" s="102" t="n"/>
      <c r="V7" s="103" t="inlineStr">
        <is>
          <t>全熱交換器 天井埋込（ダクト接続別）｜No3・4 ロスナイ中止</t>
        </is>
      </c>
    </row>
    <row r="8" ht="18" customHeight="1">
      <c r="A8" s="121" t="inlineStr">
        <is>
          <t xml:space="preserve">　HEX-2 全熱交換器 据付 (中止)</t>
        </is>
      </c>
      <c r="B8" s="40" t="n"/>
      <c r="C8" s="122" t="inlineStr">
        <is>
          <t>LGH-N65RXW2 ミーティングルーム</t>
        </is>
      </c>
      <c r="D8" s="40" t="n"/>
      <c r="E8" s="123" t="n">
        <v>-1</v>
      </c>
      <c r="F8" s="124" t="inlineStr">
        <is>
          <t>台</t>
        </is>
      </c>
      <c r="G8" s="125">
        <f>IF(M8="","",ROUND(M8*N8,-1))</f>
        <v>35500</v>
      </c>
      <c r="H8" s="123">
        <f>IF(G8="","",ROUND(E8*G8,0))</f>
        <v>-35500</v>
      </c>
      <c r="I8" s="126" t="inlineStr">
        <is>
          <t>本体は元請様支給</t>
        </is>
      </c>
      <c r="J8" s="97" t="n">
        <v>2500</v>
      </c>
      <c r="K8" s="98" t="n">
        <v>1.4</v>
      </c>
      <c r="L8" s="95">
        <f>ROUND(K8*LABOR_DAY,0)</f>
        <v>26600</v>
      </c>
      <c r="M8" s="95">
        <f>J8+L8</f>
        <v>29100</v>
      </c>
      <c r="N8" s="99">
        <f>COEF</f>
        <v>1.22</v>
      </c>
      <c r="O8" s="93">
        <f>E8*M8</f>
        <v>-29100</v>
      </c>
      <c r="P8" s="93">
        <f>ROUND(E8*L8*N8,0)</f>
        <v>-32452</v>
      </c>
      <c r="Q8" s="100" t="inlineStr">
        <is>
          <t>図面カウント</t>
        </is>
      </c>
      <c r="R8" s="93">
        <f>IF(H8="","",H8-O8)</f>
        <v>-6400</v>
      </c>
      <c r="S8" s="101">
        <f>IF(OR(H8="",H8=0),"",R8/H8)</f>
        <v>0.18028169014084508</v>
      </c>
      <c r="T8" s="95" t="n"/>
      <c r="U8" s="102" t="n"/>
      <c r="V8" s="103" t="inlineStr">
        <is>
          <t>全熱交換器 天井埋込（ダクト接続別）｜</t>
        </is>
      </c>
    </row>
    <row r="9" ht="18" customHeight="1">
      <c r="A9" s="121" t="inlineStr">
        <is>
          <t xml:space="preserve">　HEX-3 全熱交換器 据付 (中止)</t>
        </is>
      </c>
      <c r="B9" s="40" t="n"/>
      <c r="C9" s="122" t="inlineStr">
        <is>
          <t>SKU-50AC コーチルーム・トレーニングルーム</t>
        </is>
      </c>
      <c r="D9" s="40" t="n"/>
      <c r="E9" s="123" t="n">
        <v>-4</v>
      </c>
      <c r="F9" s="124" t="inlineStr">
        <is>
          <t>台</t>
        </is>
      </c>
      <c r="G9" s="125">
        <f>IF(M9="","",ROUND(M9*N9,-1))</f>
        <v>35500</v>
      </c>
      <c r="H9" s="123">
        <f>IF(G9="","",ROUND(E9*G9,0))</f>
        <v>-142000</v>
      </c>
      <c r="I9" s="126" t="inlineStr">
        <is>
          <t>本体は元請様支給</t>
        </is>
      </c>
      <c r="J9" s="97" t="n">
        <v>2500</v>
      </c>
      <c r="K9" s="98" t="n">
        <v>1.4</v>
      </c>
      <c r="L9" s="95">
        <f>ROUND(K9*LABOR_DAY,0)</f>
        <v>26600</v>
      </c>
      <c r="M9" s="95">
        <f>J9+L9</f>
        <v>29100</v>
      </c>
      <c r="N9" s="99">
        <f>COEF</f>
        <v>1.22</v>
      </c>
      <c r="O9" s="93">
        <f>E9*M9</f>
        <v>-116400</v>
      </c>
      <c r="P9" s="93">
        <f>ROUND(E9*L9*N9,0)</f>
        <v>-129808</v>
      </c>
      <c r="Q9" s="100" t="inlineStr">
        <is>
          <t>図面カウント</t>
        </is>
      </c>
      <c r="R9" s="93">
        <f>IF(H9="","",H9-O9)</f>
        <v>-25600</v>
      </c>
      <c r="S9" s="101">
        <f>IF(OR(H9="",H9=0),"",R9/H9)</f>
        <v>0.18028169014084508</v>
      </c>
      <c r="T9" s="95" t="n"/>
      <c r="U9" s="102" t="n"/>
      <c r="V9" s="103" t="inlineStr">
        <is>
          <t>全熱交換器 天井埋込（ダクト接続別）｜</t>
        </is>
      </c>
    </row>
    <row r="10" ht="18" customHeight="1">
      <c r="A10" s="121" t="inlineStr">
        <is>
          <t xml:space="preserve">　HEX-4 壁掛ロスナイ 据付 (中止)</t>
        </is>
      </c>
      <c r="B10" s="40" t="n"/>
      <c r="C10" s="122" t="inlineStr">
        <is>
          <t>VL-10ES3</t>
        </is>
      </c>
      <c r="D10" s="40" t="n"/>
      <c r="E10" s="123" t="n">
        <v>-46</v>
      </c>
      <c r="F10" s="124" t="inlineStr">
        <is>
          <t>台</t>
        </is>
      </c>
      <c r="G10" s="125">
        <f>IF(M10="","",ROUND(M10*N10,-1))</f>
        <v>11040</v>
      </c>
      <c r="H10" s="123">
        <f>IF(G10="","",ROUND(E10*G10,0))</f>
        <v>-507840</v>
      </c>
      <c r="I10" s="126" t="inlineStr">
        <is>
          <t>本体は元請様支給</t>
        </is>
      </c>
      <c r="J10" s="97" t="n">
        <v>500</v>
      </c>
      <c r="K10" s="98" t="n">
        <v>0.45</v>
      </c>
      <c r="L10" s="95">
        <f>ROUND(K10*LABOR_DAY,0)</f>
        <v>8550</v>
      </c>
      <c r="M10" s="95">
        <f>J10+L10</f>
        <v>9050</v>
      </c>
      <c r="N10" s="99">
        <f>COEF</f>
        <v>1.22</v>
      </c>
      <c r="O10" s="93">
        <f>E10*M10</f>
        <v>-416300</v>
      </c>
      <c r="P10" s="93">
        <f>ROUND(E10*L10*N10,0)</f>
        <v>-479826</v>
      </c>
      <c r="Q10" s="100" t="inlineStr">
        <is>
          <t>図面カウント</t>
        </is>
      </c>
      <c r="R10" s="93">
        <f>IF(H10="","",H10-O10)</f>
        <v>-91540</v>
      </c>
      <c r="S10" s="101">
        <f>IF(OR(H10="",H10=0),"",R10/H10)</f>
        <v>0.1802536231884058</v>
      </c>
      <c r="T10" s="95" t="n"/>
      <c r="U10" s="102" t="n"/>
      <c r="V10" s="103" t="inlineStr">
        <is>
          <t>壁掛ロスナイ取付｜</t>
        </is>
      </c>
    </row>
    <row r="11" ht="18" customHeight="1">
      <c r="A11" s="121" t="inlineStr">
        <is>
          <t xml:space="preserve">　HEX-5 壁掛ロスナイ 据付 (中止)</t>
        </is>
      </c>
      <c r="B11" s="40" t="n"/>
      <c r="C11" s="122" t="inlineStr">
        <is>
          <t>VL-12ESH3</t>
        </is>
      </c>
      <c r="D11" s="40" t="n"/>
      <c r="E11" s="123" t="n">
        <v>-27</v>
      </c>
      <c r="F11" s="124" t="inlineStr">
        <is>
          <t>台</t>
        </is>
      </c>
      <c r="G11" s="125">
        <f>IF(M11="","",ROUND(M11*N11,-1))</f>
        <v>11040</v>
      </c>
      <c r="H11" s="123">
        <f>IF(G11="","",ROUND(E11*G11,0))</f>
        <v>-298080</v>
      </c>
      <c r="I11" s="126" t="inlineStr">
        <is>
          <t>本体は元請様支給</t>
        </is>
      </c>
      <c r="J11" s="97" t="n">
        <v>500</v>
      </c>
      <c r="K11" s="98" t="n">
        <v>0.45</v>
      </c>
      <c r="L11" s="95">
        <f>ROUND(K11*LABOR_DAY,0)</f>
        <v>8550</v>
      </c>
      <c r="M11" s="95">
        <f>J11+L11</f>
        <v>9050</v>
      </c>
      <c r="N11" s="99">
        <f>COEF</f>
        <v>1.22</v>
      </c>
      <c r="O11" s="93">
        <f>E11*M11</f>
        <v>-244350</v>
      </c>
      <c r="P11" s="93">
        <f>ROUND(E11*L11*N11,0)</f>
        <v>-281637</v>
      </c>
      <c r="Q11" s="100" t="inlineStr">
        <is>
          <t>図面カウント</t>
        </is>
      </c>
      <c r="R11" s="93">
        <f>IF(H11="","",H11-O11)</f>
        <v>-53730</v>
      </c>
      <c r="S11" s="101">
        <f>IF(OR(H11="",H11=0),"",R11/H11)</f>
        <v>0.1802536231884058</v>
      </c>
      <c r="T11" s="95" t="n"/>
      <c r="U11" s="102" t="n"/>
      <c r="V11" s="103" t="inlineStr">
        <is>
          <t>壁掛ロスナイ取付｜</t>
        </is>
      </c>
    </row>
    <row r="12" ht="18" customHeight="1">
      <c r="A12" s="121" t="inlineStr">
        <is>
          <t xml:space="preserve">　全熱交換器 リモコン配線 (中止)</t>
        </is>
      </c>
      <c r="B12" s="40" t="n"/>
      <c r="C12" s="122" t="inlineStr">
        <is>
          <t>HEX-1,2,3 計6台分</t>
        </is>
      </c>
      <c r="D12" s="40" t="n"/>
      <c r="E12" s="123" t="n">
        <v>-6</v>
      </c>
      <c r="F12" s="124" t="inlineStr">
        <is>
          <t>台</t>
        </is>
      </c>
      <c r="G12" s="125">
        <f>IF(M12="","",ROUND(M12*N12,-1))</f>
        <v>10490</v>
      </c>
      <c r="H12" s="123">
        <f>IF(G12="","",ROUND(E12*G12,0))</f>
        <v>-62940</v>
      </c>
      <c r="I12" s="126" t="inlineStr">
        <is>
          <t>図面08 中止に伴う減額</t>
        </is>
      </c>
      <c r="J12" s="97" t="n">
        <v>1000</v>
      </c>
      <c r="K12" s="98" t="n">
        <v>0.4</v>
      </c>
      <c r="L12" s="95">
        <f>ROUND(K12*LABOR_DAY,0)</f>
        <v>7600</v>
      </c>
      <c r="M12" s="95">
        <f>J12+L12</f>
        <v>8600</v>
      </c>
      <c r="N12" s="99">
        <f>COEF</f>
        <v>1.22</v>
      </c>
      <c r="O12" s="93">
        <f>E12*M12</f>
        <v>-51600</v>
      </c>
      <c r="P12" s="93">
        <f>ROUND(E12*L12*N12,0)</f>
        <v>-55632</v>
      </c>
      <c r="Q12" s="100" t="inlineStr">
        <is>
          <t>図面カウント</t>
        </is>
      </c>
      <c r="R12" s="93">
        <f>IF(H12="","",H12-O12)</f>
        <v>-11340</v>
      </c>
      <c r="S12" s="101">
        <f>IF(OR(H12="",H12=0),"",R12/H12)</f>
        <v>0.1801715919923737</v>
      </c>
      <c r="T12" s="95" t="n">
        <v>9630</v>
      </c>
      <c r="U12" s="102">
        <f>IF(OR(T12="",T12=0),"",G12/T12)</f>
        <v>1.0893042575285565</v>
      </c>
      <c r="V12" s="103" t="inlineStr">
        <is>
          <t>リモコン配線工事 9,630/系統（6330549/558/476-3）｜</t>
        </is>
      </c>
    </row>
    <row r="13" ht="18" customHeight="1">
      <c r="A13" s="121" t="inlineStr">
        <is>
          <t xml:space="preserve">　HEX-1 → 中間ファン 据付</t>
        </is>
      </c>
      <c r="B13" s="40" t="n"/>
      <c r="C13" s="122" t="inlineStr">
        <is>
          <t>BFS-80SUDC 天井埋込形 250φ 食堂 防振吊金具・リモコン共</t>
        </is>
      </c>
      <c r="D13" s="40" t="n"/>
      <c r="E13" s="123" t="n">
        <v>1</v>
      </c>
      <c r="F13" s="124" t="inlineStr">
        <is>
          <t>台</t>
        </is>
      </c>
      <c r="G13" s="125">
        <f>IF(M13="","",ROUND(M13*N13,-1))</f>
        <v>30260</v>
      </c>
      <c r="H13" s="123">
        <f>IF(G13="","",ROUND(E13*G13,0))</f>
        <v>30260</v>
      </c>
      <c r="I13" s="126" t="inlineStr">
        <is>
          <t>本体は元請様支給</t>
        </is>
      </c>
      <c r="J13" s="97" t="n">
        <v>2000</v>
      </c>
      <c r="K13" s="98" t="n">
        <v>1.2</v>
      </c>
      <c r="L13" s="95">
        <f>ROUND(K13*LABOR_DAY,0)</f>
        <v>22800</v>
      </c>
      <c r="M13" s="95">
        <f>J13+L13</f>
        <v>24800</v>
      </c>
      <c r="N13" s="99">
        <f>COEF</f>
        <v>1.22</v>
      </c>
      <c r="O13" s="93">
        <f>E13*M13</f>
        <v>24800</v>
      </c>
      <c r="P13" s="93">
        <f>ROUND(E13*L13*N13,0)</f>
        <v>27816</v>
      </c>
      <c r="Q13" s="100" t="inlineStr">
        <is>
          <t>図面カウント</t>
        </is>
      </c>
      <c r="R13" s="93">
        <f>IF(H13="","",H13-O13)</f>
        <v>5460</v>
      </c>
      <c r="S13" s="101">
        <f>IF(OR(H13="",H13=0),"",R13/H13)</f>
        <v>0.18043621943159285</v>
      </c>
      <c r="T13" s="95" t="n"/>
      <c r="U13" s="102" t="n"/>
      <c r="V13" s="103" t="inlineStr">
        <is>
          <t>中間ファン（防振吊）取付｜EA側ダクト・HSは図示どおり、OA側は自然給気として残置と想定</t>
        </is>
      </c>
    </row>
    <row r="14" ht="18" customHeight="1">
      <c r="A14" s="121" t="inlineStr">
        <is>
          <t xml:space="preserve">　HEX-2 → 中間ファン 据付</t>
        </is>
      </c>
      <c r="B14" s="40" t="n"/>
      <c r="C14" s="122" t="inlineStr">
        <is>
          <t>BFS-65SUDC 200φ ミーティングルーム</t>
        </is>
      </c>
      <c r="D14" s="40" t="n"/>
      <c r="E14" s="123" t="n">
        <v>1</v>
      </c>
      <c r="F14" s="124" t="inlineStr">
        <is>
          <t>台</t>
        </is>
      </c>
      <c r="G14" s="125">
        <f>IF(M14="","",ROUND(M14*N14,-1))</f>
        <v>30260</v>
      </c>
      <c r="H14" s="123">
        <f>IF(G14="","",ROUND(E14*G14,0))</f>
        <v>30260</v>
      </c>
      <c r="I14" s="126" t="inlineStr">
        <is>
          <t>本体は元請様支給</t>
        </is>
      </c>
      <c r="J14" s="97" t="n">
        <v>2000</v>
      </c>
      <c r="K14" s="98" t="n">
        <v>1.2</v>
      </c>
      <c r="L14" s="95">
        <f>ROUND(K14*LABOR_DAY,0)</f>
        <v>22800</v>
      </c>
      <c r="M14" s="95">
        <f>J14+L14</f>
        <v>24800</v>
      </c>
      <c r="N14" s="99">
        <f>COEF</f>
        <v>1.22</v>
      </c>
      <c r="O14" s="93">
        <f>E14*M14</f>
        <v>24800</v>
      </c>
      <c r="P14" s="93">
        <f>ROUND(E14*L14*N14,0)</f>
        <v>27816</v>
      </c>
      <c r="Q14" s="100" t="inlineStr">
        <is>
          <t>図面カウント</t>
        </is>
      </c>
      <c r="R14" s="93">
        <f>IF(H14="","",H14-O14)</f>
        <v>5460</v>
      </c>
      <c r="S14" s="101">
        <f>IF(OR(H14="",H14=0),"",R14/H14)</f>
        <v>0.18043621943159285</v>
      </c>
      <c r="T14" s="95" t="n"/>
      <c r="U14" s="102" t="n"/>
      <c r="V14" s="103" t="inlineStr">
        <is>
          <t>中間ファン（防振吊）取付｜</t>
        </is>
      </c>
    </row>
    <row r="15" ht="18" customHeight="1">
      <c r="A15" s="121" t="inlineStr">
        <is>
          <t xml:space="preserve">　HEX-3 → 中間ファン 据付</t>
        </is>
      </c>
      <c r="B15" s="40" t="n"/>
      <c r="C15" s="122" t="inlineStr">
        <is>
          <t>BFS-40SUDC 天井カセット形 200φ コーチルーム・トレーニングルーム</t>
        </is>
      </c>
      <c r="D15" s="40" t="n"/>
      <c r="E15" s="123" t="n">
        <v>4</v>
      </c>
      <c r="F15" s="124" t="inlineStr">
        <is>
          <t>台</t>
        </is>
      </c>
      <c r="G15" s="125">
        <f>IF(M15="","",ROUND(M15*N15,-1))</f>
        <v>30260</v>
      </c>
      <c r="H15" s="123">
        <f>IF(G15="","",ROUND(E15*G15,0))</f>
        <v>121040</v>
      </c>
      <c r="I15" s="126" t="inlineStr">
        <is>
          <t>本体は元請様支給</t>
        </is>
      </c>
      <c r="J15" s="97" t="n">
        <v>2000</v>
      </c>
      <c r="K15" s="98" t="n">
        <v>1.2</v>
      </c>
      <c r="L15" s="95">
        <f>ROUND(K15*LABOR_DAY,0)</f>
        <v>22800</v>
      </c>
      <c r="M15" s="95">
        <f>J15+L15</f>
        <v>24800</v>
      </c>
      <c r="N15" s="99">
        <f>COEF</f>
        <v>1.22</v>
      </c>
      <c r="O15" s="93">
        <f>E15*M15</f>
        <v>99200</v>
      </c>
      <c r="P15" s="93">
        <f>ROUND(E15*L15*N15,0)</f>
        <v>111264</v>
      </c>
      <c r="Q15" s="100" t="inlineStr">
        <is>
          <t>図面カウント</t>
        </is>
      </c>
      <c r="R15" s="93">
        <f>IF(H15="","",H15-O15)</f>
        <v>21840</v>
      </c>
      <c r="S15" s="101">
        <f>IF(OR(H15="",H15=0),"",R15/H15)</f>
        <v>0.18043621943159285</v>
      </c>
      <c r="T15" s="95" t="n"/>
      <c r="U15" s="102" t="n"/>
      <c r="V15" s="103" t="inlineStr">
        <is>
          <t>中間ファン（防振吊）取付｜</t>
        </is>
      </c>
    </row>
    <row r="16" ht="18" customHeight="1">
      <c r="A16" s="121" t="inlineStr">
        <is>
          <t xml:space="preserve">　中間ファン リモコン配線</t>
        </is>
      </c>
      <c r="B16" s="40" t="n"/>
      <c r="C16" s="122" t="inlineStr">
        <is>
          <t>BFS-SUDC用 6台</t>
        </is>
      </c>
      <c r="D16" s="40" t="n"/>
      <c r="E16" s="123" t="n">
        <v>6</v>
      </c>
      <c r="F16" s="124" t="inlineStr">
        <is>
          <t>台</t>
        </is>
      </c>
      <c r="G16" s="125">
        <f>IF(M16="","",ROUND(M16*N16,-1))</f>
        <v>10490</v>
      </c>
      <c r="H16" s="123">
        <f>IF(G16="","",ROUND(E16*G16,0))</f>
        <v>62940</v>
      </c>
      <c r="I16" s="126" t="n"/>
      <c r="J16" s="97" t="n">
        <v>1000</v>
      </c>
      <c r="K16" s="98" t="n">
        <v>0.4</v>
      </c>
      <c r="L16" s="95">
        <f>ROUND(K16*LABOR_DAY,0)</f>
        <v>7600</v>
      </c>
      <c r="M16" s="95">
        <f>J16+L16</f>
        <v>8600</v>
      </c>
      <c r="N16" s="99">
        <f>COEF</f>
        <v>1.22</v>
      </c>
      <c r="O16" s="93">
        <f>E16*M16</f>
        <v>51600</v>
      </c>
      <c r="P16" s="93">
        <f>ROUND(E16*L16*N16,0)</f>
        <v>55632</v>
      </c>
      <c r="Q16" s="100" t="inlineStr">
        <is>
          <t>図面カウント</t>
        </is>
      </c>
      <c r="R16" s="93">
        <f>IF(H16="","",H16-O16)</f>
        <v>11340</v>
      </c>
      <c r="S16" s="101">
        <f>IF(OR(H16="",H16=0),"",R16/H16)</f>
        <v>0.1801715919923737</v>
      </c>
      <c r="T16" s="95" t="n">
        <v>9630</v>
      </c>
      <c r="U16" s="102">
        <f>IF(OR(T16="",T16=0),"",G16/T16)</f>
        <v>1.0893042575285565</v>
      </c>
      <c r="V16" s="103" t="inlineStr">
        <is>
          <t>リモコン配線工事 9,630/系統（6330549/558/476-3）｜</t>
        </is>
      </c>
    </row>
    <row r="17" ht="18" customHeight="1">
      <c r="A17" s="121" t="inlineStr">
        <is>
          <t xml:space="preserve">　HEX-4/5 → パイプファン 据付</t>
        </is>
      </c>
      <c r="B17" s="40" t="n"/>
      <c r="C17" s="122" t="inlineStr">
        <is>
          <t>V-08PPXD8 壁掛1パイプ 100φ 来客室・寮室・寮務スタッフ室</t>
        </is>
      </c>
      <c r="D17" s="40" t="n"/>
      <c r="E17" s="123" t="n">
        <v>73</v>
      </c>
      <c r="F17" s="124" t="inlineStr">
        <is>
          <t>台</t>
        </is>
      </c>
      <c r="G17" s="125">
        <f>IF(M17="","",ROUND(M17*N17,-1))</f>
        <v>7320</v>
      </c>
      <c r="H17" s="123">
        <f>IF(G17="","",ROUND(E17*G17,0))</f>
        <v>534360</v>
      </c>
      <c r="I17" s="126" t="inlineStr">
        <is>
          <t>本体は元請様支給</t>
        </is>
      </c>
      <c r="J17" s="97" t="n">
        <v>300</v>
      </c>
      <c r="K17" s="98" t="n">
        <v>0.3</v>
      </c>
      <c r="L17" s="95">
        <f>ROUND(K17*LABOR_DAY,0)</f>
        <v>5700</v>
      </c>
      <c r="M17" s="95">
        <f>J17+L17</f>
        <v>6000</v>
      </c>
      <c r="N17" s="99">
        <f>COEF</f>
        <v>1.22</v>
      </c>
      <c r="O17" s="93">
        <f>E17*M17</f>
        <v>438000</v>
      </c>
      <c r="P17" s="93">
        <f>ROUND(E17*L17*N17,0)</f>
        <v>507642</v>
      </c>
      <c r="Q17" s="100" t="inlineStr">
        <is>
          <t>図面カウント</t>
        </is>
      </c>
      <c r="R17" s="93">
        <f>IF(H17="","",H17-O17)</f>
        <v>96360</v>
      </c>
      <c r="S17" s="101">
        <f>IF(OR(H17="",H17=0),"",R17/H17)</f>
        <v>0.18032786885245902</v>
      </c>
      <c r="T17" s="95" t="n"/>
      <c r="U17" s="102" t="n"/>
      <c r="V17" s="103" t="inlineStr">
        <is>
          <t>パイプファン取付（参考実績なし）｜46＋27台</t>
        </is>
      </c>
    </row>
    <row r="18" ht="18" customHeight="1">
      <c r="A18" s="121" t="inlineStr">
        <is>
          <t xml:space="preserve">　吸気口 内部 KS-8841PR3-SG 取付</t>
        </is>
      </c>
      <c r="B18" s="40" t="n"/>
      <c r="C18" s="122" t="inlineStr">
        <is>
          <t>材工 (支給外と想定・要確認)</t>
        </is>
      </c>
      <c r="D18" s="40" t="n"/>
      <c r="E18" s="123" t="n">
        <v>73</v>
      </c>
      <c r="F18" s="124" t="inlineStr">
        <is>
          <t>個</t>
        </is>
      </c>
      <c r="G18" s="125">
        <f>IF(M18="","",ROUND(M18*N18,-1))</f>
        <v>5980</v>
      </c>
      <c r="H18" s="123">
        <f>IF(G18="","",ROUND(E18*G18,0))</f>
        <v>436540</v>
      </c>
      <c r="I18" s="126" t="n"/>
      <c r="J18" s="97" t="n">
        <v>3000</v>
      </c>
      <c r="K18" s="98" t="n">
        <v>0.1</v>
      </c>
      <c r="L18" s="95">
        <f>ROUND(K18*LABOR_DAY,0)</f>
        <v>1900</v>
      </c>
      <c r="M18" s="95">
        <f>J18+L18</f>
        <v>4900</v>
      </c>
      <c r="N18" s="99">
        <f>COEF</f>
        <v>1.22</v>
      </c>
      <c r="O18" s="93">
        <f>E18*M18</f>
        <v>357700</v>
      </c>
      <c r="P18" s="93">
        <f>ROUND(E18*L18*N18,0)</f>
        <v>169214</v>
      </c>
      <c r="Q18" s="100" t="inlineStr">
        <is>
          <t>図面カウント</t>
        </is>
      </c>
      <c r="R18" s="93">
        <f>IF(H18="","",H18-O18)</f>
        <v>78840</v>
      </c>
      <c r="S18" s="101">
        <f>IF(OR(H18="",H18=0),"",R18/H18)</f>
        <v>0.1806020066889632</v>
      </c>
      <c r="T18" s="95" t="n"/>
      <c r="U18" s="102" t="n"/>
      <c r="V18" s="103" t="inlineStr">
        <is>
          <t>吸気口 KS-8841PR3-SG 材＋取付｜朱書き: 吸気口 外部SUS製フード(指定色)・内部KS-8841PR3-SG</t>
        </is>
      </c>
    </row>
    <row r="19" ht="18" customHeight="1">
      <c r="A19" s="121" t="inlineStr">
        <is>
          <t xml:space="preserve">　吸気口用 SUS製フード 取付 (支給品)</t>
        </is>
      </c>
      <c r="B19" s="40" t="n"/>
      <c r="C19" s="122" t="inlineStr">
        <is>
          <t>指定色塗装</t>
        </is>
      </c>
      <c r="D19" s="40" t="n"/>
      <c r="E19" s="123" t="n">
        <v>73</v>
      </c>
      <c r="F19" s="124" t="inlineStr">
        <is>
          <t>箇所</t>
        </is>
      </c>
      <c r="G19" s="125">
        <f>IF(M19="","",ROUND(M19*N19,-1))</f>
        <v>3840</v>
      </c>
      <c r="H19" s="123">
        <f>IF(G19="","",ROUND(E19*G19,0))</f>
        <v>280320</v>
      </c>
      <c r="I19" s="126" t="inlineStr">
        <is>
          <t>支給品の取付費</t>
        </is>
      </c>
      <c r="J19" s="97" t="n">
        <v>300</v>
      </c>
      <c r="K19" s="98" t="n">
        <v>0.15</v>
      </c>
      <c r="L19" s="95">
        <f>ROUND(K19*LABOR_DAY,0)</f>
        <v>2850</v>
      </c>
      <c r="M19" s="95">
        <f>J19+L19</f>
        <v>3150</v>
      </c>
      <c r="N19" s="99">
        <f>COEF</f>
        <v>1.22</v>
      </c>
      <c r="O19" s="93">
        <f>E19*M19</f>
        <v>229950</v>
      </c>
      <c r="P19" s="93">
        <f>ROUND(E19*L19*N19,0)</f>
        <v>253821</v>
      </c>
      <c r="Q19" s="100" t="inlineStr">
        <is>
          <t>図面カウント</t>
        </is>
      </c>
      <c r="R19" s="93">
        <f>IF(H19="","",H19-O19)</f>
        <v>50370</v>
      </c>
      <c r="S19" s="101">
        <f>IF(OR(H19="",H19=0),"",R19/H19)</f>
        <v>0.1796875</v>
      </c>
      <c r="T19" s="95" t="n"/>
      <c r="U19" s="102" t="n"/>
      <c r="V19" s="103" t="inlineStr">
        <is>
          <t>SUS製フード取付（支給）｜B-5の寮室146箇所と重複なし(排気73・給気73)</t>
        </is>
      </c>
    </row>
    <row r="20" ht="18" customHeight="1">
      <c r="A20" s="105" t="n"/>
      <c r="B20" s="106" t="n"/>
      <c r="C20" s="106" t="n"/>
      <c r="D20" s="106" t="n"/>
      <c r="E20" s="106" t="n"/>
      <c r="F20" s="106" t="n"/>
      <c r="G20" s="106" t="n"/>
      <c r="H20" s="106" t="n"/>
      <c r="I20" s="107" t="n"/>
      <c r="J20" s="106" t="n"/>
      <c r="K20" s="106" t="n"/>
      <c r="L20" s="106" t="n"/>
      <c r="M20" s="106" t="n"/>
      <c r="N20" s="106" t="n"/>
      <c r="O20" s="106" t="n"/>
      <c r="P20" s="106" t="n"/>
      <c r="Q20" s="106" t="n"/>
      <c r="R20" s="106" t="n"/>
      <c r="S20" s="106" t="n"/>
      <c r="T20" s="106" t="n"/>
      <c r="U20" s="106" t="n"/>
      <c r="V20" s="106" t="n"/>
    </row>
    <row r="21" ht="22" customHeight="1">
      <c r="A21" s="127" t="inlineStr">
        <is>
          <t>【小　　計】</t>
        </is>
      </c>
      <c r="B21" s="109" t="n"/>
      <c r="C21" s="109" t="n"/>
      <c r="D21" s="109" t="n"/>
      <c r="E21" s="109" t="n"/>
      <c r="F21" s="109" t="n"/>
      <c r="G21" s="109" t="n"/>
      <c r="H21" s="128">
        <f>SUM(H6:H20)</f>
        <v>413860</v>
      </c>
      <c r="I21" s="111" t="n"/>
      <c r="J21" s="112" t="n"/>
      <c r="K21" s="113">
        <f>SUMPRODUCT(E6:E20,K6:K20)</f>
        <v>6.100000000000001</v>
      </c>
      <c r="L21" s="112" t="n"/>
      <c r="M21" s="112" t="n"/>
      <c r="N21" s="112" t="n"/>
      <c r="O21" s="114">
        <f>SUM(O6:O20)</f>
        <v>339200</v>
      </c>
      <c r="P21" s="114">
        <f>SUM(P6:P20)</f>
        <v>141398</v>
      </c>
      <c r="Q21" s="112" t="n"/>
      <c r="R21" s="114">
        <f>H21-O21</f>
        <v>74660</v>
      </c>
      <c r="S21" s="115">
        <f>IF(H21=0,"",R21/H21)</f>
        <v>0.18039916880104384</v>
      </c>
      <c r="T21" s="112" t="n"/>
      <c r="U21" s="112" t="n"/>
      <c r="V21" s="112" t="n"/>
    </row>
  </sheetData>
  <mergeCells count="37">
    <mergeCell ref="A15:B15"/>
    <mergeCell ref="C15:D15"/>
    <mergeCell ref="A11:B11"/>
    <mergeCell ref="C5:D5"/>
    <mergeCell ref="C14:D14"/>
    <mergeCell ref="C20:D20"/>
    <mergeCell ref="A16:B16"/>
    <mergeCell ref="C10:D10"/>
    <mergeCell ref="A7:B7"/>
    <mergeCell ref="C16:D16"/>
    <mergeCell ref="C9:D9"/>
    <mergeCell ref="A18:B18"/>
    <mergeCell ref="A4:I4"/>
    <mergeCell ref="A3:B3"/>
    <mergeCell ref="A12:B12"/>
    <mergeCell ref="J1:V1"/>
    <mergeCell ref="C12:D12"/>
    <mergeCell ref="C11:D11"/>
    <mergeCell ref="A5:B5"/>
    <mergeCell ref="A14:B14"/>
    <mergeCell ref="A17:B17"/>
    <mergeCell ref="A8:B8"/>
    <mergeCell ref="C17:D17"/>
    <mergeCell ref="C8:D8"/>
    <mergeCell ref="A20:B20"/>
    <mergeCell ref="C7:D7"/>
    <mergeCell ref="A19:B19"/>
    <mergeCell ref="A10:B10"/>
    <mergeCell ref="C19:D19"/>
    <mergeCell ref="A1:I1"/>
    <mergeCell ref="A21:D21"/>
    <mergeCell ref="A13:B13"/>
    <mergeCell ref="C13:D13"/>
    <mergeCell ref="A6:I6"/>
    <mergeCell ref="C18:D18"/>
    <mergeCell ref="A9:B9"/>
    <mergeCell ref="C3:D3"/>
  </mergeCells>
  <printOptions horizontalCentered="1" gridLines="0"/>
  <pageMargins left="0.4724409448818897" right="0.4724409448818897" top="0.5905511811023622" bottom="0.5905511811023622" header="0.3149606299212598" footer="0.2362204724409449"/>
  <pageSetup orientation="portrait" paperSize="9" fitToHeight="0" fitToWidth="1"/>
  <headerFooter>
    <oddHeader/>
    <oddFooter>&amp;C&amp;"ＭＳ Ｐゴシック,標準"&amp;9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B1:G29"/>
  <sheetViews>
    <sheetView showGridLines="0" tabSelected="0" workbookViewId="0">
      <selection activeCell="A1" sqref="A1"/>
    </sheetView>
  </sheetViews>
  <sheetFormatPr baseColWidth="8" defaultRowHeight="15"/>
  <cols>
    <col width="2" customWidth="1" min="1" max="1"/>
    <col width="25" customWidth="1" min="2" max="2"/>
    <col width="9" customWidth="1" min="3" max="3"/>
    <col width="9" customWidth="1" min="4" max="4"/>
    <col width="14" customWidth="1" min="5" max="5"/>
    <col width="16" customWidth="1" min="6" max="6"/>
    <col width="31" customWidth="1" min="7" max="7"/>
  </cols>
  <sheetData>
    <row r="1" ht="26" customHeight="1">
      <c r="B1" s="129" t="inlineStr">
        <is>
          <t>法 定 福 利 費 内 訳 明 細 書</t>
        </is>
      </c>
    </row>
    <row r="2" ht="16" customHeight="1">
      <c r="B2" s="130" t="str">
        <f>"（御見積書 No."&amp;'表紙(工事)'!K3&amp;" の添付資料）"</f>
        <v>（御見積書 No. の添付資料）</v>
      </c>
    </row>
    <row r="3" ht="8" customHeight="1"/>
    <row r="4" ht="20" customHeight="1">
      <c r="B4" s="131" t="inlineStr">
        <is>
          <t>見積年月日</t>
        </is>
      </c>
      <c r="C4" s="132">
        <f>'表紙(工事)'!J4</f>
        <v>46301</v>
      </c>
      <c r="D4" s="36" t="n"/>
      <c r="E4" s="36" t="n"/>
      <c r="F4" s="131" t="inlineStr">
        <is>
          <t>見積No.</t>
        </is>
      </c>
      <c r="G4" s="133" t="str">
        <f>IF('表紙(工事)'!K3="","",'表紙(工事)'!K3)</f>
        <v/>
      </c>
    </row>
    <row r="5" ht="20" customHeight="1">
      <c r="B5" s="131" t="inlineStr">
        <is>
          <t>発注者名</t>
        </is>
      </c>
      <c r="C5" s="35" t="inlineStr">
        <is>
          <t>株式会社共栄店舗　御中</t>
        </is>
      </c>
      <c r="D5" s="36" t="n"/>
      <c r="E5" s="36" t="n"/>
      <c r="F5" s="36" t="n"/>
      <c r="G5" s="36" t="n"/>
    </row>
    <row r="6" ht="20" customHeight="1">
      <c r="B6" s="131" t="inlineStr">
        <is>
          <t>工事名</t>
        </is>
      </c>
      <c r="C6" s="35" t="inlineStr">
        <is>
          <t>（仮称）サンフレッチェ広島　三矢寮新築工事　空調設備工事</t>
        </is>
      </c>
      <c r="D6" s="36" t="n"/>
      <c r="E6" s="36" t="n"/>
      <c r="F6" s="36" t="n"/>
      <c r="G6" s="36" t="n"/>
    </row>
    <row r="7" ht="20" customHeight="1">
      <c r="B7" s="131" t="inlineStr">
        <is>
          <t>施工場所</t>
        </is>
      </c>
      <c r="C7" s="35" t="inlineStr">
        <is>
          <t>広島県安芸高田市吉田町西浦字日南山835-27</t>
        </is>
      </c>
      <c r="D7" s="36" t="n"/>
      <c r="E7" s="36" t="n"/>
      <c r="F7" s="36" t="n"/>
      <c r="G7" s="36" t="n"/>
    </row>
    <row r="8" ht="20" customHeight="1">
      <c r="B8" s="131" t="inlineStr">
        <is>
          <t>会社名</t>
        </is>
      </c>
      <c r="C8" s="133" t="inlineStr">
        <is>
          <t>宮地機工株式会社</t>
        </is>
      </c>
      <c r="D8" s="36" t="n"/>
      <c r="E8" s="36" t="n"/>
      <c r="F8" s="131" t="inlineStr">
        <is>
          <t>所在地</t>
        </is>
      </c>
      <c r="G8" s="133" t="inlineStr">
        <is>
          <t>広島県尾道市東尾道9-9</t>
        </is>
      </c>
    </row>
    <row r="9" ht="10" customHeight="1"/>
    <row r="10" ht="20" customHeight="1">
      <c r="B10" s="134" t="inlineStr">
        <is>
          <t>【1】　労務費の内訳（法定福利費の算定基礎）</t>
        </is>
      </c>
    </row>
    <row r="11" ht="28" customHeight="1">
      <c r="B11" s="135" t="inlineStr">
        <is>
          <t>※ 本見積の労務費は、内訳書各項目の材工共単価のうち労務費相当額（自社施工分）の合計です。機器は元請様手配のため含みません。</t>
        </is>
      </c>
    </row>
    <row r="12" ht="20" customHeight="1">
      <c r="B12" s="82" t="inlineStr">
        <is>
          <t>項　　目</t>
        </is>
      </c>
      <c r="C12" s="83" t="inlineStr">
        <is>
          <t>労務費（円）</t>
        </is>
      </c>
      <c r="D12" s="30" t="n"/>
      <c r="E12" s="83" t="inlineStr">
        <is>
          <t>摘　　要</t>
        </is>
      </c>
      <c r="F12" s="30" t="n"/>
      <c r="G12" s="136" t="n"/>
    </row>
    <row r="13" ht="20" customHeight="1">
      <c r="B13" s="137" t="inlineStr">
        <is>
          <t>換気工事 労務費</t>
        </is>
      </c>
      <c r="C13" s="42">
        <f>'内訳書(1.換気工事)'!P93</f>
        <v>5423193</v>
      </c>
      <c r="D13" s="36" t="n"/>
      <c r="E13" s="138" t="inlineStr">
        <is>
          <t>内訳書 No.1 各項目の労務費相当額の合計</t>
        </is>
      </c>
      <c r="F13" s="36" t="n"/>
      <c r="G13" s="37" t="n"/>
    </row>
    <row r="14" ht="20" customHeight="1">
      <c r="B14" s="139" t="inlineStr">
        <is>
          <t>ロスナイ中止・代替 労務費</t>
        </is>
      </c>
      <c r="C14" s="140">
        <f>'内訳書(2.ロスナイ中止)'!P21</f>
        <v>141398</v>
      </c>
      <c r="D14" s="59" t="n"/>
      <c r="E14" s="141" t="inlineStr">
        <is>
          <t>内訳書 No.2 各項目の労務費相当額の合計</t>
        </is>
      </c>
      <c r="F14" s="59" t="n"/>
      <c r="G14" s="142" t="n"/>
    </row>
    <row r="15" ht="20" customHeight="1">
      <c r="B15" s="143" t="inlineStr">
        <is>
          <t>労 務 費 合 計</t>
        </is>
      </c>
      <c r="C15" s="69">
        <f>SUM(C13:C14)</f>
        <v>5564591</v>
      </c>
      <c r="D15" s="68" t="n"/>
      <c r="E15" s="144" t="inlineStr">
        <is>
          <t>← 法定福利費の算定基礎額</t>
        </is>
      </c>
      <c r="F15" s="68" t="n"/>
      <c r="G15" s="145" t="n"/>
    </row>
    <row r="16" ht="10" customHeight="1"/>
    <row r="17" ht="20" customHeight="1">
      <c r="B17" s="134" t="inlineStr">
        <is>
          <t>【2】　法定福利費の算定</t>
        </is>
      </c>
    </row>
    <row r="18" ht="18" customHeight="1">
      <c r="B18" s="146" t="inlineStr">
        <is>
          <t>計算式：　法定福利費 ＝ 労務費 × 事業主負担料率　（保険ごとに円未満切捨て）</t>
        </is>
      </c>
    </row>
    <row r="19" ht="22" customHeight="1">
      <c r="B19" s="82" t="inlineStr">
        <is>
          <t>保険の種類</t>
        </is>
      </c>
      <c r="C19" s="147" t="inlineStr">
        <is>
          <t>対象労務費（円）</t>
        </is>
      </c>
      <c r="D19" s="30" t="n"/>
      <c r="E19" s="147" t="inlineStr">
        <is>
          <t>事業主負担料率</t>
        </is>
      </c>
      <c r="F19" s="147" t="inlineStr">
        <is>
          <t>法定福利費（円）</t>
        </is>
      </c>
      <c r="G19" s="84" t="inlineStr">
        <is>
          <t>算定根拠</t>
        </is>
      </c>
    </row>
    <row r="20" ht="27.5" customHeight="1">
      <c r="B20" s="137" t="inlineStr">
        <is>
          <t>健康保険料</t>
        </is>
      </c>
      <c r="C20" s="42">
        <f>$C$15</f>
        <v>5564591</v>
      </c>
      <c r="D20" s="36" t="n"/>
      <c r="E20" s="148" t="n">
        <v>0.0489</v>
      </c>
      <c r="F20" s="42">
        <f>ROUNDDOWN(C20*E20,0)</f>
        <v>272108</v>
      </c>
      <c r="G20" s="149" t="inlineStr">
        <is>
          <t>健康保険料率 9.780%（協会けんぽ 広島県 令和8年度）×1/2（労使折半）</t>
        </is>
      </c>
    </row>
    <row r="21" ht="27.5" customHeight="1">
      <c r="B21" s="137" t="inlineStr">
        <is>
          <t>介護保険料</t>
        </is>
      </c>
      <c r="C21" s="42">
        <f>$C$15</f>
        <v>5564591</v>
      </c>
      <c r="D21" s="36" t="n"/>
      <c r="E21" s="148" t="n">
        <v>0.0081</v>
      </c>
      <c r="F21" s="42">
        <f>ROUNDDOWN(C21*E21,0)</f>
        <v>45073</v>
      </c>
      <c r="G21" s="149" t="inlineStr">
        <is>
          <t>介護保険料率 1.620%（全国一律 令和8年度）×1/2（労使折半）</t>
        </is>
      </c>
    </row>
    <row r="22" ht="27.5" customHeight="1">
      <c r="B22" s="137" t="inlineStr">
        <is>
          <t>子ども・子育て支援金</t>
        </is>
      </c>
      <c r="C22" s="42">
        <f>$C$15</f>
        <v>5564591</v>
      </c>
      <c r="D22" s="36" t="n"/>
      <c r="E22" s="148" t="n">
        <v>0.00115</v>
      </c>
      <c r="F22" s="42">
        <f>ROUNDDOWN(C22*E22,0)</f>
        <v>6399</v>
      </c>
      <c r="G22" s="149" t="inlineStr">
        <is>
          <t>支援金率 0.230%（令和8年4月分〜）×1/2（労使折半）</t>
        </is>
      </c>
    </row>
    <row r="23" ht="27.5" customHeight="1">
      <c r="B23" s="137" t="inlineStr">
        <is>
          <t>厚生年金保険料</t>
        </is>
      </c>
      <c r="C23" s="42">
        <f>$C$15</f>
        <v>5564591</v>
      </c>
      <c r="D23" s="36" t="n"/>
      <c r="E23" s="148" t="n">
        <v>0.0915</v>
      </c>
      <c r="F23" s="42">
        <f>ROUNDDOWN(C23*E23,0)</f>
        <v>509160</v>
      </c>
      <c r="G23" s="149" t="inlineStr">
        <is>
          <t>厚生年金保険料率 18.300%（平成29年9月以降固定）×1/2（労使折半）</t>
        </is>
      </c>
    </row>
    <row r="24" ht="27.5" customHeight="1">
      <c r="B24" s="137" t="inlineStr">
        <is>
          <t>雇用保険料</t>
        </is>
      </c>
      <c r="C24" s="42">
        <f>$C$15</f>
        <v>5564591</v>
      </c>
      <c r="D24" s="36" t="n"/>
      <c r="E24" s="148" t="n">
        <v>0.0105</v>
      </c>
      <c r="F24" s="42">
        <f>ROUNDDOWN(C24*E24,0)</f>
        <v>58428</v>
      </c>
      <c r="G24" s="149" t="inlineStr">
        <is>
          <t>雇用保険料率（建設の事業）事業主負担分 1.050%</t>
        </is>
      </c>
    </row>
    <row r="25" ht="22" customHeight="1">
      <c r="B25" s="139" t="inlineStr">
        <is>
          <t>子ども・子育て拠出金</t>
        </is>
      </c>
      <c r="C25" s="140">
        <f>$C$15</f>
        <v>5564591</v>
      </c>
      <c r="D25" s="59" t="n"/>
      <c r="E25" s="150" t="n">
        <v>0.0036</v>
      </c>
      <c r="F25" s="140">
        <f>ROUNDDOWN(C25*E25,0)</f>
        <v>20032</v>
      </c>
      <c r="G25" s="151" t="inlineStr">
        <is>
          <t>拠出金率 0.360%（事業主全額負担）</t>
        </is>
      </c>
    </row>
    <row r="26" ht="24" customHeight="1">
      <c r="B26" s="143" t="inlineStr">
        <is>
          <t>合　　計</t>
        </is>
      </c>
      <c r="C26" s="68" t="n"/>
      <c r="D26" s="68" t="n"/>
      <c r="E26" s="152">
        <f>SUM(E20:E25)</f>
        <v>0.16375</v>
      </c>
      <c r="F26" s="69">
        <f>SUM(F20:F25)</f>
        <v>911200</v>
      </c>
      <c r="G26" s="145" t="n"/>
    </row>
    <row r="27" ht="10" customHeight="1"/>
    <row r="28" ht="28" customHeight="1">
      <c r="B28" s="135" t="inlineStr">
        <is>
          <t>※ 料率は見積作成時点（令和8年度）の公表料率によります。料率が改定された場合は改定後の料率により精算させていただきます。</t>
        </is>
      </c>
    </row>
    <row r="29" ht="15.5" customHeight="1">
      <c r="B29" s="135" t="inlineStr">
        <is>
          <t>※ 法定福利費は御見積書の③に計上しています。</t>
        </is>
      </c>
    </row>
  </sheetData>
  <mergeCells count="27">
    <mergeCell ref="B2:G2"/>
    <mergeCell ref="E13:G13"/>
    <mergeCell ref="C24:D24"/>
    <mergeCell ref="C6:G6"/>
    <mergeCell ref="C15:D15"/>
    <mergeCell ref="B1:G1"/>
    <mergeCell ref="C5:G5"/>
    <mergeCell ref="C14:D14"/>
    <mergeCell ref="E15:G15"/>
    <mergeCell ref="C26:D26"/>
    <mergeCell ref="B29:G29"/>
    <mergeCell ref="C20:D20"/>
    <mergeCell ref="B28:G28"/>
    <mergeCell ref="C25:D25"/>
    <mergeCell ref="C8:E8"/>
    <mergeCell ref="C22:D22"/>
    <mergeCell ref="C12:D12"/>
    <mergeCell ref="C21:D21"/>
    <mergeCell ref="E12:G12"/>
    <mergeCell ref="C23:D23"/>
    <mergeCell ref="C7:G7"/>
    <mergeCell ref="E14:G14"/>
    <mergeCell ref="C19:D19"/>
    <mergeCell ref="C4:E4"/>
    <mergeCell ref="C13:D13"/>
    <mergeCell ref="B18:G18"/>
    <mergeCell ref="B11:G11"/>
  </mergeCells>
  <printOptions horizontalCentered="1" gridLines="0"/>
  <pageMargins left="0.4724409448818897" right="0.4724409448818897" top="0.5905511811023622" bottom="0.5905511811023622" header="0.3149606299212598" footer="0.2362204724409449"/>
  <pageSetup orientation="portrait" paperSize="9" fitToHeight="1" fitToWidth="1"/>
</worksheet>
</file>

<file path=xl/worksheets/sheet5.xml><?xml version="1.0" encoding="utf-8"?>
<worksheet xmlns="http://schemas.openxmlformats.org/spreadsheetml/2006/main">
  <sheetPr>
    <outlinePr summaryBelow="1" summaryRight="1"/>
    <pageSetUpPr fitToPage="1"/>
  </sheetPr>
  <dimension ref="A1:F34"/>
  <sheetViews>
    <sheetView showGridLines="0" tabSelected="0" workbookViewId="0">
      <selection activeCell="A1" sqref="A1"/>
    </sheetView>
  </sheetViews>
  <sheetFormatPr baseColWidth="8" defaultRowHeight="15"/>
  <cols>
    <col width="5" customWidth="1" min="1" max="1"/>
    <col width="10" customWidth="1" min="2" max="2"/>
    <col width="25" customWidth="1" min="3" max="3"/>
    <col width="20" customWidth="1" min="4" max="4"/>
    <col width="16" customWidth="1" min="5" max="5"/>
    <col width="19" customWidth="1" min="6" max="6"/>
  </cols>
  <sheetData>
    <row r="1" ht="24" customHeight="1">
      <c r="A1" s="153" t="inlineStr">
        <is>
          <t>御見積条件・注意事項</t>
        </is>
      </c>
    </row>
    <row r="2" ht="16" customHeight="1">
      <c r="A2" s="146" t="inlineStr">
        <is>
          <t>（仮称）サンフレッチェ広島　三矢寮新築工事　空調設備工事　換気工事　御見積書 添付</t>
        </is>
      </c>
    </row>
    <row r="3" ht="8" customHeight="1"/>
    <row r="4" ht="22" customHeight="1">
      <c r="A4" s="19" t="inlineStr">
        <is>
          <t>【1】御見積条件・注意事項</t>
        </is>
      </c>
    </row>
    <row r="5" ht="63" customHeight="1">
      <c r="A5" s="154" t="inlineStr">
        <is>
          <t>1.</t>
        </is>
      </c>
      <c r="B5" s="155" t="inlineStr">
        <is>
          <t>本見積は機械設備図 06（特記仕様書・空調機器表・換気機器表・空調平面図・換気平面図・厨房廻り詳細図）に基づき当社にて拾い出した数量により積算しております。配管・ダクトの平面延長は図面（A3 1:300、厨房詳細 1:70）から計測し、立上り・立下り・機器接続部および図面に経路の記載がない部分は想定数量として計上しています（別紙【2】参照）。</t>
        </is>
      </c>
    </row>
    <row r="6" ht="63" customHeight="1">
      <c r="A6" s="154" t="inlineStr">
        <is>
          <t>2.</t>
        </is>
      </c>
      <c r="B6" s="155" t="inlineStr">
        <is>
          <t>金額変更案検討図 08 のうち No3・4（ロスナイ中止）を内訳書 No.2 に朱書きで計上しています。ベース計上分の減額と代替機器（中間ファン・パイプファン・吸気口）の計上を併記しています。No5・6（空調追加）は空調工事の見積書に計上しています。No1（庇中止）・No2（既存フェンス再利用）は対象外です。</t>
        </is>
      </c>
    </row>
    <row r="7" ht="63" customHeight="1">
      <c r="A7" s="154" t="inlineStr">
        <is>
          <t>3.</t>
        </is>
      </c>
      <c r="B7" s="155" t="inlineStr">
        <is>
          <t>空調機器・換気機器は元請様手配のため本見積には含みません（室内機・室外機・集中リモコン・換気扇・中間ファン・全熱交換器・パイプファン・有圧扇・屋外機架台（2段架台含む）・ドレンアップ・SUS製フード・ウェザーカバー等、機器表記載の本体および付属品）。本見積は上記機器の搬入・据付・取付費のみを計上しています。</t>
        </is>
      </c>
    </row>
    <row r="8" ht="49.2" customHeight="1">
      <c r="A8" s="154" t="inlineStr">
        <is>
          <t>4.</t>
        </is>
      </c>
      <c r="B8" s="155" t="inlineStr">
        <is>
          <t>機器の電源供給（電源・動力配線、盤、接地、インバータ盤）は電気工事とし含みません。機器付属の制御盤およびリモコン制御の配管・配線（工事区分表「機械」）は本見積に計上しています。</t>
        </is>
      </c>
    </row>
    <row r="9" ht="49.2" customHeight="1">
      <c r="A9" s="154" t="inlineStr">
        <is>
          <t>5.</t>
        </is>
      </c>
      <c r="B9" s="155" t="inlineStr">
        <is>
          <t>基礎（室外機基礎）、躯体・外壁の穴明け、スリーブ・型枠の穴埋め、天井点検口、天井・壁の開口補強および仕上げ補修は建築工事とし含みません（工事区分表による）。外壁貫通スリーブ材のみ計上しています。</t>
        </is>
      </c>
    </row>
    <row r="10" ht="35.5" customHeight="1">
      <c r="A10" s="154" t="inlineStr">
        <is>
          <t>6.</t>
        </is>
      </c>
      <c r="B10" s="155" t="inlineStr">
        <is>
          <t>厨房フード①〜④（SUS製、グリスフィルター付）は機械設備図のフードリストにより本見積に計上しています。厨房機器工事の範囲となる場合は減額いたします。</t>
        </is>
      </c>
    </row>
    <row r="11" ht="35.5" customHeight="1">
      <c r="A11" s="154" t="inlineStr">
        <is>
          <t>7.</t>
        </is>
      </c>
      <c r="B11" s="155" t="inlineStr">
        <is>
          <t>ロスナイ中止後の OA 側ダクト・制気口は図示どおり自然給気として残置する前提で計上しています。撤去・変更がある場合は別途協議とさせていただきます。</t>
        </is>
      </c>
    </row>
    <row r="12" ht="35.5" customHeight="1">
      <c r="A12" s="154" t="inlineStr">
        <is>
          <t>8.</t>
        </is>
      </c>
      <c r="B12" s="155" t="inlineStr">
        <is>
          <t>施工図・竣工図（完成図）の作成、風量測定・試験成績書の作成、官庁検査対応は含みません。必要な場合は別途お見積りいたします。</t>
        </is>
      </c>
    </row>
    <row r="13" ht="35.5" customHeight="1">
      <c r="A13" s="154" t="inlineStr">
        <is>
          <t>9.</t>
        </is>
      </c>
      <c r="B13" s="155" t="inlineStr">
        <is>
          <t>仮設（足場・高所作業車・仮設電気・水道・資材置場等）および産業廃棄物の処分費は元請様にてご負担願います（当社発生材は指定集積場所への分別搬出まで）。</t>
        </is>
      </c>
    </row>
    <row r="14" ht="49.2" customHeight="1">
      <c r="A14" s="154" t="inlineStr">
        <is>
          <t>10.</t>
        </is>
      </c>
      <c r="B14" s="155" t="inlineStr">
        <is>
          <t>工期は全体工程表（2026.8.18 共栄店舗）に基づく通常の日中作業を前提としております。夜間・休日作業、工程の大幅な変更や他工事との輻輳による手待ち、工期延長に伴う経費増は別途協議とさせていただきます。</t>
        </is>
      </c>
    </row>
    <row r="15" ht="35.5" customHeight="1">
      <c r="A15" s="154" t="inlineStr">
        <is>
          <t>11.</t>
        </is>
      </c>
      <c r="B15" s="155" t="inlineStr">
        <is>
          <t>本見積書に記載なき事項については別途とさせていただきます。工事に係る電気・水道は無償支給願います。</t>
        </is>
      </c>
    </row>
    <row r="16" ht="35.5" customHeight="1">
      <c r="A16" s="154" t="inlineStr">
        <is>
          <t>12.</t>
        </is>
      </c>
      <c r="B16" s="155" t="inlineStr">
        <is>
          <t>本見積金額には消費税は含まれておりません。労務費に係る法定福利費（事業主負担分）は別紙「法定福利費内訳明細書」のとおり計上しています。</t>
        </is>
      </c>
    </row>
    <row r="17" ht="10" customHeight="1"/>
    <row r="18" ht="22" customHeight="1">
      <c r="A18" s="19" t="inlineStr">
        <is>
          <t>【2】想定数量（推測）項目の前提</t>
        </is>
      </c>
    </row>
    <row r="19" ht="29" customHeight="1">
      <c r="A19" s="135" t="inlineStr">
        <is>
          <t>図面に数量・経路の記載がなく当社にて想定した項目です。「図面実測＋想定」は平面延長を図面計測し、立上り等を想定加算したものです。実数量確定後に精算させていただきます。</t>
        </is>
      </c>
    </row>
    <row r="20" ht="20" customHeight="1">
      <c r="A20" s="156" t="inlineStr">
        <is>
          <t>No.</t>
        </is>
      </c>
      <c r="B20" s="147" t="inlineStr">
        <is>
          <t>内訳書</t>
        </is>
      </c>
      <c r="C20" s="147" t="inlineStr">
        <is>
          <t>項　　目</t>
        </is>
      </c>
      <c r="D20" s="147" t="inlineStr">
        <is>
          <t>前提・想定内容</t>
        </is>
      </c>
      <c r="E20" s="30" t="n"/>
      <c r="F20" s="157" t="inlineStr">
        <is>
          <t>数量（区分）</t>
        </is>
      </c>
    </row>
    <row r="21" ht="41.5" customHeight="1">
      <c r="A21" s="158" t="n">
        <v>1</v>
      </c>
      <c r="B21" s="159" t="inlineStr">
        <is>
          <t>No.1</t>
        </is>
      </c>
      <c r="C21" s="160" t="inlineStr">
        <is>
          <t>スパイラルダクト 200φ (EA) 亜鉛鉄板 低速 継手・支持共</t>
        </is>
      </c>
      <c r="D21" s="160" t="inlineStr">
        <is>
          <t>1F 25.2m・2F 9.8m 実測＋厨房詳細図 9m 推測</t>
        </is>
      </c>
      <c r="E21" s="36" t="n"/>
      <c r="F21" s="161" t="inlineStr">
        <is>
          <t>44 m（実測＋想定）</t>
        </is>
      </c>
    </row>
    <row r="22" ht="41.5" customHeight="1">
      <c r="A22" s="158" t="n">
        <v>2</v>
      </c>
      <c r="B22" s="159" t="inlineStr">
        <is>
          <t>No.1</t>
        </is>
      </c>
      <c r="C22" s="160" t="inlineStr">
        <is>
          <t>スパイラルダクト 250φ (EA 厨房) 亜鉛鉄板 継手・支持共</t>
        </is>
      </c>
      <c r="D22" s="160" t="inlineStr">
        <is>
          <t>厨房廻り平面詳細図より</t>
        </is>
      </c>
      <c r="E22" s="36" t="n"/>
      <c r="F22" s="161" t="inlineStr">
        <is>
          <t>6 m（想定）</t>
        </is>
      </c>
    </row>
    <row r="23" ht="41.5" customHeight="1">
      <c r="A23" s="158" t="n">
        <v>3</v>
      </c>
      <c r="B23" s="159" t="inlineStr">
        <is>
          <t>No.1</t>
        </is>
      </c>
      <c r="C23" s="160" t="inlineStr">
        <is>
          <t>スパイラルダクト 300φ (EA 厨房) 亜鉛鉄板 継手・支持共</t>
        </is>
      </c>
      <c r="D23" s="160" t="inlineStr">
        <is>
          <t>フード③④→F-3 3台</t>
        </is>
      </c>
      <c r="E23" s="36" t="n"/>
      <c r="F23" s="161" t="inlineStr">
        <is>
          <t>5 m（想定）</t>
        </is>
      </c>
    </row>
    <row r="24" ht="41.5" customHeight="1">
      <c r="A24" s="158" t="n">
        <v>4</v>
      </c>
      <c r="B24" s="159" t="inlineStr">
        <is>
          <t>No.1</t>
        </is>
      </c>
      <c r="C24" s="160" t="inlineStr">
        <is>
          <t>スパイラルダクト 200φ (OA) 亜鉛鉄板 継手・支持共</t>
        </is>
      </c>
      <c r="D24" s="160" t="inlineStr">
        <is>
          <t>1F 45.7m・2F 3.5m 実測＋厨房FS-1 7.5m 推測</t>
        </is>
      </c>
      <c r="E24" s="36" t="n"/>
      <c r="F24" s="161" t="inlineStr">
        <is>
          <t>57 m（実測＋想定）</t>
        </is>
      </c>
    </row>
    <row r="25" ht="41.5" customHeight="1">
      <c r="A25" s="158" t="n">
        <v>5</v>
      </c>
      <c r="B25" s="159" t="inlineStr">
        <is>
          <t>No.1</t>
        </is>
      </c>
      <c r="C25" s="160" t="inlineStr">
        <is>
          <t>外壁貫通部ダクト (フード接続) 150φ相当 1.0m/箇所</t>
        </is>
      </c>
      <c r="D25" s="160" t="inlineStr">
        <is>
          <t>1F フード48箇所・2F廊下10箇所</t>
        </is>
      </c>
      <c r="E25" s="36" t="n"/>
      <c r="F25" s="161" t="inlineStr">
        <is>
          <t>58 m（想定）</t>
        </is>
      </c>
    </row>
    <row r="26" ht="41.5" customHeight="1">
      <c r="A26" s="158" t="n">
        <v>6</v>
      </c>
      <c r="B26" s="159" t="inlineStr">
        <is>
          <t>No.1</t>
        </is>
      </c>
      <c r="C26" s="160" t="inlineStr">
        <is>
          <t>OAダクト 保温 GW保温筒25 ALGC 隠蔽(天井内) 特記仕様書 保温表</t>
        </is>
      </c>
      <c r="D26" s="160" t="inlineStr">
        <is>
          <t>OAダクト全長</t>
        </is>
      </c>
      <c r="E26" s="36" t="n"/>
      <c r="F26" s="161" t="inlineStr">
        <is>
          <t>123 m（実測＋想定）</t>
        </is>
      </c>
    </row>
    <row r="27" ht="41.5" customHeight="1">
      <c r="A27" s="158" t="n">
        <v>7</v>
      </c>
      <c r="B27" s="159" t="inlineStr">
        <is>
          <t>No.1</t>
        </is>
      </c>
      <c r="C27" s="160" t="inlineStr">
        <is>
          <t>厨房排気ダクト 保温 RW保温筒50 ＋アルミガラスクロス＋亀甲金網巻</t>
        </is>
      </c>
      <c r="D27" s="160" t="inlineStr">
        <is>
          <t>厨房200/250/300φ EA</t>
        </is>
      </c>
      <c r="E27" s="36" t="n"/>
      <c r="F27" s="161" t="inlineStr">
        <is>
          <t>20 m（想定）</t>
        </is>
      </c>
    </row>
    <row r="28" ht="41.5" customHeight="1">
      <c r="A28" s="162" t="n">
        <v>8</v>
      </c>
      <c r="B28" s="163" t="inlineStr">
        <is>
          <t>No.1</t>
        </is>
      </c>
      <c r="C28" s="164" t="inlineStr">
        <is>
          <t>SUS製フード 取付 (支給品) 指定色塗装 外壁貫通部</t>
        </is>
      </c>
      <c r="D28" s="164" t="inlineStr">
        <is>
          <t>1F 48・2F廊下10・寮室146(HEX-4/5分)</t>
        </is>
      </c>
      <c r="E28" s="165" t="n"/>
      <c r="F28" s="166" t="inlineStr">
        <is>
          <t>204 箇所（想定）</t>
        </is>
      </c>
    </row>
    <row r="29" ht="10" customHeight="1"/>
    <row r="30" ht="22" customHeight="1">
      <c r="A30" s="19" t="inlineStr">
        <is>
          <t>【3】図面読み取りに関する確認事項</t>
        </is>
      </c>
    </row>
    <row r="31" ht="35.5" customHeight="1">
      <c r="A31" s="154" t="inlineStr">
        <is>
          <t>1.</t>
        </is>
      </c>
      <c r="B31" s="155" t="inlineStr">
        <is>
          <t>宛名は元請様を株式会社共栄店舗（詳細工程表作成者）と想定して記載しています。ご指定があれば修正します。</t>
        </is>
      </c>
    </row>
    <row r="32" ht="35.5" customHeight="1">
      <c r="A32" s="154" t="inlineStr">
        <is>
          <t>2.</t>
        </is>
      </c>
      <c r="B32" s="155" t="inlineStr">
        <is>
          <t>換気平面図のダクト線（排気＝黒太線、給気＝青線）をベクトルデータから計測しています。機器記号と重なる短い線分は除外しているため、実測値は若干少なめになる傾向があります。</t>
        </is>
      </c>
    </row>
    <row r="33" ht="35.5" customHeight="1">
      <c r="A33" s="154" t="inlineStr">
        <is>
          <t>3.</t>
        </is>
      </c>
      <c r="B33" s="155" t="inlineStr">
        <is>
          <t>SUS製フード・ウェザーカバーは換気機器表の付属品として元請様支給と解釈し、取付費のみ計上しています。</t>
        </is>
      </c>
    </row>
    <row r="34" ht="35.5" customHeight="1">
      <c r="A34" s="154" t="inlineStr">
        <is>
          <t>4.</t>
        </is>
      </c>
      <c r="B34" s="155" t="inlineStr">
        <is>
          <t>吸気口 KS-8841PR3-SG（図面08 朱書き）は支給範囲が不明のため材工で計上しています。支給の場合は材料分を減額します。</t>
        </is>
      </c>
    </row>
  </sheetData>
  <mergeCells count="26">
    <mergeCell ref="D20:E20"/>
    <mergeCell ref="B7:F7"/>
    <mergeCell ref="B16:F16"/>
    <mergeCell ref="B31:F31"/>
    <mergeCell ref="D22:E22"/>
    <mergeCell ref="D21:E21"/>
    <mergeCell ref="B12:F12"/>
    <mergeCell ref="B11:F11"/>
    <mergeCell ref="D27:E27"/>
    <mergeCell ref="B14:F14"/>
    <mergeCell ref="B8:F8"/>
    <mergeCell ref="B13:F13"/>
    <mergeCell ref="A19:F19"/>
    <mergeCell ref="B34:F34"/>
    <mergeCell ref="B10:F10"/>
    <mergeCell ref="D28:E28"/>
    <mergeCell ref="B9:F9"/>
    <mergeCell ref="D25:E25"/>
    <mergeCell ref="B6:F6"/>
    <mergeCell ref="D24:E24"/>
    <mergeCell ref="B15:F15"/>
    <mergeCell ref="B33:F33"/>
    <mergeCell ref="B5:F5"/>
    <mergeCell ref="D23:E23"/>
    <mergeCell ref="B32:F32"/>
    <mergeCell ref="D26:E26"/>
  </mergeCells>
  <printOptions horizontalCentered="1" gridLines="0"/>
  <pageMargins left="0.4724409448818897" right="0.4724409448818897" top="0.5905511811023622" bottom="0.5905511811023622" header="0.3149606299212598" footer="0.2362204724409449"/>
  <pageSetup orientation="portrait" paperSize="9" fitToHeight="0" fitToWidth="1"/>
  <rowBreaks count="1" manualBreakCount="1">
    <brk id="17" min="0" max="16383" man="1"/>
  </rowBreaks>
</worksheet>
</file>

<file path=xl/worksheets/sheet6.xml><?xml version="1.0" encoding="utf-8"?>
<worksheet xmlns="http://schemas.openxmlformats.org/spreadsheetml/2006/main">
  <sheetPr>
    <outlinePr summaryBelow="1" summaryRight="1"/>
    <pageSetUpPr fitToPage="1"/>
  </sheetPr>
  <dimension ref="A1:H22"/>
  <sheetViews>
    <sheetView showGridLines="0" tabSelected="0" workbookViewId="0">
      <selection activeCell="A1" sqref="A1"/>
    </sheetView>
  </sheetViews>
  <sheetFormatPr baseColWidth="8" defaultRowHeight="15"/>
  <cols>
    <col width="36" customWidth="1" min="1" max="1"/>
    <col width="18" customWidth="1" min="2" max="2"/>
    <col width="12" customWidth="1" min="3" max="3"/>
    <col width="12" customWidth="1" min="4" max="4"/>
    <col width="12" customWidth="1" min="5" max="5"/>
    <col width="12" customWidth="1" min="6" max="6"/>
    <col width="12" customWidth="1" min="7" max="7"/>
    <col width="60" customWidth="1" min="8" max="8"/>
  </cols>
  <sheetData>
    <row r="1">
      <c r="A1" s="167" t="inlineStr">
        <is>
          <t>数量拾い根拠（内部用）　※計測方法: PDF図面(A3 1:300、厨房詳細 1:70)のベクトル線分を色・線幅で分離し延長を集計。「実測」=図面線分の平面延長、「推測」=図面に無い部分の推定</t>
        </is>
      </c>
    </row>
    <row r="3">
      <c r="A3" s="168" t="inlineStr">
        <is>
          <t>4. ダクト（ベース06）</t>
        </is>
      </c>
    </row>
    <row r="4">
      <c r="A4" s="169" t="inlineStr">
        <is>
          <t>図面</t>
        </is>
      </c>
      <c r="B4" s="169" t="inlineStr">
        <is>
          <t>系統</t>
        </is>
      </c>
      <c r="C4" s="169" t="inlineStr">
        <is>
          <t>100φ(m)</t>
        </is>
      </c>
      <c r="D4" s="169" t="inlineStr">
        <is>
          <t>150φ(m)</t>
        </is>
      </c>
      <c r="E4" s="169" t="inlineStr">
        <is>
          <t>200φ(m)</t>
        </is>
      </c>
      <c r="F4" s="169" t="inlineStr">
        <is>
          <t>250φ(m)</t>
        </is>
      </c>
      <c r="G4" s="169" t="inlineStr">
        <is>
          <t>300φ(m)</t>
        </is>
      </c>
      <c r="H4" s="169" t="inlineStr">
        <is>
          <t>備考</t>
        </is>
      </c>
    </row>
    <row r="5">
      <c r="A5" s="170" t="inlineStr">
        <is>
          <t>1F換気平面図(p22) 黒太線</t>
        </is>
      </c>
      <c r="B5" s="170" t="inlineStr">
        <is>
          <t>EA</t>
        </is>
      </c>
      <c r="C5" s="171" t="n">
        <v>62.6</v>
      </c>
      <c r="D5" s="171" t="n">
        <v>122.4</v>
      </c>
      <c r="E5" s="171" t="n">
        <v>25.2</v>
      </c>
      <c r="F5" s="172" t="n">
        <v>0</v>
      </c>
      <c r="G5" s="172" t="n">
        <v>0</v>
      </c>
      <c r="H5" s="170" t="inlineStr">
        <is>
          <t>150φに口径未判読16.6m含む（実測）</t>
        </is>
      </c>
    </row>
    <row r="6">
      <c r="A6" s="170" t="inlineStr">
        <is>
          <t>1F換気平面図(p22) 青線</t>
        </is>
      </c>
      <c r="B6" s="170" t="inlineStr">
        <is>
          <t>OA</t>
        </is>
      </c>
      <c r="C6" s="171" t="n">
        <v>3.5</v>
      </c>
      <c r="D6" s="171" t="n">
        <v>50.4</v>
      </c>
      <c r="E6" s="171" t="n">
        <v>45.7</v>
      </c>
      <c r="F6" s="172" t="n">
        <v>0</v>
      </c>
      <c r="G6" s="172" t="n">
        <v>0</v>
      </c>
      <c r="H6" s="170" t="inlineStr">
        <is>
          <t>150φに未判読9.1m含む（実測）</t>
        </is>
      </c>
    </row>
    <row r="7">
      <c r="A7" s="170" t="inlineStr">
        <is>
          <t>2F換気平面図(p23) 黒太線</t>
        </is>
      </c>
      <c r="B7" s="170" t="inlineStr">
        <is>
          <t>EA</t>
        </is>
      </c>
      <c r="C7" s="171" t="n">
        <v>5.2</v>
      </c>
      <c r="D7" s="171" t="n">
        <v>28.2</v>
      </c>
      <c r="E7" s="171" t="n">
        <v>9.800000000000001</v>
      </c>
      <c r="F7" s="172" t="n">
        <v>0</v>
      </c>
      <c r="G7" s="172" t="n">
        <v>0</v>
      </c>
      <c r="H7" s="170" t="inlineStr">
        <is>
          <t>実測</t>
        </is>
      </c>
    </row>
    <row r="8">
      <c r="A8" s="170" t="inlineStr">
        <is>
          <t>2F換気平面図(p23) 青線</t>
        </is>
      </c>
      <c r="B8" s="170" t="inlineStr">
        <is>
          <t>OA</t>
        </is>
      </c>
      <c r="C8" s="172" t="n">
        <v>0</v>
      </c>
      <c r="D8" s="172" t="n">
        <v>0</v>
      </c>
      <c r="E8" s="171" t="n">
        <v>3.5</v>
      </c>
      <c r="F8" s="172" t="n">
        <v>0</v>
      </c>
      <c r="G8" s="172" t="n">
        <v>0</v>
      </c>
      <c r="H8" s="170" t="inlineStr">
        <is>
          <t>実測</t>
        </is>
      </c>
    </row>
    <row r="9">
      <c r="A9" s="170" t="inlineStr">
        <is>
          <t>厨房廻り詳細図(p24) 1:70</t>
        </is>
      </c>
      <c r="B9" s="170" t="inlineStr">
        <is>
          <t>EA</t>
        </is>
      </c>
      <c r="C9" s="172" t="n">
        <v>0</v>
      </c>
      <c r="D9" s="172" t="n">
        <v>0</v>
      </c>
      <c r="E9" s="171" t="n">
        <v>9</v>
      </c>
      <c r="F9" s="171" t="n">
        <v>6</v>
      </c>
      <c r="G9" s="171" t="n">
        <v>5</v>
      </c>
      <c r="H9" s="170" t="inlineStr">
        <is>
          <t>推測（二重線表記のため目視換算）</t>
        </is>
      </c>
    </row>
    <row r="10">
      <c r="A10" s="170" t="inlineStr">
        <is>
          <t>厨房廻り詳細図(p24) 1:70</t>
        </is>
      </c>
      <c r="B10" s="170" t="inlineStr">
        <is>
          <t>OA(FS-1/2・F-3給気)</t>
        </is>
      </c>
      <c r="C10" s="172" t="n">
        <v>0</v>
      </c>
      <c r="D10" s="172" t="n">
        <v>0</v>
      </c>
      <c r="E10" s="171" t="n">
        <v>7.5</v>
      </c>
      <c r="F10" s="171" t="n">
        <v>6</v>
      </c>
      <c r="G10" s="171" t="n">
        <v>3</v>
      </c>
      <c r="H10" s="170" t="inlineStr">
        <is>
          <t>推測</t>
        </is>
      </c>
    </row>
    <row r="11">
      <c r="A11" s="170" t="inlineStr">
        <is>
          <t>外壁貫通部・フード接続</t>
        </is>
      </c>
      <c r="B11" s="170" t="inlineStr">
        <is>
          <t>EA/OA</t>
        </is>
      </c>
      <c r="C11" s="172" t="n">
        <v>0</v>
      </c>
      <c r="D11" s="171" t="n">
        <v>58</v>
      </c>
      <c r="E11" s="172" t="n">
        <v>0</v>
      </c>
      <c r="F11" s="172" t="n">
        <v>0</v>
      </c>
      <c r="G11" s="172" t="n">
        <v>0</v>
      </c>
      <c r="H11" s="170" t="inlineStr">
        <is>
          <t>推測 1.0m/箇所×58</t>
        </is>
      </c>
    </row>
    <row r="12">
      <c r="A12" s="173" t="inlineStr">
        <is>
          <t>合計</t>
        </is>
      </c>
      <c r="B12" s="173" t="inlineStr"/>
      <c r="C12" s="174" t="n">
        <v>71.3</v>
      </c>
      <c r="D12" s="174" t="n">
        <v>259</v>
      </c>
      <c r="E12" s="174" t="n">
        <v>100.7</v>
      </c>
      <c r="F12" s="174" t="n">
        <v>12</v>
      </c>
      <c r="G12" s="174" t="n">
        <v>8</v>
      </c>
      <c r="H12" s="173" t="inlineStr">
        <is>
          <t>内訳書は端数切上げ</t>
        </is>
      </c>
    </row>
    <row r="14">
      <c r="A14" s="168" t="inlineStr">
        <is>
          <t>5. 機器台数（図面カウント）</t>
        </is>
      </c>
    </row>
    <row r="15">
      <c r="A15" s="169" t="inlineStr">
        <is>
          <t>記号</t>
        </is>
      </c>
      <c r="B15" s="169" t="inlineStr">
        <is>
          <t>台数</t>
        </is>
      </c>
      <c r="C15" s="169" t="inlineStr">
        <is>
          <t>備考</t>
        </is>
      </c>
    </row>
    <row r="16">
      <c r="A16" s="170" t="inlineStr">
        <is>
          <t>AC-1 (ツイン) 室内8/室外4</t>
        </is>
      </c>
      <c r="B16" s="170" t="inlineStr">
        <is>
          <t>4系統</t>
        </is>
      </c>
      <c r="C16" s="170" t="inlineStr">
        <is>
          <t>空調機器表・平面図</t>
        </is>
      </c>
    </row>
    <row r="17">
      <c r="A17" s="170" t="inlineStr">
        <is>
          <t>AC-2,3 (ツイン) 室内各2/室外各1</t>
        </is>
      </c>
      <c r="B17" s="170" t="inlineStr">
        <is>
          <t>2系統</t>
        </is>
      </c>
      <c r="C17" s="170" t="inlineStr"/>
    </row>
    <row r="18">
      <c r="A18" s="170" t="inlineStr">
        <is>
          <t>AC-5,6,7,8,9,10 室内各1/室外各1</t>
        </is>
      </c>
      <c r="B18" s="170" t="inlineStr">
        <is>
          <t>7台</t>
        </is>
      </c>
      <c r="C18" s="170" t="inlineStr">
        <is>
          <t>AC-5は2台</t>
        </is>
      </c>
    </row>
    <row r="19">
      <c r="A19" s="170" t="inlineStr">
        <is>
          <t>RAC-1/2/3/4</t>
        </is>
      </c>
      <c r="B19" s="170" t="inlineStr">
        <is>
          <t>2/8/66/1</t>
        </is>
      </c>
      <c r="C19" s="170" t="inlineStr">
        <is>
          <t>2F寮室×16+×3+×11+×8+×4+×24=66</t>
        </is>
      </c>
    </row>
    <row r="20">
      <c r="A20" s="170" t="inlineStr">
        <is>
          <t>追AC1 室内3/室外1、追AC2〜5 室内各3/室外各1</t>
        </is>
      </c>
      <c r="B20" s="170" t="inlineStr">
        <is>
          <t>5系統</t>
        </is>
      </c>
      <c r="C20" s="170" t="inlineStr">
        <is>
          <t>図面08 p19・p20 朱書き □ 位置より</t>
        </is>
      </c>
    </row>
    <row r="21">
      <c r="A21" s="170" t="inlineStr">
        <is>
          <t>区画貫通部 ●</t>
        </is>
      </c>
      <c r="B21" s="170" t="inlineStr">
        <is>
          <t>1F 2箇所</t>
        </is>
      </c>
      <c r="C21" s="170" t="inlineStr">
        <is>
          <t>空調平面図1F 凡例</t>
        </is>
      </c>
    </row>
    <row r="22">
      <c r="A22" s="173" t="inlineStr">
        <is>
          <t>VD</t>
        </is>
      </c>
      <c r="B22" s="173" t="inlineStr">
        <is>
          <t>1F 9・2F 4</t>
        </is>
      </c>
      <c r="C22" s="173" t="inlineStr">
        <is>
          <t>換気平面図ラベル数</t>
        </is>
      </c>
    </row>
  </sheetData>
  <printOptions horizontalCentered="1" gridLines="0"/>
  <pageMargins left="0.4724409448818897" right="0.4724409448818897" top="0.5905511811023622" bottom="0.5905511811023622" header="0.3149606299212598" footer="0.2362204724409449"/>
  <pageSetup orientation="landscape" paperSize="9" fitToHeight="0" fitToWidth="1"/>
</worksheet>
</file>

<file path=xl/worksheets/sheet7.xml><?xml version="1.0" encoding="utf-8"?>
<worksheet xmlns="http://schemas.openxmlformats.org/spreadsheetml/2006/main">
  <sheetPr>
    <outlinePr summaryBelow="1" summaryRight="1"/>
    <pageSetUpPr fitToPage="1"/>
  </sheetPr>
  <dimension ref="A1:I66"/>
  <sheetViews>
    <sheetView showGridLines="0" tabSelected="0" workbookViewId="0">
      <selection activeCell="A1" sqref="A1"/>
    </sheetView>
  </sheetViews>
  <sheetFormatPr baseColWidth="8" defaultRowHeight="15"/>
  <cols>
    <col width="14" customWidth="1" min="1" max="1"/>
    <col width="12" customWidth="1" min="2" max="2"/>
    <col width="9" customWidth="1" min="3" max="3"/>
    <col width="12" customWidth="1" min="4" max="4"/>
    <col width="12" customWidth="1" min="5" max="5"/>
    <col width="14" customWidth="1" min="6" max="6"/>
    <col width="14" customWidth="1" min="7" max="7"/>
    <col width="10" customWidth="1" min="8" max="8"/>
    <col width="70" customWidth="1" min="9" max="9"/>
  </cols>
  <sheetData>
    <row r="1">
      <c r="A1" s="167" t="inlineStr">
        <is>
          <t>単価マスタ（内部）　原価＝材料原価＋人工×労務原価日額、提出（定価ベース）＝原価×提出係数。参考列は宮地機工 参考見積8件（2025.11〜2026.10）から整理</t>
        </is>
      </c>
    </row>
    <row r="2">
      <c r="A2" s="175" t="inlineStr">
        <is>
          <t>労務原価日額 19,000 円/人工　参考見積の人工単価 23,225 円/人工（6330476-3 配管工費 40人工 929,000）　提出係数 1.22　材料係数 ×1.85（継手30%＋消耗15%＋支持金物40%）</t>
        </is>
      </c>
    </row>
    <row r="4">
      <c r="A4" s="169" t="inlineStr">
        <is>
          <t>キー</t>
        </is>
      </c>
      <c r="B4" s="169" t="inlineStr">
        <is>
          <t>材料原価</t>
        </is>
      </c>
      <c r="C4" s="169" t="inlineStr">
        <is>
          <t>人工</t>
        </is>
      </c>
      <c r="D4" s="169" t="inlineStr">
        <is>
          <t>労務原価</t>
        </is>
      </c>
      <c r="E4" s="169" t="inlineStr">
        <is>
          <t>原価</t>
        </is>
      </c>
      <c r="F4" s="169" t="inlineStr">
        <is>
          <t>提出(定価ベース)</t>
        </is>
      </c>
      <c r="G4" s="169" t="inlineStr">
        <is>
          <t>参考定価ベース</t>
        </is>
      </c>
      <c r="H4" s="169" t="inlineStr">
        <is>
          <t>当社/参考</t>
        </is>
      </c>
      <c r="I4" s="169" t="inlineStr">
        <is>
          <t>出典・根拠</t>
        </is>
      </c>
    </row>
    <row r="5">
      <c r="A5" s="46" t="inlineStr">
        <is>
          <t>REF_①</t>
        </is>
      </c>
      <c r="B5" s="95" t="n">
        <v>2200</v>
      </c>
      <c r="C5" s="176" t="n">
        <v>0.2</v>
      </c>
      <c r="D5" s="95">
        <f>ROUND(C5*LABOR_DAY,0)</f>
        <v>3800</v>
      </c>
      <c r="E5" s="95">
        <f>IF(B5="","",B5+D5)</f>
        <v>6000</v>
      </c>
      <c r="F5" s="95">
        <f>IF(E5="","",ROUND(E5*COEF,-1))</f>
        <v>7320</v>
      </c>
      <c r="G5" s="95" t="n">
        <v>7328</v>
      </c>
      <c r="H5" s="102">
        <f>IF(OR(G5="",F5=""),"",F5/G5)</f>
        <v>0.9989082969432315</v>
      </c>
      <c r="I5" s="103" t="inlineStr">
        <is>
          <t>6330539 ペアコイル6.35+9.52 988/m・2分3分級は1,450/m想定、5 m/人工</t>
        </is>
      </c>
    </row>
    <row r="6">
      <c r="A6" s="46" t="inlineStr">
        <is>
          <t>REF_②</t>
        </is>
      </c>
      <c r="B6" s="95" t="n">
        <v>2960</v>
      </c>
      <c r="C6" s="176" t="n">
        <v>0.21</v>
      </c>
      <c r="D6" s="95">
        <f>ROUND(C6*LABOR_DAY,0)</f>
        <v>3990</v>
      </c>
      <c r="E6" s="95">
        <f>IF(B6="","",B6+D6)</f>
        <v>6950</v>
      </c>
      <c r="F6" s="95">
        <f>IF(E6="","",ROUND(E6*COEF,-1))</f>
        <v>8480</v>
      </c>
      <c r="G6" s="95" t="n">
        <v>8485</v>
      </c>
      <c r="H6" s="102">
        <f>IF(OR(G6="",F6=""),"",F6/G6)</f>
        <v>0.9994107248084856</v>
      </c>
      <c r="I6" s="103" t="inlineStr">
        <is>
          <t>補間（9.52+15.88 4,025 と 6.35+9.52 の間）</t>
        </is>
      </c>
    </row>
    <row r="7">
      <c r="A7" s="46" t="inlineStr">
        <is>
          <t>REF_③</t>
        </is>
      </c>
      <c r="B7" s="95" t="n">
        <v>6100</v>
      </c>
      <c r="C7" s="176" t="n">
        <v>0.22</v>
      </c>
      <c r="D7" s="95">
        <f>ROUND(C7*LABOR_DAY,0)</f>
        <v>4180</v>
      </c>
      <c r="E7" s="95">
        <f>IF(B7="","",B7+D7)</f>
        <v>10280</v>
      </c>
      <c r="F7" s="95">
        <f>IF(E7="","",ROUND(E7*COEF,-1))</f>
        <v>12540</v>
      </c>
      <c r="G7" s="95" t="n">
        <v>12556</v>
      </c>
      <c r="H7" s="102">
        <f>IF(OR(G7="",F7=""),"",F7/G7)</f>
        <v>0.9987257088244664</v>
      </c>
      <c r="I7" s="103" t="inlineStr">
        <is>
          <t>6330476-3 / 6330344-1 9.52+15.88 4,025/m、4.6 m/人工</t>
        </is>
      </c>
    </row>
    <row r="8">
      <c r="A8" s="46" t="inlineStr">
        <is>
          <t>REF_⑥</t>
        </is>
      </c>
      <c r="B8" s="95" t="n">
        <v>8300</v>
      </c>
      <c r="C8" s="176" t="n">
        <v>0.28</v>
      </c>
      <c r="D8" s="95">
        <f>ROUND(C8*LABOR_DAY,0)</f>
        <v>5320</v>
      </c>
      <c r="E8" s="95">
        <f>IF(B8="","",B8+D8)</f>
        <v>13620</v>
      </c>
      <c r="F8" s="95">
        <f>IF(E8="","",ROUND(E8*COEF,-1))</f>
        <v>16620</v>
      </c>
      <c r="G8" s="95" t="n">
        <v>16632</v>
      </c>
      <c r="H8" s="102">
        <f>IF(OR(G8="",F8=""),"",F8/G8)</f>
        <v>0.9992784992784993</v>
      </c>
      <c r="I8" s="103" t="inlineStr">
        <is>
          <t>6330476-3 9.52+25.40 5,475/m、3.5 m/人工</t>
        </is>
      </c>
    </row>
    <row r="9">
      <c r="A9" s="46" t="inlineStr">
        <is>
          <t>REF_⑦</t>
        </is>
      </c>
      <c r="B9" s="95" t="n">
        <v>8610</v>
      </c>
      <c r="C9" s="176" t="n">
        <v>0.3</v>
      </c>
      <c r="D9" s="95">
        <f>ROUND(C9*LABOR_DAY,0)</f>
        <v>5700</v>
      </c>
      <c r="E9" s="95">
        <f>IF(B9="","",B9+D9)</f>
        <v>14310</v>
      </c>
      <c r="F9" s="95">
        <f>IF(E9="","",ROUND(E9*COEF,-1))</f>
        <v>17460</v>
      </c>
      <c r="G9" s="95" t="n">
        <v>17466</v>
      </c>
      <c r="H9" s="102">
        <f>IF(OR(G9="",F9=""),"",F9/G9)</f>
        <v>0.9996564754379939</v>
      </c>
      <c r="I9" s="103" t="inlineStr">
        <is>
          <t>6330476-3 12.70+25.40 5,675/m、3.3 m/人工</t>
        </is>
      </c>
    </row>
    <row r="10">
      <c r="A10" s="46" t="inlineStr">
        <is>
          <t>REF_CASE</t>
        </is>
      </c>
      <c r="B10" s="95" t="n">
        <v>1500</v>
      </c>
      <c r="C10" s="176" t="n">
        <v>0.1</v>
      </c>
      <c r="D10" s="95">
        <f>ROUND(C10*LABOR_DAY,0)</f>
        <v>1900</v>
      </c>
      <c r="E10" s="95">
        <f>IF(B10="","",B10+D10)</f>
        <v>3400</v>
      </c>
      <c r="F10" s="95">
        <f>IF(E10="","",ROUND(E10*COEF,-1))</f>
        <v>4150</v>
      </c>
      <c r="G10" s="95" t="n">
        <v>3516</v>
      </c>
      <c r="H10" s="102">
        <f>IF(OR(G10="",F10=""),"",F10/G10)</f>
        <v>1.1803185437997725</v>
      </c>
      <c r="I10" s="103" t="inlineStr">
        <is>
          <t>配管保温工事費 1,194/m（6330476-3）＋化粧ケース材</t>
        </is>
      </c>
    </row>
    <row r="11">
      <c r="A11" s="46" t="inlineStr">
        <is>
          <t>SLEEVE</t>
        </is>
      </c>
      <c r="B11" s="95" t="n">
        <v>900</v>
      </c>
      <c r="C11" s="176" t="n">
        <v>0.06</v>
      </c>
      <c r="D11" s="95">
        <f>ROUND(C11*LABOR_DAY,0)</f>
        <v>1140</v>
      </c>
      <c r="E11" s="95">
        <f>IF(B11="","",B11+D11)</f>
        <v>2040</v>
      </c>
      <c r="F11" s="95">
        <f>IF(E11="","",ROUND(E11*COEF,-1))</f>
        <v>2490</v>
      </c>
      <c r="G11" s="95" t="n"/>
      <c r="H11" s="102" t="n"/>
      <c r="I11" s="103" t="inlineStr">
        <is>
          <t>VP100 スリーブ材＋取付（参考実績なし）</t>
        </is>
      </c>
    </row>
    <row r="12">
      <c r="A12" s="46" t="inlineStr">
        <is>
          <t>FIRESTOP</t>
        </is>
      </c>
      <c r="B12" s="95" t="n">
        <v>4500</v>
      </c>
      <c r="C12" s="176" t="n">
        <v>0.4</v>
      </c>
      <c r="D12" s="95">
        <f>ROUND(C12*LABOR_DAY,0)</f>
        <v>7600</v>
      </c>
      <c r="E12" s="95">
        <f>IF(B12="","",B12+D12)</f>
        <v>12100</v>
      </c>
      <c r="F12" s="95">
        <f>IF(E12="","",ROUND(E12*COEF,-1))</f>
        <v>14760</v>
      </c>
      <c r="G12" s="95" t="n"/>
      <c r="H12" s="102" t="n"/>
      <c r="I12" s="103" t="inlineStr">
        <is>
          <t>6330248-2 防火区画貫通 88,000/式（箇所数不明）</t>
        </is>
      </c>
    </row>
    <row r="13">
      <c r="A13" s="46" t="inlineStr">
        <is>
          <t>LEAK_TEST</t>
        </is>
      </c>
      <c r="B13" s="95" t="n">
        <v>3000</v>
      </c>
      <c r="C13" s="176" t="n">
        <v>0.6</v>
      </c>
      <c r="D13" s="95">
        <f>ROUND(C13*LABOR_DAY,0)</f>
        <v>11400</v>
      </c>
      <c r="E13" s="95">
        <f>IF(B13="","",B13+D13)</f>
        <v>14400</v>
      </c>
      <c r="F13" s="95">
        <f>IF(E13="","",ROUND(E13*COEF,-1))</f>
        <v>17570</v>
      </c>
      <c r="G13" s="95" t="n">
        <v>20000</v>
      </c>
      <c r="H13" s="102">
        <f>IF(OR(G13="",F13=""),"",F13/G13)</f>
        <v>0.8785</v>
      </c>
      <c r="I13" s="103" t="inlineStr">
        <is>
          <t>気密テスト 15,000〜25,000/系統・真空引き 3,750〜5,640/系統（6330558/344-1/549）</t>
        </is>
      </c>
    </row>
    <row r="14">
      <c r="A14" s="46" t="inlineStr">
        <is>
          <t>REFRIGERANT</t>
        </is>
      </c>
      <c r="B14" s="95" t="n">
        <v>3800</v>
      </c>
      <c r="C14" s="176" t="n">
        <v>0</v>
      </c>
      <c r="D14" s="95">
        <f>ROUND(C14*LABOR_DAY,0)</f>
        <v>0</v>
      </c>
      <c r="E14" s="95">
        <f>IF(B14="","",B14+D14)</f>
        <v>3800</v>
      </c>
      <c r="F14" s="95">
        <f>IF(E14="","",ROUND(E14*COEF,-1))</f>
        <v>4640</v>
      </c>
      <c r="G14" s="95" t="n"/>
      <c r="H14" s="102" t="n"/>
      <c r="I14" s="103" t="inlineStr">
        <is>
          <t>R32 冷媒代（参考に単価行なし）</t>
        </is>
      </c>
    </row>
    <row r="15">
      <c r="A15" s="46" t="inlineStr">
        <is>
          <t>VP20</t>
        </is>
      </c>
      <c r="B15" s="95" t="n">
        <v>380</v>
      </c>
      <c r="C15" s="176" t="n">
        <v>0.1</v>
      </c>
      <c r="D15" s="95">
        <f>ROUND(C15*LABOR_DAY,0)</f>
        <v>1900</v>
      </c>
      <c r="E15" s="95">
        <f>IF(B15="","",B15+D15)</f>
        <v>2280</v>
      </c>
      <c r="F15" s="95">
        <f>IF(E15="","",ROUND(E15*COEF,-1))</f>
        <v>2780</v>
      </c>
      <c r="G15" s="95" t="n">
        <v>2578</v>
      </c>
      <c r="H15" s="102">
        <f>IF(OR(G15="",F15=""),"",F15/G15)</f>
        <v>1.0783553141970519</v>
      </c>
      <c r="I15" s="103" t="inlineStr">
        <is>
          <t>6330539 VP13 138/m、塩ビ工費 9.3〜12 m/人工</t>
        </is>
      </c>
    </row>
    <row r="16">
      <c r="A16" s="46" t="inlineStr">
        <is>
          <t>VP25</t>
        </is>
      </c>
      <c r="B16" s="95" t="n">
        <v>475</v>
      </c>
      <c r="C16" s="176" t="n">
        <v>0.11</v>
      </c>
      <c r="D16" s="95">
        <f>ROUND(C16*LABOR_DAY,0)</f>
        <v>2090</v>
      </c>
      <c r="E16" s="95">
        <f>IF(B16="","",B16+D16)</f>
        <v>2565</v>
      </c>
      <c r="F16" s="95">
        <f>IF(E16="","",ROUND(E16*COEF,-1))</f>
        <v>3130</v>
      </c>
      <c r="G16" s="95" t="n">
        <v>3134</v>
      </c>
      <c r="H16" s="102">
        <f>IF(OR(G16="",F16=""),"",F16/G16)</f>
        <v>0.9987236758136566</v>
      </c>
      <c r="I16" s="103" t="inlineStr">
        <is>
          <t>6330344-1/476-3/248-2 VP25 313/m、工費 2,497/m</t>
        </is>
      </c>
    </row>
    <row r="17">
      <c r="A17" s="46" t="inlineStr">
        <is>
          <t>VP40</t>
        </is>
      </c>
      <c r="B17" s="95" t="n">
        <v>760</v>
      </c>
      <c r="C17" s="176" t="n">
        <v>0.13</v>
      </c>
      <c r="D17" s="95">
        <f>ROUND(C17*LABOR_DAY,0)</f>
        <v>2470</v>
      </c>
      <c r="E17" s="95">
        <f>IF(B17="","",B17+D17)</f>
        <v>3230</v>
      </c>
      <c r="F17" s="95">
        <f>IF(E17="","",ROUND(E17*COEF,-1))</f>
        <v>3940</v>
      </c>
      <c r="G17" s="95" t="n"/>
      <c r="H17" s="102" t="n"/>
      <c r="I17" s="103" t="inlineStr">
        <is>
          <t>VP25 比例</t>
        </is>
      </c>
    </row>
    <row r="18">
      <c r="A18" s="46" t="inlineStr">
        <is>
          <t>DRAIN_INS</t>
        </is>
      </c>
      <c r="B18" s="95" t="n">
        <v>900</v>
      </c>
      <c r="C18" s="176" t="n">
        <v>0.06</v>
      </c>
      <c r="D18" s="95">
        <f>ROUND(C18*LABOR_DAY,0)</f>
        <v>1140</v>
      </c>
      <c r="E18" s="95">
        <f>IF(B18="","",B18+D18)</f>
        <v>2040</v>
      </c>
      <c r="F18" s="95">
        <f>IF(E18="","",ROUND(E18*COEF,-1))</f>
        <v>2490</v>
      </c>
      <c r="G18" s="95" t="n"/>
      <c r="H18" s="102" t="n"/>
      <c r="I18" s="103" t="inlineStr">
        <is>
          <t>GW保温筒20 ALGC（参考実績なし）</t>
        </is>
      </c>
    </row>
    <row r="19">
      <c r="A19" s="46" t="inlineStr">
        <is>
          <t>DRAIN_HOSE</t>
        </is>
      </c>
      <c r="B19" s="95" t="n">
        <v>300</v>
      </c>
      <c r="C19" s="176" t="n">
        <v>0.05</v>
      </c>
      <c r="D19" s="95">
        <f>ROUND(C19*LABOR_DAY,0)</f>
        <v>950</v>
      </c>
      <c r="E19" s="95">
        <f>IF(B19="","",B19+D19)</f>
        <v>1250</v>
      </c>
      <c r="F19" s="95">
        <f>IF(E19="","",ROUND(E19*COEF,-1))</f>
        <v>1530</v>
      </c>
      <c r="G19" s="95" t="n"/>
      <c r="H19" s="102" t="n"/>
      <c r="I19" s="103" t="inlineStr">
        <is>
          <t>推定</t>
        </is>
      </c>
    </row>
    <row r="20">
      <c r="A20" s="46" t="inlineStr">
        <is>
          <t>PAC_IN</t>
        </is>
      </c>
      <c r="B20" s="95" t="n">
        <v>1600</v>
      </c>
      <c r="C20" s="176" t="n">
        <v>0.85</v>
      </c>
      <c r="D20" s="95">
        <f>ROUND(C20*LABOR_DAY,0)</f>
        <v>16150</v>
      </c>
      <c r="E20" s="95">
        <f>IF(B20="","",B20+D20)</f>
        <v>17750</v>
      </c>
      <c r="F20" s="95">
        <f>IF(E20="","",ROUND(E20*COEF,-1))</f>
        <v>21660</v>
      </c>
      <c r="G20" s="95" t="n">
        <v>21700</v>
      </c>
      <c r="H20" s="102">
        <f>IF(OR(G20="",F20=""),"",F20/G20)</f>
        <v>0.9981566820276497</v>
      </c>
      <c r="I20" s="103" t="inlineStr">
        <is>
          <t>6330476-3 搬入据付 238,750/11台≒21,700/台、6330284-1 25,000/台</t>
        </is>
      </c>
    </row>
    <row r="21">
      <c r="A21" s="46" t="inlineStr">
        <is>
          <t>PAC_IN_BIG</t>
        </is>
      </c>
      <c r="B21" s="95" t="n">
        <v>2000</v>
      </c>
      <c r="C21" s="176" t="n">
        <v>1</v>
      </c>
      <c r="D21" s="95">
        <f>ROUND(C21*LABOR_DAY,0)</f>
        <v>19000</v>
      </c>
      <c r="E21" s="95">
        <f>IF(B21="","",B21+D21)</f>
        <v>21000</v>
      </c>
      <c r="F21" s="95">
        <f>IF(E21="","",ROUND(E21*COEF,-1))</f>
        <v>25620</v>
      </c>
      <c r="G21" s="95" t="n">
        <v>27860</v>
      </c>
      <c r="H21" s="102">
        <f>IF(OR(G21="",F21=""),"",F21/G21)</f>
        <v>0.9195979899497487</v>
      </c>
      <c r="I21" s="103" t="inlineStr">
        <is>
          <t>6330558 VRV 90クラス 27,860/台</t>
        </is>
      </c>
    </row>
    <row r="22">
      <c r="A22" s="46" t="inlineStr">
        <is>
          <t>PAC_OUT</t>
        </is>
      </c>
      <c r="B22" s="95" t="n">
        <v>3000</v>
      </c>
      <c r="C22" s="176" t="n">
        <v>0.8</v>
      </c>
      <c r="D22" s="95">
        <f>ROUND(C22*LABOR_DAY,0)</f>
        <v>15200</v>
      </c>
      <c r="E22" s="95">
        <f>IF(B22="","",B22+D22)</f>
        <v>18200</v>
      </c>
      <c r="F22" s="95">
        <f>IF(E22="","",ROUND(E22*COEF,-1))</f>
        <v>22200</v>
      </c>
      <c r="G22" s="95" t="n">
        <v>29200</v>
      </c>
      <c r="H22" s="102">
        <f>IF(OR(G22="",F22=""),"",F22/G22)</f>
        <v>0.7602739726027398</v>
      </c>
      <c r="I22" s="103" t="inlineStr">
        <is>
          <t>搬入据付＋基礎工事 5,800〜10,000/台（6330539/549/476-3）</t>
        </is>
      </c>
    </row>
    <row r="23">
      <c r="A23" s="46" t="inlineStr">
        <is>
          <t>PAC_OUT_BIG</t>
        </is>
      </c>
      <c r="B23" s="95" t="n">
        <v>4000</v>
      </c>
      <c r="C23" s="176" t="n">
        <v>1.1</v>
      </c>
      <c r="D23" s="95">
        <f>ROUND(C23*LABOR_DAY,0)</f>
        <v>20900</v>
      </c>
      <c r="E23" s="95">
        <f>IF(B23="","",B23+D23)</f>
        <v>24900</v>
      </c>
      <c r="F23" s="95">
        <f>IF(E23="","",ROUND(E23*COEF,-1))</f>
        <v>30380</v>
      </c>
      <c r="G23" s="95" t="n">
        <v>37860</v>
      </c>
      <c r="H23" s="102">
        <f>IF(OR(G23="",F23=""),"",F23/G23)</f>
        <v>0.8024300052826202</v>
      </c>
      <c r="I23" s="103" t="inlineStr">
        <is>
          <t>8〜10HP 室外機（防振ゴム・架台固定共）</t>
        </is>
      </c>
    </row>
    <row r="24">
      <c r="A24" s="46" t="inlineStr">
        <is>
          <t>RAC_SET</t>
        </is>
      </c>
      <c r="B24" s="95" t="n">
        <v>750</v>
      </c>
      <c r="C24" s="176" t="n">
        <v>0.5</v>
      </c>
      <c r="D24" s="95">
        <f>ROUND(C24*LABOR_DAY,0)</f>
        <v>9500</v>
      </c>
      <c r="E24" s="95">
        <f>IF(B24="","",B24+D24)</f>
        <v>10250</v>
      </c>
      <c r="F24" s="95">
        <f>IF(E24="","",ROUND(E24*COEF,-1))</f>
        <v>12510</v>
      </c>
      <c r="G24" s="95" t="n">
        <v>18300</v>
      </c>
      <c r="H24" s="102">
        <f>IF(OR(G24="",F24=""),"",F24/G24)</f>
        <v>0.6836065573770492</v>
      </c>
      <c r="I24" s="103" t="inlineStr">
        <is>
          <t>6330539 RA 搬入据付 12,500/組＋基礎 5,833/組</t>
        </is>
      </c>
    </row>
    <row r="25">
      <c r="A25" s="46" t="inlineStr">
        <is>
          <t>REMOTE_CTRL</t>
        </is>
      </c>
      <c r="B25" s="95" t="n">
        <v>1000</v>
      </c>
      <c r="C25" s="176" t="n">
        <v>0.4</v>
      </c>
      <c r="D25" s="95">
        <f>ROUND(C25*LABOR_DAY,0)</f>
        <v>7600</v>
      </c>
      <c r="E25" s="95">
        <f>IF(B25="","",B25+D25)</f>
        <v>8600</v>
      </c>
      <c r="F25" s="95">
        <f>IF(E25="","",ROUND(E25*COEF,-1))</f>
        <v>10490</v>
      </c>
      <c r="G25" s="95" t="n">
        <v>9630</v>
      </c>
      <c r="H25" s="102">
        <f>IF(OR(G25="",F25=""),"",F25/G25)</f>
        <v>1.0893042575285565</v>
      </c>
      <c r="I25" s="103" t="inlineStr">
        <is>
          <t>リモコン配線工事 9,630/系統（6330549/558/476-3）</t>
        </is>
      </c>
    </row>
    <row r="26">
      <c r="A26" s="46" t="inlineStr">
        <is>
          <t>CRANE</t>
        </is>
      </c>
      <c r="B26" s="95" t="n">
        <v>75000</v>
      </c>
      <c r="C26" s="176" t="n">
        <v>0</v>
      </c>
      <c r="D26" s="95">
        <f>ROUND(C26*LABOR_DAY,0)</f>
        <v>0</v>
      </c>
      <c r="E26" s="95">
        <f>IF(B26="","",B26+D26)</f>
        <v>75000</v>
      </c>
      <c r="F26" s="95">
        <f>IF(E26="","",ROUND(E26*COEF,-1))</f>
        <v>91500</v>
      </c>
      <c r="G26" s="95" t="n">
        <v>93750</v>
      </c>
      <c r="H26" s="102">
        <f>IF(OR(G26="",F26=""),"",F26/G26)</f>
        <v>0.976</v>
      </c>
      <c r="I26" s="103" t="inlineStr">
        <is>
          <t>揚重工事費（レッカー）93,750/式（6330558）</t>
        </is>
      </c>
    </row>
    <row r="27">
      <c r="A27" s="46" t="inlineStr">
        <is>
          <t>CARRY_IN</t>
        </is>
      </c>
      <c r="B27" s="95" t="n">
        <v>0</v>
      </c>
      <c r="C27" s="176" t="n">
        <v>1</v>
      </c>
      <c r="D27" s="95">
        <f>ROUND(C27*LABOR_DAY,0)</f>
        <v>19000</v>
      </c>
      <c r="E27" s="95">
        <f>IF(B27="","",B27+D27)</f>
        <v>19000</v>
      </c>
      <c r="F27" s="95">
        <f>IF(E27="","",ROUND(E27*COEF,-1))</f>
        <v>23180</v>
      </c>
      <c r="G27" s="95" t="n"/>
      <c r="H27" s="102" t="n"/>
      <c r="I27" s="103" t="inlineStr">
        <is>
          <t>搬入・小運搬 人工</t>
        </is>
      </c>
    </row>
    <row r="28">
      <c r="A28" s="46" t="inlineStr">
        <is>
          <t>TEST_RUN</t>
        </is>
      </c>
      <c r="B28" s="95" t="n">
        <v>450</v>
      </c>
      <c r="C28" s="176" t="n">
        <v>0.45</v>
      </c>
      <c r="D28" s="95">
        <f>ROUND(C28*LABOR_DAY,0)</f>
        <v>8550</v>
      </c>
      <c r="E28" s="95">
        <f>IF(B28="","",B28+D28)</f>
        <v>9000</v>
      </c>
      <c r="F28" s="95">
        <f>IF(E28="","",ROUND(E28*COEF,-1))</f>
        <v>10980</v>
      </c>
      <c r="G28" s="95" t="n">
        <v>11000</v>
      </c>
      <c r="H28" s="102">
        <f>IF(OR(G28="",F28=""),"",F28/G28)</f>
        <v>0.9981818181818182</v>
      </c>
      <c r="I28" s="103" t="inlineStr">
        <is>
          <t>試運転調整費 10,000〜12,500/系統（6330344-1/549/476-3）</t>
        </is>
      </c>
    </row>
    <row r="29">
      <c r="A29" s="46" t="inlineStr">
        <is>
          <t>TEST_RUN_RAC</t>
        </is>
      </c>
      <c r="B29" s="95" t="n">
        <v>0</v>
      </c>
      <c r="C29" s="176" t="n">
        <v>0.1</v>
      </c>
      <c r="D29" s="95">
        <f>ROUND(C29*LABOR_DAY,0)</f>
        <v>1900</v>
      </c>
      <c r="E29" s="95">
        <f>IF(B29="","",B29+D29)</f>
        <v>1900</v>
      </c>
      <c r="F29" s="95">
        <f>IF(E29="","",ROUND(E29*COEF,-1))</f>
        <v>2320</v>
      </c>
      <c r="G29" s="95" t="n">
        <v>2500</v>
      </c>
      <c r="H29" s="102">
        <f>IF(OR(G29="",F29=""),"",F29/G29)</f>
        <v>0.928</v>
      </c>
      <c r="I29" s="103" t="inlineStr">
        <is>
          <t>6330539 試運転 7,500/3台</t>
        </is>
      </c>
    </row>
    <row r="30">
      <c r="A30" s="46" t="inlineStr">
        <is>
          <t>DOCS</t>
        </is>
      </c>
      <c r="B30" s="95" t="n">
        <v>5000</v>
      </c>
      <c r="C30" s="176" t="n">
        <v>1</v>
      </c>
      <c r="D30" s="95">
        <f>ROUND(C30*LABOR_DAY,0)</f>
        <v>19000</v>
      </c>
      <c r="E30" s="95">
        <f>IF(B30="","",B30+D30)</f>
        <v>24000</v>
      </c>
      <c r="F30" s="95">
        <f>IF(E30="","",ROUND(E30*COEF,-1))</f>
        <v>29280</v>
      </c>
      <c r="G30" s="95" t="n"/>
      <c r="H30" s="102" t="n"/>
      <c r="I30" s="103" t="inlineStr">
        <is>
          <t>書類作成 人工</t>
        </is>
      </c>
    </row>
    <row r="31">
      <c r="A31" s="46" t="inlineStr">
        <is>
          <t>WIRE_PAC</t>
        </is>
      </c>
      <c r="B31" s="95" t="n">
        <v>2000</v>
      </c>
      <c r="C31" s="176" t="n">
        <v>0.26</v>
      </c>
      <c r="D31" s="95">
        <f>ROUND(C31*LABOR_DAY,0)</f>
        <v>4940</v>
      </c>
      <c r="E31" s="95">
        <f>IF(B31="","",B31+D31)</f>
        <v>6940</v>
      </c>
      <c r="F31" s="95">
        <f>IF(E31="","",ROUND(E31*COEF,-1))</f>
        <v>8470</v>
      </c>
      <c r="G31" s="95" t="n">
        <v>8436</v>
      </c>
      <c r="H31" s="102">
        <f>IF(OR(G31="",F31=""),"",F31/G31)</f>
        <v>1.0040303461356093</v>
      </c>
      <c r="I31" s="103" t="inlineStr">
        <is>
          <t>VVF2.0-3C 203/m＋電線材料施工費 約500/m（12m/系統 8,436）→ 原価 6,900</t>
        </is>
      </c>
    </row>
    <row r="32">
      <c r="A32" s="46" t="inlineStr">
        <is>
          <t>WIRE_RAC</t>
        </is>
      </c>
      <c r="B32" s="95" t="n">
        <v>1130</v>
      </c>
      <c r="C32" s="176" t="n">
        <v>0.12</v>
      </c>
      <c r="D32" s="95">
        <f>ROUND(C32*LABOR_DAY,0)</f>
        <v>2280</v>
      </c>
      <c r="E32" s="95">
        <f>IF(B32="","",B32+D32)</f>
        <v>3410</v>
      </c>
      <c r="F32" s="95">
        <f>IF(E32="","",ROUND(E32*COEF,-1))</f>
        <v>4160</v>
      </c>
      <c r="G32" s="95" t="n">
        <v>3515</v>
      </c>
      <c r="H32" s="102">
        <f>IF(OR(G32="",F32=""),"",F32/G32)</f>
        <v>1.1834992887624467</v>
      </c>
      <c r="I32" s="103" t="inlineStr">
        <is>
          <t>VVF2.0-3C 5m/台</t>
        </is>
      </c>
    </row>
    <row r="33">
      <c r="A33" s="46" t="inlineStr">
        <is>
          <t>SLINK</t>
        </is>
      </c>
      <c r="B33" s="95" t="n">
        <v>30000</v>
      </c>
      <c r="C33" s="176" t="n">
        <v>1.2</v>
      </c>
      <c r="D33" s="95">
        <f>ROUND(C33*LABOR_DAY,0)</f>
        <v>22800</v>
      </c>
      <c r="E33" s="95">
        <f>IF(B33="","",B33+D33)</f>
        <v>52800</v>
      </c>
      <c r="F33" s="95">
        <f>IF(E33="","",ROUND(E33*COEF,-1))</f>
        <v>64420</v>
      </c>
      <c r="G33" s="95" t="n"/>
      <c r="H33" s="102" t="n"/>
      <c r="I33" s="103" t="inlineStr">
        <is>
          <t>集中リモコン制御線 200m 推定</t>
        </is>
      </c>
    </row>
    <row r="34">
      <c r="A34" s="46" t="inlineStr">
        <is>
          <t>BRANCH</t>
        </is>
      </c>
      <c r="B34" s="95" t="n">
        <v>600</v>
      </c>
      <c r="C34" s="176" t="n">
        <v>0.25</v>
      </c>
      <c r="D34" s="95">
        <f>ROUND(C34*LABOR_DAY,0)</f>
        <v>4750</v>
      </c>
      <c r="E34" s="95">
        <f>IF(B34="","",B34+D34)</f>
        <v>5350</v>
      </c>
      <c r="F34" s="95">
        <f>IF(E34="","",ROUND(E34*COEF,-1))</f>
        <v>6530</v>
      </c>
      <c r="G34" s="95" t="n"/>
      <c r="H34" s="102" t="n"/>
      <c r="I34" s="103" t="inlineStr">
        <is>
          <t>分岐管取付（支給）</t>
        </is>
      </c>
    </row>
    <row r="35">
      <c r="A35" s="46" t="inlineStr">
        <is>
          <t>FAN_PIPE</t>
        </is>
      </c>
      <c r="B35" s="95" t="n">
        <v>300</v>
      </c>
      <c r="C35" s="176" t="n">
        <v>0.3</v>
      </c>
      <c r="D35" s="95">
        <f>ROUND(C35*LABOR_DAY,0)</f>
        <v>5700</v>
      </c>
      <c r="E35" s="95">
        <f>IF(B35="","",B35+D35)</f>
        <v>6000</v>
      </c>
      <c r="F35" s="95">
        <f>IF(E35="","",ROUND(E35*COEF,-1))</f>
        <v>7320</v>
      </c>
      <c r="G35" s="95" t="n"/>
      <c r="H35" s="102" t="n"/>
      <c r="I35" s="103" t="inlineStr">
        <is>
          <t>パイプファン取付（参考実績なし）</t>
        </is>
      </c>
    </row>
    <row r="36">
      <c r="A36" s="46" t="inlineStr">
        <is>
          <t>FAN_CEIL</t>
        </is>
      </c>
      <c r="B36" s="95" t="n">
        <v>500</v>
      </c>
      <c r="C36" s="176" t="n">
        <v>0.45</v>
      </c>
      <c r="D36" s="95">
        <f>ROUND(C36*LABOR_DAY,0)</f>
        <v>8550</v>
      </c>
      <c r="E36" s="95">
        <f>IF(B36="","",B36+D36)</f>
        <v>9050</v>
      </c>
      <c r="F36" s="95">
        <f>IF(E36="","",ROUND(E36*COEF,-1))</f>
        <v>11040</v>
      </c>
      <c r="G36" s="95" t="n"/>
      <c r="H36" s="102" t="n"/>
      <c r="I36" s="103" t="inlineStr">
        <is>
          <t>天井扇取付（参考実績なし）</t>
        </is>
      </c>
    </row>
    <row r="37">
      <c r="A37" s="46" t="inlineStr">
        <is>
          <t>FAN_DUCT</t>
        </is>
      </c>
      <c r="B37" s="95" t="n">
        <v>2000</v>
      </c>
      <c r="C37" s="176" t="n">
        <v>1.2</v>
      </c>
      <c r="D37" s="95">
        <f>ROUND(C37*LABOR_DAY,0)</f>
        <v>22800</v>
      </c>
      <c r="E37" s="95">
        <f>IF(B37="","",B37+D37)</f>
        <v>24800</v>
      </c>
      <c r="F37" s="95">
        <f>IF(E37="","",ROUND(E37*COEF,-1))</f>
        <v>30260</v>
      </c>
      <c r="G37" s="95" t="n"/>
      <c r="H37" s="102" t="n"/>
      <c r="I37" s="103" t="inlineStr">
        <is>
          <t>中間ファン（防振吊）取付</t>
        </is>
      </c>
    </row>
    <row r="38">
      <c r="A38" s="46" t="inlineStr">
        <is>
          <t>FAN_PRESS</t>
        </is>
      </c>
      <c r="B38" s="95" t="n">
        <v>1500</v>
      </c>
      <c r="C38" s="176" t="n">
        <v>0.9</v>
      </c>
      <c r="D38" s="95">
        <f>ROUND(C38*LABOR_DAY,0)</f>
        <v>17100</v>
      </c>
      <c r="E38" s="95">
        <f>IF(B38="","",B38+D38)</f>
        <v>18600</v>
      </c>
      <c r="F38" s="95">
        <f>IF(E38="","",ROUND(E38*COEF,-1))</f>
        <v>22690</v>
      </c>
      <c r="G38" s="95" t="n"/>
      <c r="H38" s="102" t="n"/>
      <c r="I38" s="103" t="inlineStr">
        <is>
          <t>有圧扇＋ウェザーカバー取付</t>
        </is>
      </c>
    </row>
    <row r="39">
      <c r="A39" s="46" t="inlineStr">
        <is>
          <t>HEX_CEIL</t>
        </is>
      </c>
      <c r="B39" s="95" t="n">
        <v>2500</v>
      </c>
      <c r="C39" s="176" t="n">
        <v>1.4</v>
      </c>
      <c r="D39" s="95">
        <f>ROUND(C39*LABOR_DAY,0)</f>
        <v>26600</v>
      </c>
      <c r="E39" s="95">
        <f>IF(B39="","",B39+D39)</f>
        <v>29100</v>
      </c>
      <c r="F39" s="95">
        <f>IF(E39="","",ROUND(E39*COEF,-1))</f>
        <v>35500</v>
      </c>
      <c r="G39" s="95" t="n"/>
      <c r="H39" s="102" t="n"/>
      <c r="I39" s="103" t="inlineStr">
        <is>
          <t>全熱交換器 天井埋込（ダクト接続別）</t>
        </is>
      </c>
    </row>
    <row r="40">
      <c r="A40" s="46" t="inlineStr">
        <is>
          <t>HEX_WALL</t>
        </is>
      </c>
      <c r="B40" s="95" t="n">
        <v>500</v>
      </c>
      <c r="C40" s="176" t="n">
        <v>0.45</v>
      </c>
      <c r="D40" s="95">
        <f>ROUND(C40*LABOR_DAY,0)</f>
        <v>8550</v>
      </c>
      <c r="E40" s="95">
        <f>IF(B40="","",B40+D40)</f>
        <v>9050</v>
      </c>
      <c r="F40" s="95">
        <f>IF(E40="","",ROUND(E40*COEF,-1))</f>
        <v>11040</v>
      </c>
      <c r="G40" s="95" t="n"/>
      <c r="H40" s="102" t="n"/>
      <c r="I40" s="103" t="inlineStr">
        <is>
          <t>壁掛ロスナイ取付</t>
        </is>
      </c>
    </row>
    <row r="41">
      <c r="A41" s="46" t="inlineStr">
        <is>
          <t>CYCLE_FAN</t>
        </is>
      </c>
      <c r="B41" s="95" t="n">
        <v>300</v>
      </c>
      <c r="C41" s="176" t="n">
        <v>0.35</v>
      </c>
      <c r="D41" s="95">
        <f>ROUND(C41*LABOR_DAY,0)</f>
        <v>6650</v>
      </c>
      <c r="E41" s="95">
        <f>IF(B41="","",B41+D41)</f>
        <v>6950</v>
      </c>
      <c r="F41" s="95">
        <f>IF(E41="","",ROUND(E41*COEF,-1))</f>
        <v>8480</v>
      </c>
      <c r="G41" s="95" t="n"/>
      <c r="H41" s="102" t="n"/>
      <c r="I41" s="103" t="inlineStr">
        <is>
          <t>サイクル扇</t>
        </is>
      </c>
    </row>
    <row r="42">
      <c r="A42" s="46" t="inlineStr">
        <is>
          <t>HOOD_SUS</t>
        </is>
      </c>
      <c r="B42" s="95" t="n">
        <v>300</v>
      </c>
      <c r="C42" s="176" t="n">
        <v>0.15</v>
      </c>
      <c r="D42" s="95">
        <f>ROUND(C42*LABOR_DAY,0)</f>
        <v>2850</v>
      </c>
      <c r="E42" s="95">
        <f>IF(B42="","",B42+D42)</f>
        <v>3150</v>
      </c>
      <c r="F42" s="95">
        <f>IF(E42="","",ROUND(E42*COEF,-1))</f>
        <v>3840</v>
      </c>
      <c r="G42" s="95" t="n"/>
      <c r="H42" s="102" t="n"/>
      <c r="I42" s="103" t="inlineStr">
        <is>
          <t>SUS製フード取付（支給）</t>
        </is>
      </c>
    </row>
    <row r="43">
      <c r="A43" s="46" t="inlineStr">
        <is>
          <t>WCOVER</t>
        </is>
      </c>
      <c r="B43" s="95" t="n">
        <v>500</v>
      </c>
      <c r="C43" s="176" t="n">
        <v>0.2</v>
      </c>
      <c r="D43" s="95">
        <f>ROUND(C43*LABOR_DAY,0)</f>
        <v>3800</v>
      </c>
      <c r="E43" s="95">
        <f>IF(B43="","",B43+D43)</f>
        <v>4300</v>
      </c>
      <c r="F43" s="95">
        <f>IF(E43="","",ROUND(E43*COEF,-1))</f>
        <v>5250</v>
      </c>
      <c r="G43" s="95" t="n"/>
      <c r="H43" s="102" t="n"/>
      <c r="I43" s="103" t="inlineStr">
        <is>
          <t>ウェザーカバー取付（支給）</t>
        </is>
      </c>
    </row>
    <row r="44">
      <c r="A44" s="46" t="inlineStr">
        <is>
          <t>SD100</t>
        </is>
      </c>
      <c r="B44" s="95" t="n">
        <v>1000</v>
      </c>
      <c r="C44" s="176" t="n">
        <v>0.12</v>
      </c>
      <c r="D44" s="95">
        <f>ROUND(C44*LABOR_DAY,0)</f>
        <v>2280</v>
      </c>
      <c r="E44" s="95">
        <f>IF(B44="","",B44+D44)</f>
        <v>3280</v>
      </c>
      <c r="F44" s="95">
        <f>IF(E44="","",ROUND(E44*COEF,-1))</f>
        <v>4000</v>
      </c>
      <c r="G44" s="95" t="n"/>
      <c r="H44" s="102" t="n"/>
      <c r="I44" s="103" t="inlineStr">
        <is>
          <t>ダクト（参考実績なし・市況）</t>
        </is>
      </c>
    </row>
    <row r="45">
      <c r="A45" s="46" t="inlineStr">
        <is>
          <t>SD150</t>
        </is>
      </c>
      <c r="B45" s="95" t="n">
        <v>1400</v>
      </c>
      <c r="C45" s="176" t="n">
        <v>0.14</v>
      </c>
      <c r="D45" s="95">
        <f>ROUND(C45*LABOR_DAY,0)</f>
        <v>2660</v>
      </c>
      <c r="E45" s="95">
        <f>IF(B45="","",B45+D45)</f>
        <v>4060</v>
      </c>
      <c r="F45" s="95">
        <f>IF(E45="","",ROUND(E45*COEF,-1))</f>
        <v>4950</v>
      </c>
      <c r="G45" s="95" t="n"/>
      <c r="H45" s="102" t="n"/>
      <c r="I45" s="103" t="inlineStr"/>
    </row>
    <row r="46">
      <c r="A46" s="46" t="inlineStr">
        <is>
          <t>SD200</t>
        </is>
      </c>
      <c r="B46" s="95" t="n">
        <v>1900</v>
      </c>
      <c r="C46" s="176" t="n">
        <v>0.16</v>
      </c>
      <c r="D46" s="95">
        <f>ROUND(C46*LABOR_DAY,0)</f>
        <v>3040</v>
      </c>
      <c r="E46" s="95">
        <f>IF(B46="","",B46+D46)</f>
        <v>4940</v>
      </c>
      <c r="F46" s="95">
        <f>IF(E46="","",ROUND(E46*COEF,-1))</f>
        <v>6030</v>
      </c>
      <c r="G46" s="95" t="n"/>
      <c r="H46" s="102" t="n"/>
      <c r="I46" s="103" t="inlineStr"/>
    </row>
    <row r="47">
      <c r="A47" s="46" t="inlineStr">
        <is>
          <t>SD250</t>
        </is>
      </c>
      <c r="B47" s="95" t="n">
        <v>2600</v>
      </c>
      <c r="C47" s="176" t="n">
        <v>0.2</v>
      </c>
      <c r="D47" s="95">
        <f>ROUND(C47*LABOR_DAY,0)</f>
        <v>3800</v>
      </c>
      <c r="E47" s="95">
        <f>IF(B47="","",B47+D47)</f>
        <v>6400</v>
      </c>
      <c r="F47" s="95">
        <f>IF(E47="","",ROUND(E47*COEF,-1))</f>
        <v>7810</v>
      </c>
      <c r="G47" s="95" t="n"/>
      <c r="H47" s="102" t="n"/>
      <c r="I47" s="103" t="inlineStr"/>
    </row>
    <row r="48">
      <c r="A48" s="46" t="inlineStr">
        <is>
          <t>SD300</t>
        </is>
      </c>
      <c r="B48" s="95" t="n">
        <v>3300</v>
      </c>
      <c r="C48" s="176" t="n">
        <v>0.24</v>
      </c>
      <c r="D48" s="95">
        <f>ROUND(C48*LABOR_DAY,0)</f>
        <v>4560</v>
      </c>
      <c r="E48" s="95">
        <f>IF(B48="","",B48+D48)</f>
        <v>7860</v>
      </c>
      <c r="F48" s="95">
        <f>IF(E48="","",ROUND(E48*COEF,-1))</f>
        <v>9590</v>
      </c>
      <c r="G48" s="95" t="n"/>
      <c r="H48" s="102" t="n"/>
      <c r="I48" s="103" t="inlineStr"/>
    </row>
    <row r="49">
      <c r="A49" s="46" t="inlineStr">
        <is>
          <t>VD</t>
        </is>
      </c>
      <c r="B49" s="95" t="n">
        <v>4500</v>
      </c>
      <c r="C49" s="176" t="n">
        <v>0.25</v>
      </c>
      <c r="D49" s="95">
        <f>ROUND(C49*LABOR_DAY,0)</f>
        <v>4750</v>
      </c>
      <c r="E49" s="95">
        <f>IF(B49="","",B49+D49)</f>
        <v>9250</v>
      </c>
      <c r="F49" s="95">
        <f>IF(E49="","",ROUND(E49*COEF,-1))</f>
        <v>11290</v>
      </c>
      <c r="G49" s="95" t="n"/>
      <c r="H49" s="102" t="n"/>
      <c r="I49" s="103" t="inlineStr"/>
    </row>
    <row r="50">
      <c r="A50" s="46" t="inlineStr">
        <is>
          <t>DUCT_INS_GW</t>
        </is>
      </c>
      <c r="B50" s="95" t="n">
        <v>1100</v>
      </c>
      <c r="C50" s="176" t="n">
        <v>0.08</v>
      </c>
      <c r="D50" s="95">
        <f>ROUND(C50*LABOR_DAY,0)</f>
        <v>1520</v>
      </c>
      <c r="E50" s="95">
        <f>IF(B50="","",B50+D50)</f>
        <v>2620</v>
      </c>
      <c r="F50" s="95">
        <f>IF(E50="","",ROUND(E50*COEF,-1))</f>
        <v>3200</v>
      </c>
      <c r="G50" s="95" t="n"/>
      <c r="H50" s="102" t="n"/>
      <c r="I50" s="103" t="inlineStr">
        <is>
          <t>GW保温筒25 ALGC</t>
        </is>
      </c>
    </row>
    <row r="51">
      <c r="A51" s="46" t="inlineStr">
        <is>
          <t>DUCT_INS_RW</t>
        </is>
      </c>
      <c r="B51" s="95" t="n">
        <v>3200</v>
      </c>
      <c r="C51" s="176" t="n">
        <v>0.15</v>
      </c>
      <c r="D51" s="95">
        <f>ROUND(C51*LABOR_DAY,0)</f>
        <v>2850</v>
      </c>
      <c r="E51" s="95">
        <f>IF(B51="","",B51+D51)</f>
        <v>6050</v>
      </c>
      <c r="F51" s="95">
        <f>IF(E51="","",ROUND(E51*COEF,-1))</f>
        <v>7380</v>
      </c>
      <c r="G51" s="95" t="n"/>
      <c r="H51" s="102" t="n"/>
      <c r="I51" s="103" t="inlineStr">
        <is>
          <t>RW50＋アルミガラスクロス＋金網</t>
        </is>
      </c>
    </row>
    <row r="52">
      <c r="A52" s="46" t="inlineStr">
        <is>
          <t>GRILLE</t>
        </is>
      </c>
      <c r="B52" s="95" t="n"/>
      <c r="C52" s="176" t="n">
        <v>0.25</v>
      </c>
      <c r="D52" s="95">
        <f>ROUND(C52*LABOR_DAY,0)</f>
        <v>4750</v>
      </c>
      <c r="E52" s="95" t="str">
        <f>IF(B52="","",B52+D52)</f>
        <v/>
      </c>
      <c r="F52" s="95">
        <f>IF(E52="","",ROUND(E52*COEF,-1))</f>
        <v>0</v>
      </c>
      <c r="G52" s="95" t="n"/>
      <c r="H52" s="102" t="n"/>
      <c r="I52" s="103" t="inlineStr">
        <is>
          <t>制気口 材＋取付0.25人工</t>
        </is>
      </c>
    </row>
    <row r="53">
      <c r="A53" s="46" t="inlineStr">
        <is>
          <t>BOX</t>
        </is>
      </c>
      <c r="B53" s="95" t="n"/>
      <c r="C53" s="176" t="n">
        <v>0.3</v>
      </c>
      <c r="D53" s="95">
        <f>ROUND(C53*LABOR_DAY,0)</f>
        <v>5700</v>
      </c>
      <c r="E53" s="95" t="str">
        <f>IF(B53="","",B53+D53)</f>
        <v/>
      </c>
      <c r="F53" s="95">
        <f>IF(E53="","",ROUND(E53*COEF,-1))</f>
        <v>0</v>
      </c>
      <c r="G53" s="95" t="n">
        <v>40550</v>
      </c>
      <c r="H53" s="102">
        <f>IF(OR(G53="",F53=""),"",F53/G53)</f>
        <v>0</v>
      </c>
      <c r="I53" s="103" t="inlineStr">
        <is>
          <t>6330248-2 チャンバー700×500×500 GW内貼 40,550/個＋取付 8,100/個 → 表面積 1.9m² ≒ 17,500円/m²(原価)</t>
        </is>
      </c>
    </row>
    <row r="54">
      <c r="A54" s="46" t="inlineStr">
        <is>
          <t>FLEX</t>
        </is>
      </c>
      <c r="B54" s="95" t="n">
        <v>40000</v>
      </c>
      <c r="C54" s="176" t="n">
        <v>0.8</v>
      </c>
      <c r="D54" s="95">
        <f>ROUND(C54*LABOR_DAY,0)</f>
        <v>15200</v>
      </c>
      <c r="E54" s="95">
        <f>IF(B54="","",B54+D54)</f>
        <v>55200</v>
      </c>
      <c r="F54" s="95">
        <f>IF(E54="","",ROUND(E54*COEF,-1))</f>
        <v>67340</v>
      </c>
      <c r="G54" s="95" t="n"/>
      <c r="H54" s="102" t="n"/>
      <c r="I54" s="103" t="inlineStr"/>
    </row>
    <row r="55">
      <c r="A55" s="46" t="inlineStr">
        <is>
          <t>HOOD_KITCHEN</t>
        </is>
      </c>
      <c r="B55" s="95" t="n"/>
      <c r="C55" s="176" t="n">
        <v>2</v>
      </c>
      <c r="D55" s="95">
        <f>ROUND(C55*LABOR_DAY,0)</f>
        <v>38000</v>
      </c>
      <c r="E55" s="95" t="str">
        <f>IF(B55="","",B55+D55)</f>
        <v/>
      </c>
      <c r="F55" s="95">
        <f>IF(E55="","",ROUND(E55*COEF,-1))</f>
        <v>0</v>
      </c>
      <c r="G55" s="95" t="n"/>
      <c r="H55" s="102" t="n"/>
      <c r="I55" s="103" t="inlineStr">
        <is>
          <t>SUS厨房フード製作品（外注想定 原価=提出/1.22）</t>
        </is>
      </c>
    </row>
    <row r="56">
      <c r="A56" s="46" t="inlineStr">
        <is>
          <t>AIRFLOW_TEST</t>
        </is>
      </c>
      <c r="B56" s="95" t="n">
        <v>10000</v>
      </c>
      <c r="C56" s="176" t="n">
        <v>4</v>
      </c>
      <c r="D56" s="95">
        <f>ROUND(C56*LABOR_DAY,0)</f>
        <v>76000</v>
      </c>
      <c r="E56" s="95">
        <f>IF(B56="","",B56+D56)</f>
        <v>86000</v>
      </c>
      <c r="F56" s="95">
        <f>IF(E56="","",ROUND(E56*COEF,-1))</f>
        <v>104920</v>
      </c>
      <c r="G56" s="95" t="n"/>
      <c r="H56" s="102" t="n"/>
      <c r="I56" s="103" t="inlineStr">
        <is>
          <t>風量測定・試運転</t>
        </is>
      </c>
    </row>
    <row r="57">
      <c r="A57" s="177" t="inlineStr">
        <is>
          <t>INTAKE</t>
        </is>
      </c>
      <c r="B57" s="178" t="n">
        <v>3000</v>
      </c>
      <c r="C57" s="179" t="n">
        <v>0.1</v>
      </c>
      <c r="D57" s="178">
        <f>ROUND(C57*LABOR_DAY,0)</f>
        <v>1900</v>
      </c>
      <c r="E57" s="178">
        <f>IF(B57="","",B57+D57)</f>
        <v>4900</v>
      </c>
      <c r="F57" s="178">
        <f>IF(E57="","",ROUND(E57*COEF,-1))</f>
        <v>5980</v>
      </c>
      <c r="G57" s="178" t="n"/>
      <c r="H57" s="180" t="n"/>
      <c r="I57" s="181" t="inlineStr">
        <is>
          <t>吸気口 KS-8841PR3-SG 材＋取付</t>
        </is>
      </c>
    </row>
    <row r="59">
      <c r="A59" s="182" t="inlineStr">
        <is>
          <t>参考見積の経費構造</t>
        </is>
      </c>
    </row>
    <row r="60" ht="28" customHeight="1">
      <c r="A60" s="167" t="inlineStr">
        <is>
          <t>部門内経費</t>
        </is>
      </c>
      <c r="B60" s="183" t="inlineStr">
        <is>
          <t>消耗品及び雑材料 2.6%＋資材運搬交通費 3.5%＋現場経費 7.4% ＝ 15.7%（据付・撤去）／ 3.0%＋4.1%＋8.6% ＝ 19.0%（配管・ダクト・電気）</t>
        </is>
      </c>
    </row>
    <row r="61" ht="28" customHeight="1">
      <c r="A61" s="167" t="inlineStr">
        <is>
          <t>工事諸経費</t>
        </is>
      </c>
      <c r="B61" s="183" t="inlineStr">
        <is>
          <t>直接工事費の 5.0%</t>
        </is>
      </c>
    </row>
    <row r="62" ht="28" customHeight="1">
      <c r="A62" s="167" t="inlineStr">
        <is>
          <t>出精値引</t>
        </is>
      </c>
      <c r="B62" s="183" t="inlineStr">
        <is>
          <t>6330247-1 18.4%／6330248-2 35.1%／6330284-1 14.8%／6330539 26.8%／6330549 22.3%／6330558 12.0%／6330476-3 9.9%／6330344-1 24.9%</t>
        </is>
      </c>
    </row>
    <row r="63" ht="28" customHeight="1">
      <c r="A63" s="167" t="inlineStr">
        <is>
          <t>法定福利費</t>
        </is>
      </c>
      <c r="B63" s="183" t="inlineStr">
        <is>
          <t>労務費×16.04%（金額内含で注記）。当社は別項目で 16.375%（令和8年度）</t>
        </is>
      </c>
    </row>
    <row r="64" ht="28" customHeight="1">
      <c r="A64" s="167" t="inlineStr">
        <is>
          <t>据付単価</t>
        </is>
      </c>
      <c r="B64" s="183" t="inlineStr">
        <is>
          <t>搬入据付 21,700/台（6330476-3 11台）・27,860/台（6330558 VRV）・25,000/台（6330284-1 GHP 24台）・12,500/組（6330539 RA）・12,900/台（6330344-1 天吊）</t>
        </is>
      </c>
    </row>
    <row r="65" ht="28" customHeight="1">
      <c r="A65" s="167" t="inlineStr">
        <is>
          <t>配管</t>
        </is>
      </c>
      <c r="B65" s="183" t="inlineStr">
        <is>
          <t>冷媒 9.52+15.88 4,025/m・9.52+25.40 5,475・12.70+25.40 5,675（10t×2）、ペアコイル 6.35+9.52 988、VP25 313/m・VP13 138/m、配管工費 4.6〜5 m/人工（冷媒）・9〜12 m/人工（塩ビ）</t>
        </is>
      </c>
    </row>
    <row r="66" ht="28" customHeight="1">
      <c r="A66" s="167" t="inlineStr">
        <is>
          <t>その他</t>
        </is>
      </c>
      <c r="B66" s="183" t="inlineStr">
        <is>
          <t>リモコン配線 9,630/系統、試運転 10,000〜12,500/系統、気密 15,000〜25,000、真空引き 3,750〜5,640、揚重 93,750〜337,500/式、撤去 18,000〜19,500/台、冷媒回収 18,750〜31,250/式、VVF 203/m・電線施工 約500/m</t>
        </is>
      </c>
    </row>
  </sheetData>
  <mergeCells count="7">
    <mergeCell ref="B62:I62"/>
    <mergeCell ref="B64:I64"/>
    <mergeCell ref="B60:I60"/>
    <mergeCell ref="B66:I66"/>
    <mergeCell ref="B63:I63"/>
    <mergeCell ref="B61:I61"/>
    <mergeCell ref="B65:I65"/>
  </mergeCells>
  <printOptions horizontalCentered="1" gridLines="0"/>
  <pageMargins left="0.4724409448818897" right="0.4724409448818897" top="0.5905511811023622" bottom="0.5905511811023622" header="0.3149606299212598" footer="0.2362204724409449"/>
  <pageSetup orientation="landscape" paperSize="9"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宮地機工株式会社</dc:creator>
  <dc:title>御見積書 （仮称）サンフレッチェ広島　三矢寮新築工事　空調設備工事 換気工事</dc:title>
  <dcterms:created xsi:type="dcterms:W3CDTF">2026-10-06T04:20:35Z</dcterms:created>
  <dcterms:modified xsi:type="dcterms:W3CDTF">2026-10-06T04:20:35Z</dcterms:modified>
</cp:coreProperties>
</file>