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工事)" sheetId="1" state="visible" r:id="rId1"/>
    <sheet name="内訳書(1.空調工事)" sheetId="2" state="visible" r:id="rId2"/>
    <sheet name="内訳書(2.空調追加)" sheetId="3" state="visible" r:id="rId3"/>
    <sheet name="法定福利費内訳明細書" sheetId="4" state="visible" r:id="rId4"/>
    <sheet name="御見積条件" sheetId="5" state="visible" r:id="rId5"/>
    <sheet name="数量拾い根拠(内部)" sheetId="6" state="visible" r:id="rId6"/>
    <sheet name="単価マスタ(内部)" sheetId="7" state="visible" r:id="rId7"/>
  </sheets>
  <definedNames>
    <definedName name="COEF">'表紙(工事)'!$N$4</definedName>
    <definedName name="OVERHEAD_RATE">'表紙(工事)'!$N$5</definedName>
    <definedName name="ROUND_UNIT">'表紙(工事)'!$N$6</definedName>
    <definedName name="WELFARE_RATE">'法定福利費内訳明細書'!$E$26</definedName>
    <definedName name="LABOR_DAY">'表紙(工事)'!$N$8</definedName>
    <definedName name="TARGET">'表紙(工事)'!$N$9</definedName>
    <definedName name="_xlnm.Print_Area" localSheetId="0">'表紙(工事)'!$A$1:$L$37</definedName>
    <definedName name="_xlnm.Print_Titles" localSheetId="1">'内訳書(1.空調工事)'!$1:$3</definedName>
    <definedName name="_xlnm.Print_Area" localSheetId="1">'内訳書(1.空調工事)'!$A$1:$I$58</definedName>
    <definedName name="_xlnm.Print_Titles" localSheetId="2">'内訳書(2.空調追加)'!$1:$3</definedName>
    <definedName name="_xlnm.Print_Area" localSheetId="2">'内訳書(2.空調追加)'!$A$1:$I$34</definedName>
    <definedName name="_xlnm.Print_Area" localSheetId="3">'法定福利費内訳明細書'!$B$1:$G$29</definedName>
    <definedName name="_xlnm.Print_Area" localSheetId="4">'御見積条件'!$A$1:$F$47</definedName>
    <definedName name="_xlnm.Print_Area" localSheetId="5">'数量拾い根拠(内部)'!$A$1:$H$47</definedName>
    <definedName name="_xlnm.Print_Area" localSheetId="6">'単価マスタ(内部)'!$A$1:$I$66</definedName>
  </definedNames>
  <calcPr calcId="124519" fullCalcOnLoad="1"/>
</workbook>
</file>

<file path=xl/styles.xml><?xml version="1.0" encoding="utf-8"?>
<styleSheet xmlns="http://schemas.openxmlformats.org/spreadsheetml/2006/main">
  <numFmts count="10">
    <numFmt numFmtId="164" formatCode="#,##0_ ;[Red]-#,##0_ "/>
    <numFmt numFmtId="165" formatCode="#,##0_ "/>
    <numFmt numFmtId="166" formatCode="0.0%"/>
    <numFmt numFmtId="167" formatCode="#,##0.0"/>
    <numFmt numFmtId="168" formatCode="yyyy&quot;年&quot;m&quot;月&quot;d&quot;日&quot;"/>
    <numFmt numFmtId="169" formatCode="0.000%_ "/>
    <numFmt numFmtId="170" formatCode="yyyy-mm-dd"/>
    <numFmt numFmtId="171" formatCode="0.000%"/>
    <numFmt numFmtId="172" formatCode="&quot;粗利率 &quot;0%"/>
    <numFmt numFmtId="173" formatCode="0.000"/>
  </numFmts>
  <fonts count="20">
    <font>
      <name val="ＭＳ Ｐゴシック"/>
      <charset val="128"/>
      <family val="3"/>
      <sz val="11"/>
    </font>
    <font>
      <name val="ＭＳ Ｐゴシック"/>
      <charset val="128"/>
      <family val="3"/>
      <b val="1"/>
      <sz val="16"/>
    </font>
    <font>
      <name val="ＭＳ Ｐゴシック"/>
      <charset val="128"/>
      <family val="3"/>
      <b val="1"/>
      <color rgb="007F7F7F"/>
      <sz val="11"/>
    </font>
    <font>
      <name val="ＭＳ Ｐゴシック"/>
      <charset val="128"/>
      <family val="3"/>
      <color rgb="007F7F7F"/>
      <sz val="9"/>
    </font>
    <font>
      <name val="ＭＳ Ｐゴシック"/>
      <charset val="128"/>
      <family val="3"/>
      <b val="1"/>
      <sz val="11"/>
    </font>
    <font>
      <name val="ＭＳ Ｐゴシック"/>
      <charset val="128"/>
      <family val="3"/>
      <b val="1"/>
      <sz val="10"/>
    </font>
    <font>
      <name val="ＭＳ Ｐゴシック"/>
      <charset val="128"/>
      <family val="3"/>
      <sz val="10"/>
    </font>
    <font>
      <name val="ＭＳ Ｐゴシック"/>
      <charset val="128"/>
      <family val="3"/>
      <sz val="9"/>
    </font>
    <font>
      <name val="ＭＳ Ｐゴシック"/>
      <charset val="128"/>
      <family val="3"/>
      <b val="1"/>
      <color rgb="00C00000"/>
      <sz val="16"/>
    </font>
    <font>
      <name val="ＭＳ Ｐゴシック"/>
      <charset val="128"/>
      <family val="3"/>
      <color rgb="00C00000"/>
      <sz val="11"/>
    </font>
    <font>
      <name val="ＭＳ Ｐゴシック"/>
      <charset val="128"/>
      <family val="3"/>
      <b val="1"/>
      <color rgb="00C00000"/>
      <sz val="11"/>
    </font>
    <font>
      <name val="ＭＳ Ｐゴシック"/>
      <charset val="128"/>
      <family val="3"/>
      <b val="1"/>
      <color rgb="00C00000"/>
      <sz val="10"/>
    </font>
    <font>
      <name val="ＭＳ Ｐゴシック"/>
      <charset val="128"/>
      <family val="3"/>
      <color rgb="00C00000"/>
      <sz val="10"/>
    </font>
    <font>
      <name val="ＭＳ Ｐゴシック"/>
      <charset val="128"/>
      <family val="3"/>
      <b val="1"/>
      <sz val="14"/>
    </font>
    <font>
      <name val="ＭＳ Ｐゴシック"/>
      <charset val="128"/>
      <family val="3"/>
      <b val="1"/>
      <sz val="20"/>
    </font>
    <font>
      <name val="ＭＳ Ｐゴシック"/>
      <charset val="128"/>
      <family val="3"/>
      <sz val="14"/>
    </font>
    <font>
      <name val="ＭＳ Ｐゴシック"/>
      <charset val="128"/>
      <family val="3"/>
      <sz val="12"/>
    </font>
    <font>
      <name val="ＭＳ Ｐゴシック"/>
      <charset val="128"/>
      <family val="3"/>
      <b val="1"/>
      <sz val="12"/>
    </font>
    <font>
      <name val="ＭＳ Ｐゴシック"/>
      <charset val="128"/>
      <family val="3"/>
      <sz val="9.5"/>
    </font>
    <font>
      <name val="ＭＳ Ｐゴシック"/>
      <charset val="128"/>
      <family val="3"/>
      <color rgb="007F7F7F"/>
      <sz val="10"/>
    </font>
  </fonts>
  <fills count="6">
    <fill>
      <patternFill/>
    </fill>
    <fill>
      <patternFill patternType="gray125"/>
    </fill>
    <fill>
      <patternFill patternType="solid">
        <fgColor rgb="00D9D9D9"/>
      </patternFill>
    </fill>
    <fill>
      <patternFill patternType="solid">
        <fgColor rgb="00FFF2CC"/>
      </patternFill>
    </fill>
    <fill>
      <patternFill patternType="solid">
        <fgColor rgb="00FDE9E9"/>
      </patternFill>
    </fill>
    <fill>
      <patternFill patternType="solid">
        <fgColor rgb="00F2F2F2"/>
      </patternFill>
    </fill>
  </fills>
  <borders count="36">
    <border>
      <left/>
      <right/>
      <top/>
      <bottom/>
      <diagonal/>
    </border>
    <border>
      <left style="medium">
        <color rgb="00000000"/>
      </left>
      <right style="thin">
        <color rgb="00000000"/>
      </right>
      <top style="medium">
        <color rgb="00000000"/>
      </top>
      <bottom style="hair">
        <color rgb="00000000"/>
      </bottom>
    </border>
    <border>
      <left style="thin">
        <color rgb="00000000"/>
      </left>
      <right style="thin">
        <color rgb="00000000"/>
      </right>
      <top style="medium">
        <color rgb="00000000"/>
      </top>
      <bottom style="hair">
        <color rgb="00000000"/>
      </bottom>
    </border>
    <border>
      <left style="thin">
        <color rgb="00000000"/>
      </left>
      <right style="medium">
        <color rgb="00000000"/>
      </right>
      <top style="medium">
        <color rgb="00000000"/>
      </top>
      <bottom style="hair">
        <color rgb="00000000"/>
      </bottom>
    </border>
    <border>
      <left style="medium">
        <color rgb="00000000"/>
      </left>
      <right style="thin">
        <color rgb="00000000"/>
      </right>
      <top style="hair">
        <color rgb="00000000"/>
      </top>
      <bottom style="hair">
        <color rgb="00000000"/>
      </bottom>
    </border>
    <border>
      <left style="thin">
        <color rgb="00000000"/>
      </left>
      <right style="thin">
        <color rgb="00000000"/>
      </right>
      <top style="hair">
        <color rgb="00000000"/>
      </top>
      <bottom style="hair">
        <color rgb="00000000"/>
      </bottom>
    </border>
    <border>
      <left style="thin">
        <color rgb="00000000"/>
      </left>
      <right style="medium">
        <color rgb="00000000"/>
      </right>
      <top style="hair">
        <color rgb="00000000"/>
      </top>
      <bottom style="hair">
        <color rgb="00000000"/>
      </bottom>
    </border>
    <border>
      <left style="medium">
        <color rgb="00000000"/>
      </left>
      <right style="thin">
        <color rgb="00000000"/>
      </right>
      <top style="hair">
        <color rgb="00000000"/>
      </top>
      <bottom style="medium">
        <color rgb="00000000"/>
      </bottom>
    </border>
    <border>
      <left style="thin">
        <color rgb="00000000"/>
      </left>
      <right style="thin">
        <color rgb="00000000"/>
      </right>
      <top style="hair">
        <color rgb="00000000"/>
      </top>
      <bottom style="medium">
        <color rgb="00000000"/>
      </bottom>
    </border>
    <border>
      <left style="thin">
        <color rgb="00000000"/>
      </left>
      <right style="medium">
        <color rgb="00000000"/>
      </right>
      <top style="hair">
        <color rgb="00000000"/>
      </top>
      <bottom style="medium">
        <color rgb="00000000"/>
      </bottom>
    </border>
    <border>
      <left style="thin">
        <color rgb="00000000"/>
      </left>
      <right style="thin">
        <color rgb="00000000"/>
      </right>
      <top style="thin">
        <color rgb="00000000"/>
      </top>
      <bottom style="hair">
        <color rgb="00000000"/>
      </bottom>
    </border>
    <border>
      <left style="thin">
        <color rgb="00000000"/>
      </left>
      <right style="thin">
        <color rgb="00000000"/>
      </right>
      <top style="hair">
        <color rgb="00000000"/>
      </top>
      <bottom style="thin">
        <color rgb="00000000"/>
      </bottom>
    </border>
    <border>
      <left style="medium">
        <color rgb="00000000"/>
      </left>
      <right style="thin">
        <color rgb="00000000"/>
      </right>
      <top style="medium">
        <color rgb="00000000"/>
      </top>
      <bottom style="thin">
        <color rgb="00000000"/>
      </bottom>
    </border>
    <border>
      <left style="medium">
        <color rgb="00000000"/>
      </left>
      <right style="thin">
        <color rgb="00000000"/>
      </right>
      <top style="thin">
        <color rgb="00000000"/>
      </top>
      <bottom style="hair">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thin">
        <color rgb="00000000"/>
      </left>
      <right style="medium">
        <color rgb="00000000"/>
      </right>
      <top style="thin">
        <color rgb="00000000"/>
      </top>
      <bottom style="hair">
        <color rgb="00000000"/>
      </bottom>
    </border>
    <border>
      <left style="thin">
        <color rgb="00000000"/>
      </left>
      <right style="thin">
        <color rgb="00000000"/>
      </right>
      <top style="thin">
        <color rgb="00000000"/>
      </top>
      <bottom style="thin">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double">
        <color rgb="00000000"/>
      </top>
      <bottom style="medium">
        <color rgb="00000000"/>
      </bottom>
    </border>
    <border>
      <left style="medium">
        <color rgb="00000000"/>
      </left>
      <right style="thin">
        <color rgb="00000000"/>
      </right>
      <top style="thin">
        <color rgb="00000000"/>
      </top>
      <bottom style="double">
        <color rgb="00000000"/>
      </bottom>
    </border>
    <border>
      <left style="thin">
        <color rgb="00000000"/>
      </left>
      <right style="thin">
        <color rgb="00000000"/>
      </right>
      <top style="double">
        <color rgb="00000000"/>
      </top>
      <bottom style="medium">
        <color rgb="00000000"/>
      </bottom>
    </border>
    <border>
      <left style="thin">
        <color rgb="00000000"/>
      </left>
      <right style="thin">
        <color rgb="00000000"/>
      </right>
      <top style="thin">
        <color rgb="00000000"/>
      </top>
      <bottom style="double">
        <color rgb="00000000"/>
      </bottom>
    </border>
    <border>
      <left style="thin">
        <color rgb="00000000"/>
      </left>
      <right style="medium">
        <color rgb="00000000"/>
      </right>
      <top style="double">
        <color rgb="00000000"/>
      </top>
      <bottom style="medium">
        <color rgb="00000000"/>
      </bottom>
    </border>
    <border>
      <left style="thin">
        <color rgb="00000000"/>
      </left>
      <right style="medium">
        <color rgb="00000000"/>
      </right>
      <top style="thin">
        <color rgb="00000000"/>
      </top>
      <bottom style="double">
        <color rgb="00000000"/>
      </bottom>
    </border>
    <border>
      <left/>
      <right/>
      <top/>
      <bottom style="thin">
        <color rgb="00000000"/>
      </bottom>
    </border>
    <border>
      <left/>
      <right/>
      <top style="thin">
        <color rgb="00000000"/>
      </top>
      <bottom/>
    </border>
    <border>
      <left/>
      <right/>
      <top/>
      <bottom style="double">
        <color rgb="00000000"/>
      </bottom>
    </border>
    <border>
      <left/>
      <right/>
      <top style="double">
        <color rgb="00000000"/>
      </top>
      <bottom/>
    </border>
  </borders>
  <cellStyleXfs count="1">
    <xf numFmtId="0" fontId="0" fillId="0" borderId="0"/>
  </cellStyleXfs>
  <cellXfs count="186">
    <xf numFmtId="0" fontId="0" fillId="0" borderId="0" pivotButton="0" quotePrefix="0" xfId="0"/>
    <xf numFmtId="0" fontId="14"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32" applyAlignment="1" pivotButton="0" quotePrefix="0" xfId="0">
      <alignment horizontal="center" vertical="center"/>
    </xf>
    <xf numFmtId="0" fontId="0" fillId="0" borderId="32" pivotButton="0" quotePrefix="0" xfId="0"/>
    <xf numFmtId="0" fontId="2" fillId="2" borderId="17" applyAlignment="1" pivotButton="0" quotePrefix="0" xfId="0">
      <alignment vertical="center"/>
    </xf>
    <xf numFmtId="0" fontId="0" fillId="2" borderId="17" applyAlignment="1" pivotButton="0" quotePrefix="0" xfId="0">
      <alignment vertical="center"/>
    </xf>
    <xf numFmtId="168" fontId="0" fillId="0" borderId="0" applyAlignment="1" pivotButton="0" quotePrefix="0" xfId="0">
      <alignment horizontal="right" vertical="center"/>
    </xf>
    <xf numFmtId="0" fontId="19" fillId="2" borderId="17" applyAlignment="1" pivotButton="0" quotePrefix="0" xfId="0">
      <alignment vertical="center" shrinkToFit="1"/>
    </xf>
    <xf numFmtId="2" fontId="0" fillId="3" borderId="17" applyAlignment="1" pivotButton="0" quotePrefix="0" xfId="0">
      <alignment horizontal="right" vertical="center"/>
    </xf>
    <xf numFmtId="0" fontId="15" fillId="0" borderId="32" applyAlignment="1" pivotButton="0" quotePrefix="0" xfId="0">
      <alignment horizontal="center" vertical="center"/>
    </xf>
    <xf numFmtId="0" fontId="16" fillId="0" borderId="0" applyAlignment="1" pivotButton="0" quotePrefix="0" xfId="0">
      <alignment horizontal="left" vertical="center"/>
    </xf>
    <xf numFmtId="9" fontId="0" fillId="3" borderId="17" applyAlignment="1" pivotButton="0" quotePrefix="0" xfId="0">
      <alignment horizontal="right" vertical="center"/>
    </xf>
    <xf numFmtId="0" fontId="0" fillId="0" borderId="33" pivotButton="0" quotePrefix="0" xfId="0"/>
    <xf numFmtId="3" fontId="0" fillId="3" borderId="17" applyAlignment="1" pivotButton="0" quotePrefix="0" xfId="0">
      <alignment horizontal="right" vertical="center"/>
    </xf>
    <xf numFmtId="0" fontId="16" fillId="0" borderId="0" applyAlignment="1" pivotButton="0" quotePrefix="0" xfId="0">
      <alignment horizontal="center" vertical="center"/>
    </xf>
    <xf numFmtId="0" fontId="13" fillId="0" borderId="34" applyAlignment="1" pivotButton="0" quotePrefix="0" xfId="0">
      <alignment horizontal="center" vertical="center"/>
    </xf>
    <xf numFmtId="0" fontId="0" fillId="0" borderId="34" pivotButton="0" quotePrefix="0" xfId="0"/>
    <xf numFmtId="0" fontId="0" fillId="0" borderId="0" applyAlignment="1" pivotButton="0" quotePrefix="0" xfId="0">
      <alignment horizontal="left" vertical="center"/>
    </xf>
    <xf numFmtId="0" fontId="17" fillId="0" borderId="0" applyAlignment="1" pivotButton="0" quotePrefix="0" xfId="0">
      <alignment vertical="center"/>
    </xf>
    <xf numFmtId="171" fontId="0" fillId="0" borderId="17" applyAlignment="1" pivotButton="0" quotePrefix="0" xfId="0">
      <alignment horizontal="right" vertical="center"/>
    </xf>
    <xf numFmtId="0" fontId="0" fillId="0" borderId="35" pivotButton="0" quotePrefix="0" xfId="0"/>
    <xf numFmtId="0" fontId="0" fillId="0" borderId="0" applyAlignment="1" pivotButton="0" quotePrefix="0" xfId="0">
      <alignment vertical="center"/>
    </xf>
    <xf numFmtId="3" fontId="0" fillId="0" borderId="17" applyAlignment="1" pivotButton="0" quotePrefix="0" xfId="0">
      <alignment horizontal="right" vertical="center"/>
    </xf>
    <xf numFmtId="0" fontId="3" fillId="0" borderId="0" applyAlignment="1" pivotButton="0" quotePrefix="0" xfId="0">
      <alignment vertical="center"/>
    </xf>
    <xf numFmtId="0" fontId="0" fillId="0" borderId="0" applyAlignment="1" pivotButton="0" quotePrefix="0" xfId="0">
      <alignment horizontal="distributed" vertical="center" indent="1"/>
    </xf>
    <xf numFmtId="0" fontId="0" fillId="0" borderId="0" applyAlignment="1" pivotButton="0" quotePrefix="0" xfId="0">
      <alignment vertical="center" shrinkToFit="1"/>
    </xf>
    <xf numFmtId="0" fontId="6" fillId="0" borderId="0" applyAlignment="1" pivotButton="0" quotePrefix="0" xfId="0">
      <alignment vertical="center" shrinkToFit="1"/>
    </xf>
    <xf numFmtId="0" fontId="6" fillId="2" borderId="12" applyAlignment="1" pivotButton="0" quotePrefix="0" xfId="0">
      <alignment horizontal="center" vertical="center" shrinkToFit="1"/>
    </xf>
    <xf numFmtId="0" fontId="0" fillId="2" borderId="14" applyAlignment="1" pivotButton="0" quotePrefix="0" xfId="0">
      <alignment horizontal="center" vertical="center" shrinkToFit="1"/>
    </xf>
    <xf numFmtId="0" fontId="0" fillId="2" borderId="14" pivotButton="0" quotePrefix="0" xfId="0"/>
    <xf numFmtId="0" fontId="6" fillId="2" borderId="14" applyAlignment="1" pivotButton="0" quotePrefix="0" xfId="0">
      <alignment horizontal="center" vertical="center" shrinkToFit="1"/>
    </xf>
    <xf numFmtId="0" fontId="0" fillId="2" borderId="15" applyAlignment="1" pivotButton="0" quotePrefix="0" xfId="0">
      <alignment horizontal="center" vertical="center" shrinkToFit="1"/>
    </xf>
    <xf numFmtId="0" fontId="19" fillId="2" borderId="17" applyAlignment="1" pivotButton="0" quotePrefix="0" xfId="0">
      <alignment horizontal="center" vertical="center" shrinkToFit="1"/>
    </xf>
    <xf numFmtId="0" fontId="0" fillId="0" borderId="21" pivotButton="0" quotePrefix="0" xfId="0"/>
    <xf numFmtId="0" fontId="0" fillId="0" borderId="17" applyAlignment="1" pivotButton="0" quotePrefix="0" xfId="0">
      <alignment horizontal="left" vertical="center" shrinkToFit="1" indent="1"/>
    </xf>
    <xf numFmtId="0" fontId="0" fillId="0" borderId="17" pivotButton="0" quotePrefix="0" xfId="0"/>
    <xf numFmtId="0" fontId="0" fillId="0" borderId="22" pivotButton="0" quotePrefix="0" xfId="0"/>
    <xf numFmtId="0" fontId="0" fillId="0" borderId="10" pivotButton="0" quotePrefix="0" xfId="0"/>
    <xf numFmtId="0" fontId="6" fillId="0" borderId="17" applyAlignment="1" pivotButton="0" quotePrefix="0" xfId="0">
      <alignment horizontal="left" vertical="center" shrinkToFit="1" indent="1"/>
    </xf>
    <xf numFmtId="0" fontId="0" fillId="0" borderId="5" pivotButton="0" quotePrefix="0" xfId="0"/>
    <xf numFmtId="0" fontId="0" fillId="0" borderId="21" applyAlignment="1" pivotButton="0" quotePrefix="0" xfId="0">
      <alignment horizontal="center" vertical="center"/>
    </xf>
    <xf numFmtId="165" fontId="0" fillId="0" borderId="17" applyAlignment="1" pivotButton="0" quotePrefix="0" xfId="0">
      <alignment horizontal="right" vertical="center"/>
    </xf>
    <xf numFmtId="0" fontId="0" fillId="0" borderId="17" applyAlignment="1" pivotButton="0" quotePrefix="0" xfId="0">
      <alignment horizontal="center" vertical="center"/>
    </xf>
    <xf numFmtId="164" fontId="0" fillId="0" borderId="17" applyAlignment="1" pivotButton="0" quotePrefix="0" xfId="0">
      <alignment horizontal="right" vertical="center"/>
    </xf>
    <xf numFmtId="0" fontId="6" fillId="0" borderId="22" applyAlignment="1" pivotButton="0" quotePrefix="0" xfId="0">
      <alignment horizontal="center" vertical="center" shrinkToFit="1"/>
    </xf>
    <xf numFmtId="0" fontId="6" fillId="0" borderId="5" applyAlignment="1" pivotButton="0" quotePrefix="0" xfId="0">
      <alignment vertical="center"/>
    </xf>
    <xf numFmtId="164" fontId="0" fillId="0" borderId="5" applyAlignment="1" pivotButton="0" quotePrefix="0" xfId="0">
      <alignment horizontal="right" vertical="center"/>
    </xf>
    <xf numFmtId="166" fontId="0" fillId="0" borderId="5" applyAlignment="1" pivotButton="0" quotePrefix="0" xfId="0">
      <alignment horizontal="right" vertical="center"/>
    </xf>
    <xf numFmtId="0" fontId="9" fillId="0" borderId="21" applyAlignment="1" pivotButton="0" quotePrefix="0" xfId="0">
      <alignment horizontal="center" vertical="center"/>
    </xf>
    <xf numFmtId="0" fontId="9" fillId="0" borderId="17" applyAlignment="1" pivotButton="0" quotePrefix="0" xfId="0">
      <alignment horizontal="left" vertical="center" shrinkToFit="1" indent="1"/>
    </xf>
    <xf numFmtId="165" fontId="9" fillId="0" borderId="17" applyAlignment="1" pivotButton="0" quotePrefix="0" xfId="0">
      <alignment horizontal="right" vertical="center"/>
    </xf>
    <xf numFmtId="0" fontId="9" fillId="0" borderId="17" applyAlignment="1" pivotButton="0" quotePrefix="0" xfId="0">
      <alignment horizontal="center" vertical="center"/>
    </xf>
    <xf numFmtId="164" fontId="9" fillId="0" borderId="17" applyAlignment="1" pivotButton="0" quotePrefix="0" xfId="0">
      <alignment horizontal="right" vertical="center"/>
    </xf>
    <xf numFmtId="0" fontId="12" fillId="0" borderId="22" applyAlignment="1" pivotButton="0" quotePrefix="0" xfId="0">
      <alignment horizontal="center" vertical="center" shrinkToFit="1"/>
    </xf>
    <xf numFmtId="0" fontId="6" fillId="0" borderId="5" applyAlignment="1" pivotButton="0" quotePrefix="0" xfId="0">
      <alignment vertical="center" shrinkToFit="1"/>
    </xf>
    <xf numFmtId="165" fontId="0" fillId="0" borderId="5" applyAlignment="1" pivotButton="0" quotePrefix="0" xfId="0">
      <alignment horizontal="right" vertical="center"/>
    </xf>
    <xf numFmtId="0" fontId="0" fillId="0" borderId="27" pivotButton="0" quotePrefix="0" xfId="0"/>
    <xf numFmtId="0" fontId="0" fillId="0" borderId="29" applyAlignment="1" pivotButton="0" quotePrefix="0" xfId="0">
      <alignment horizontal="left" vertical="center" indent="1"/>
    </xf>
    <xf numFmtId="0" fontId="0" fillId="0" borderId="29" pivotButton="0" quotePrefix="0" xfId="0"/>
    <xf numFmtId="164" fontId="0" fillId="0" borderId="29" applyAlignment="1" pivotButton="0" quotePrefix="0" xfId="0">
      <alignment horizontal="right" vertical="center"/>
    </xf>
    <xf numFmtId="0" fontId="6" fillId="0" borderId="31" applyAlignment="1" pivotButton="0" quotePrefix="0" xfId="0">
      <alignment horizontal="center" vertical="center"/>
    </xf>
    <xf numFmtId="0" fontId="6" fillId="0" borderId="11" applyAlignment="1" pivotButton="0" quotePrefix="0" xfId="0">
      <alignment vertical="center" shrinkToFit="1"/>
    </xf>
    <xf numFmtId="165" fontId="0" fillId="0" borderId="11" applyAlignment="1" pivotButton="0" quotePrefix="0" xfId="0">
      <alignment horizontal="right" vertical="center"/>
    </xf>
    <xf numFmtId="0" fontId="0" fillId="0" borderId="11" pivotButton="0" quotePrefix="0" xfId="0"/>
    <xf numFmtId="164" fontId="0" fillId="0" borderId="11" applyAlignment="1" pivotButton="0" quotePrefix="0" xfId="0">
      <alignment horizontal="right" vertical="center"/>
    </xf>
    <xf numFmtId="0" fontId="0" fillId="0" borderId="26" pivotButton="0" quotePrefix="0" xfId="0"/>
    <xf numFmtId="0" fontId="4" fillId="0" borderId="28" applyAlignment="1" pivotButton="0" quotePrefix="0" xfId="0">
      <alignment horizontal="left" vertical="center" indent="1"/>
    </xf>
    <xf numFmtId="0" fontId="0" fillId="0" borderId="28" pivotButton="0" quotePrefix="0" xfId="0"/>
    <xf numFmtId="165" fontId="4" fillId="0" borderId="28" applyAlignment="1" pivotButton="0" quotePrefix="0" xfId="0">
      <alignment horizontal="right" vertical="center"/>
    </xf>
    <xf numFmtId="0" fontId="6" fillId="0" borderId="30" applyAlignment="1" pivotButton="0" quotePrefix="0" xfId="0">
      <alignment horizontal="center" vertical="center"/>
    </xf>
    <xf numFmtId="0" fontId="5" fillId="0" borderId="17" applyAlignment="1" pivotButton="0" quotePrefix="0" xfId="0">
      <alignment vertical="center" shrinkToFit="1"/>
    </xf>
    <xf numFmtId="165" fontId="4" fillId="0" borderId="17" applyAlignment="1" pivotButton="0" quotePrefix="0" xfId="0">
      <alignment horizontal="right" vertical="center"/>
    </xf>
    <xf numFmtId="166" fontId="4" fillId="0" borderId="17" applyAlignment="1" pivotButton="0" quotePrefix="0" xfId="0">
      <alignment horizontal="right" vertical="center"/>
    </xf>
    <xf numFmtId="0" fontId="18" fillId="0" borderId="0" applyAlignment="1" pivotButton="0" quotePrefix="0" xfId="0">
      <alignment horizontal="center" vertical="top"/>
    </xf>
    <xf numFmtId="0" fontId="18" fillId="0" borderId="0" applyAlignment="1" pivotButton="0" quotePrefix="0" xfId="0">
      <alignment vertical="top" wrapText="1"/>
    </xf>
    <xf numFmtId="0" fontId="19" fillId="2" borderId="17" applyAlignment="1" pivotButton="0" quotePrefix="0" xfId="0">
      <alignment horizontal="center" vertical="center"/>
    </xf>
    <xf numFmtId="172" fontId="0" fillId="0" borderId="17" applyAlignment="1" pivotButton="0" quotePrefix="0" xfId="0">
      <alignment horizontal="center" vertical="center"/>
    </xf>
    <xf numFmtId="173" fontId="0" fillId="0" borderId="17" applyAlignment="1" pivotButton="0" quotePrefix="0" xfId="0">
      <alignment horizontal="right" vertical="center"/>
    </xf>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0" fillId="2" borderId="12" applyAlignment="1" pivotButton="0" quotePrefix="0" xfId="0">
      <alignment horizontal="center" vertical="center"/>
    </xf>
    <xf numFmtId="0" fontId="0" fillId="2" borderId="14" applyAlignment="1" pivotButton="0" quotePrefix="0" xfId="0">
      <alignment horizontal="center" vertical="center"/>
    </xf>
    <xf numFmtId="0" fontId="0" fillId="2" borderId="15" applyAlignment="1" pivotButton="0" quotePrefix="0" xfId="0">
      <alignment horizontal="center" vertical="center"/>
    </xf>
    <xf numFmtId="0" fontId="3" fillId="2" borderId="17" applyAlignment="1" pivotButton="0" quotePrefix="0" xfId="0">
      <alignment horizontal="center" vertical="center" shrinkToFit="1"/>
    </xf>
    <xf numFmtId="0" fontId="4" fillId="0" borderId="13" applyAlignment="1" pivotButton="0" quotePrefix="0" xfId="0">
      <alignment vertical="center" shrinkToFit="1"/>
    </xf>
    <xf numFmtId="0" fontId="0" fillId="0" borderId="16" pivotButton="0" quotePrefix="0" xfId="0"/>
    <xf numFmtId="0" fontId="0" fillId="0" borderId="4" pivotButton="0" quotePrefix="0" xfId="0"/>
    <xf numFmtId="0" fontId="0" fillId="0" borderId="6" pivotButton="0" quotePrefix="0" xfId="0"/>
    <xf numFmtId="0" fontId="5" fillId="0" borderId="4" applyAlignment="1" pivotButton="0" quotePrefix="0" xfId="0">
      <alignment vertical="center" shrinkToFit="1"/>
    </xf>
    <xf numFmtId="0" fontId="6" fillId="0" borderId="4" applyAlignment="1" pivotButton="0" quotePrefix="0" xfId="0">
      <alignment vertical="center" shrinkToFit="1"/>
    </xf>
    <xf numFmtId="0" fontId="6" fillId="0" borderId="5" applyAlignment="1" pivotButton="0" quotePrefix="0" xfId="0">
      <alignment horizontal="left" vertical="center" shrinkToFit="1" indent="1"/>
    </xf>
    <xf numFmtId="164" fontId="6" fillId="0" borderId="5" applyAlignment="1" pivotButton="0" quotePrefix="0" xfId="0">
      <alignment horizontal="right" vertical="center"/>
    </xf>
    <xf numFmtId="0" fontId="6" fillId="0" borderId="5" applyAlignment="1" pivotButton="0" quotePrefix="0" xfId="0">
      <alignment horizontal="center" vertical="center"/>
    </xf>
    <xf numFmtId="165" fontId="6" fillId="0" borderId="5" applyAlignment="1" pivotButton="0" quotePrefix="0" xfId="0">
      <alignment horizontal="right" vertical="center"/>
    </xf>
    <xf numFmtId="0" fontId="6" fillId="0" borderId="6" applyAlignment="1" pivotButton="0" quotePrefix="0" xfId="0">
      <alignment horizontal="center" vertical="center" shrinkToFit="1"/>
    </xf>
    <xf numFmtId="165" fontId="6" fillId="3" borderId="5" applyAlignment="1" pivotButton="0" quotePrefix="0" xfId="0">
      <alignment horizontal="right" vertical="center"/>
    </xf>
    <xf numFmtId="2" fontId="6" fillId="3" borderId="5" applyAlignment="1" pivotButton="0" quotePrefix="0" xfId="0">
      <alignment horizontal="right" vertical="center"/>
    </xf>
    <xf numFmtId="2" fontId="6" fillId="3" borderId="5" applyAlignment="1" pivotButton="0" quotePrefix="0" xfId="0">
      <alignment horizontal="center" vertical="center"/>
    </xf>
    <xf numFmtId="0" fontId="7" fillId="0" borderId="5" applyAlignment="1" pivotButton="0" quotePrefix="0" xfId="0">
      <alignment horizontal="center" vertical="center" shrinkToFit="1"/>
    </xf>
    <xf numFmtId="166" fontId="6" fillId="0" borderId="5" applyAlignment="1" pivotButton="0" quotePrefix="0" xfId="0">
      <alignment horizontal="right" vertical="center"/>
    </xf>
    <xf numFmtId="9" fontId="6" fillId="0" borderId="5" applyAlignment="1" pivotButton="0" quotePrefix="0" xfId="0">
      <alignment horizontal="right" vertical="center"/>
    </xf>
    <xf numFmtId="0" fontId="7" fillId="0" borderId="5" applyAlignment="1" pivotButton="0" quotePrefix="0" xfId="0">
      <alignment vertical="center"/>
    </xf>
    <xf numFmtId="0" fontId="7" fillId="4" borderId="5" applyAlignment="1" pivotButton="0" quotePrefix="0" xfId="0">
      <alignment horizontal="center" vertical="center" shrinkToFit="1"/>
    </xf>
    <xf numFmtId="0" fontId="6" fillId="0" borderId="4" applyAlignment="1" pivotButton="0" quotePrefix="0" xfId="0">
      <alignment vertical="center" wrapText="1"/>
    </xf>
    <xf numFmtId="0" fontId="0" fillId="0" borderId="7" pivotButton="0" quotePrefix="0" xfId="0"/>
    <xf numFmtId="0" fontId="0" fillId="0" borderId="8" pivotButton="0" quotePrefix="0" xfId="0"/>
    <xf numFmtId="0" fontId="0" fillId="0" borderId="9" pivotButton="0" quotePrefix="0" xfId="0"/>
    <xf numFmtId="0" fontId="4" fillId="0" borderId="18" applyAlignment="1" pivotButton="0" quotePrefix="0" xfId="0">
      <alignment horizontal="center" vertical="center"/>
    </xf>
    <xf numFmtId="0" fontId="0" fillId="0" borderId="19" pivotButton="0" quotePrefix="0" xfId="0"/>
    <xf numFmtId="164" fontId="4" fillId="0" borderId="19" applyAlignment="1" pivotButton="0" quotePrefix="0" xfId="0">
      <alignment horizontal="right" vertical="center"/>
    </xf>
    <xf numFmtId="0" fontId="0" fillId="0" borderId="20" pivotButton="0" quotePrefix="0" xfId="0"/>
    <xf numFmtId="0" fontId="0" fillId="0" borderId="14" pivotButton="0" quotePrefix="0" xfId="0"/>
    <xf numFmtId="167" fontId="4" fillId="0" borderId="14" applyAlignment="1" pivotButton="0" quotePrefix="0" xfId="0">
      <alignment horizontal="right" vertical="center"/>
    </xf>
    <xf numFmtId="164" fontId="4" fillId="0" borderId="14" applyAlignment="1" pivotButton="0" quotePrefix="0" xfId="0">
      <alignment horizontal="right" vertical="center"/>
    </xf>
    <xf numFmtId="166" fontId="4" fillId="0" borderId="14" applyAlignment="1" pivotButton="0" quotePrefix="0" xfId="0">
      <alignment horizontal="right" vertical="center"/>
    </xf>
    <xf numFmtId="0" fontId="8" fillId="0" borderId="0" applyAlignment="1" pivotButton="0" quotePrefix="0" xfId="0">
      <alignment horizontal="center" vertical="center"/>
    </xf>
    <xf numFmtId="0" fontId="9" fillId="0" borderId="0" applyAlignment="1" pivotButton="0" quotePrefix="0" xfId="0">
      <alignment vertical="center"/>
    </xf>
    <xf numFmtId="0" fontId="9" fillId="0" borderId="0" applyAlignment="1" pivotButton="0" quotePrefix="0" xfId="0">
      <alignment horizontal="right" vertical="center"/>
    </xf>
    <xf numFmtId="0" fontId="10" fillId="0" borderId="13" applyAlignment="1" pivotButton="0" quotePrefix="0" xfId="0">
      <alignment vertical="center" shrinkToFit="1"/>
    </xf>
    <xf numFmtId="0" fontId="11" fillId="0" borderId="4" applyAlignment="1" pivotButton="0" quotePrefix="0" xfId="0">
      <alignment vertical="center" shrinkToFit="1"/>
    </xf>
    <xf numFmtId="0" fontId="12" fillId="0" borderId="4" applyAlignment="1" pivotButton="0" quotePrefix="0" xfId="0">
      <alignment vertical="center" shrinkToFit="1"/>
    </xf>
    <xf numFmtId="0" fontId="12" fillId="0" borderId="5" applyAlignment="1" pivotButton="0" quotePrefix="0" xfId="0">
      <alignment horizontal="left" vertical="center" shrinkToFit="1" indent="1"/>
    </xf>
    <xf numFmtId="164" fontId="12" fillId="0" borderId="5" applyAlignment="1" pivotButton="0" quotePrefix="0" xfId="0">
      <alignment horizontal="right" vertical="center"/>
    </xf>
    <xf numFmtId="0" fontId="12" fillId="0" borderId="5" applyAlignment="1" pivotButton="0" quotePrefix="0" xfId="0">
      <alignment horizontal="center" vertical="center"/>
    </xf>
    <xf numFmtId="165" fontId="12" fillId="0" borderId="5" applyAlignment="1" pivotButton="0" quotePrefix="0" xfId="0">
      <alignment horizontal="right" vertical="center"/>
    </xf>
    <xf numFmtId="0" fontId="12" fillId="0" borderId="6" applyAlignment="1" pivotButton="0" quotePrefix="0" xfId="0">
      <alignment horizontal="center" vertical="center" shrinkToFit="1"/>
    </xf>
    <xf numFmtId="0" fontId="10" fillId="0" borderId="18" applyAlignment="1" pivotButton="0" quotePrefix="0" xfId="0">
      <alignment horizontal="center" vertical="center"/>
    </xf>
    <xf numFmtId="164" fontId="10" fillId="0" borderId="19" applyAlignment="1" pivotButton="0" quotePrefix="0" xfId="0">
      <alignment horizontal="right" vertical="center"/>
    </xf>
    <xf numFmtId="0" fontId="13" fillId="0" borderId="0" applyAlignment="1" pivotButton="0" quotePrefix="0" xfId="0">
      <alignment horizontal="center" vertical="center"/>
    </xf>
    <xf numFmtId="0" fontId="6" fillId="0" borderId="0" applyAlignment="1" pivotButton="0" quotePrefix="0" xfId="0">
      <alignment horizontal="center" vertical="center"/>
    </xf>
    <xf numFmtId="0" fontId="0" fillId="5" borderId="17" applyAlignment="1" pivotButton="0" quotePrefix="0" xfId="0">
      <alignment horizontal="left" vertical="center" indent="1"/>
    </xf>
    <xf numFmtId="168" fontId="0" fillId="0" borderId="17" applyAlignment="1" pivotButton="0" quotePrefix="0" xfId="0">
      <alignment horizontal="left" vertical="center" indent="1"/>
    </xf>
    <xf numFmtId="0" fontId="0" fillId="0" borderId="17" applyAlignment="1" pivotButton="0" quotePrefix="0" xfId="0">
      <alignment horizontal="left" vertical="center" indent="1"/>
    </xf>
    <xf numFmtId="0" fontId="4" fillId="0" borderId="0" applyAlignment="1" pivotButton="0" quotePrefix="0" xfId="0">
      <alignment vertical="center"/>
    </xf>
    <xf numFmtId="0" fontId="6" fillId="0" borderId="0" applyAlignment="1" pivotButton="0" quotePrefix="0" xfId="0">
      <alignment vertical="center" wrapText="1"/>
    </xf>
    <xf numFmtId="0" fontId="0" fillId="2" borderId="15" pivotButton="0" quotePrefix="0" xfId="0"/>
    <xf numFmtId="0" fontId="0" fillId="0" borderId="21" applyAlignment="1" pivotButton="0" quotePrefix="0" xfId="0">
      <alignment horizontal="left" vertical="center" indent="1"/>
    </xf>
    <xf numFmtId="0" fontId="6" fillId="0" borderId="17" applyAlignment="1" pivotButton="0" quotePrefix="0" xfId="0">
      <alignment horizontal="left" vertical="center" indent="1"/>
    </xf>
    <xf numFmtId="0" fontId="0" fillId="0" borderId="27" applyAlignment="1" pivotButton="0" quotePrefix="0" xfId="0">
      <alignment horizontal="left" vertical="center" indent="1"/>
    </xf>
    <xf numFmtId="165" fontId="0" fillId="0" borderId="29" applyAlignment="1" pivotButton="0" quotePrefix="0" xfId="0">
      <alignment horizontal="right" vertical="center"/>
    </xf>
    <xf numFmtId="0" fontId="6" fillId="0" borderId="29" applyAlignment="1" pivotButton="0" quotePrefix="0" xfId="0">
      <alignment horizontal="left" vertical="center" indent="1"/>
    </xf>
    <xf numFmtId="0" fontId="0" fillId="0" borderId="31" pivotButton="0" quotePrefix="0" xfId="0"/>
    <xf numFmtId="0" fontId="4" fillId="0" borderId="26" applyAlignment="1" pivotButton="0" quotePrefix="0" xfId="0">
      <alignment horizontal="center" vertical="center"/>
    </xf>
    <xf numFmtId="0" fontId="5" fillId="0" borderId="28" applyAlignment="1" pivotButton="0" quotePrefix="0" xfId="0">
      <alignment horizontal="left" vertical="center" indent="1"/>
    </xf>
    <xf numFmtId="0" fontId="0" fillId="0" borderId="30" pivotButton="0" quotePrefix="0" xfId="0"/>
    <xf numFmtId="0" fontId="6" fillId="0" borderId="0" applyAlignment="1" pivotButton="0" quotePrefix="0" xfId="0">
      <alignment vertical="center"/>
    </xf>
    <xf numFmtId="0" fontId="6" fillId="2" borderId="14" applyAlignment="1" pivotButton="0" quotePrefix="0" xfId="0">
      <alignment horizontal="center" vertical="center"/>
    </xf>
    <xf numFmtId="169" fontId="0" fillId="0" borderId="17" applyAlignment="1" pivotButton="0" quotePrefix="0" xfId="0">
      <alignment horizontal="right" vertical="center"/>
    </xf>
    <xf numFmtId="0" fontId="7" fillId="0" borderId="22" applyAlignment="1" pivotButton="0" quotePrefix="0" xfId="0">
      <alignment vertical="center" wrapText="1"/>
    </xf>
    <xf numFmtId="169" fontId="0" fillId="0" borderId="29" applyAlignment="1" pivotButton="0" quotePrefix="0" xfId="0">
      <alignment horizontal="right" vertical="center"/>
    </xf>
    <xf numFmtId="0" fontId="7" fillId="0" borderId="31" applyAlignment="1" pivotButton="0" quotePrefix="0" xfId="0">
      <alignment vertical="center" wrapText="1"/>
    </xf>
    <xf numFmtId="169" fontId="4" fillId="0" borderId="28" applyAlignment="1" pivotButton="0" quotePrefix="0" xfId="0">
      <alignment horizontal="right" vertical="center"/>
    </xf>
    <xf numFmtId="0" fontId="13" fillId="0" borderId="0" applyAlignment="1" pivotButton="0" quotePrefix="0" xfId="0">
      <alignment vertical="center"/>
    </xf>
    <xf numFmtId="0" fontId="0" fillId="0" borderId="0" applyAlignment="1" pivotButton="0" quotePrefix="0" xfId="0">
      <alignment horizontal="right" vertical="top"/>
    </xf>
    <xf numFmtId="0" fontId="0" fillId="0" borderId="0" applyAlignment="1" pivotButton="0" quotePrefix="0" xfId="0">
      <alignment vertical="top" wrapText="1"/>
    </xf>
    <xf numFmtId="0" fontId="6" fillId="2" borderId="12" applyAlignment="1" pivotButton="0" quotePrefix="0" xfId="0">
      <alignment horizontal="center" vertical="center"/>
    </xf>
    <xf numFmtId="0" fontId="6" fillId="2" borderId="15" applyAlignment="1" pivotButton="0" quotePrefix="0" xfId="0">
      <alignment horizontal="center" vertical="center"/>
    </xf>
    <xf numFmtId="0" fontId="6" fillId="0" borderId="21" applyAlignment="1" pivotButton="0" quotePrefix="0" xfId="0">
      <alignment horizontal="center" vertical="center"/>
    </xf>
    <xf numFmtId="0" fontId="6" fillId="0" borderId="17" applyAlignment="1" pivotButton="0" quotePrefix="0" xfId="0">
      <alignment horizontal="center" vertical="center"/>
    </xf>
    <xf numFmtId="0" fontId="6" fillId="0" borderId="17" applyAlignment="1" pivotButton="0" quotePrefix="0" xfId="0">
      <alignment horizontal="left" vertical="center" wrapText="1" indent="1"/>
    </xf>
    <xf numFmtId="0" fontId="6" fillId="0" borderId="22" applyAlignment="1" pivotButton="0" quotePrefix="0" xfId="0">
      <alignment horizontal="center" vertical="center" wrapText="1"/>
    </xf>
    <xf numFmtId="0" fontId="6" fillId="0" borderId="23" applyAlignment="1" pivotButton="0" quotePrefix="0" xfId="0">
      <alignment horizontal="center" vertical="center"/>
    </xf>
    <xf numFmtId="0" fontId="6" fillId="0" borderId="24" applyAlignment="1" pivotButton="0" quotePrefix="0" xfId="0">
      <alignment horizontal="center" vertical="center"/>
    </xf>
    <xf numFmtId="0" fontId="6" fillId="0" borderId="24" applyAlignment="1" pivotButton="0" quotePrefix="0" xfId="0">
      <alignment horizontal="left" vertical="center" wrapText="1" indent="1"/>
    </xf>
    <xf numFmtId="0" fontId="0" fillId="0" borderId="24" pivotButton="0" quotePrefix="0" xfId="0"/>
    <xf numFmtId="0" fontId="6" fillId="0" borderId="25" applyAlignment="1" pivotButton="0" quotePrefix="0" xfId="0">
      <alignment horizontal="center" vertical="center" wrapText="1"/>
    </xf>
    <xf numFmtId="0" fontId="5" fillId="0" borderId="0" applyAlignment="1" pivotButton="0" quotePrefix="0" xfId="0">
      <alignment vertical="center"/>
    </xf>
    <xf numFmtId="0" fontId="4" fillId="5" borderId="0" applyAlignment="1" pivotButton="0" quotePrefix="0" xfId="0">
      <alignment vertical="center"/>
    </xf>
    <xf numFmtId="0" fontId="5" fillId="2" borderId="10" applyAlignment="1" pivotButton="0" quotePrefix="0" xfId="0">
      <alignment horizontal="center" vertical="center"/>
    </xf>
    <xf numFmtId="0" fontId="6" fillId="0" borderId="5" applyAlignment="1" pivotButton="0" quotePrefix="0" xfId="0">
      <alignment horizontal="left" vertical="center"/>
    </xf>
    <xf numFmtId="167" fontId="6" fillId="0" borderId="5" applyAlignment="1" pivotButton="0" quotePrefix="0" xfId="0">
      <alignment horizontal="right" vertical="center"/>
    </xf>
    <xf numFmtId="0" fontId="6" fillId="0" borderId="11" applyAlignment="1" pivotButton="0" quotePrefix="0" xfId="0">
      <alignment horizontal="left" vertical="center"/>
    </xf>
    <xf numFmtId="167" fontId="6" fillId="0" borderId="11" applyAlignment="1" pivotButton="0" quotePrefix="0" xfId="0">
      <alignment horizontal="right" vertical="center"/>
    </xf>
    <xf numFmtId="0" fontId="6" fillId="0" borderId="5" applyAlignment="1" pivotButton="0" quotePrefix="0" xfId="0">
      <alignment horizontal="right" vertical="center"/>
    </xf>
    <xf numFmtId="0" fontId="6" fillId="0" borderId="11" applyAlignment="1" pivotButton="0" quotePrefix="0" xfId="0">
      <alignment horizontal="right" vertical="center"/>
    </xf>
    <xf numFmtId="0" fontId="7" fillId="0" borderId="0" applyAlignment="1" pivotButton="0" quotePrefix="0" xfId="0">
      <alignment vertical="center"/>
    </xf>
    <xf numFmtId="2" fontId="6" fillId="0" borderId="5" applyAlignment="1" pivotButton="0" quotePrefix="0" xfId="0">
      <alignment horizontal="right" vertical="center"/>
    </xf>
    <xf numFmtId="0" fontId="6" fillId="0" borderId="11" applyAlignment="1" pivotButton="0" quotePrefix="0" xfId="0">
      <alignment vertical="center"/>
    </xf>
    <xf numFmtId="165" fontId="6" fillId="0" borderId="11" applyAlignment="1" pivotButton="0" quotePrefix="0" xfId="0">
      <alignment horizontal="right" vertical="center"/>
    </xf>
    <xf numFmtId="2" fontId="6" fillId="0" borderId="11" applyAlignment="1" pivotButton="0" quotePrefix="0" xfId="0">
      <alignment horizontal="right" vertical="center"/>
    </xf>
    <xf numFmtId="9" fontId="6" fillId="0" borderId="11" applyAlignment="1" pivotButton="0" quotePrefix="0" xfId="0">
      <alignment horizontal="right" vertical="center"/>
    </xf>
    <xf numFmtId="0" fontId="7" fillId="0" borderId="11" applyAlignment="1" pivotButton="0" quotePrefix="0" xfId="0">
      <alignment vertical="center"/>
    </xf>
    <xf numFmtId="0" fontId="5" fillId="5" borderId="0" applyAlignment="1" pivotButton="0" quotePrefix="0" xfId="0">
      <alignment vertical="center"/>
    </xf>
    <xf numFmtId="0" fontId="7"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38"/>
  <sheetViews>
    <sheetView showGridLines="0" tabSelected="1" workbookViewId="0">
      <selection activeCell="A1" sqref="A1"/>
    </sheetView>
  </sheetViews>
  <sheetFormatPr baseColWidth="8" defaultRowHeight="15"/>
  <cols>
    <col width="6" customWidth="1" min="1" max="1"/>
    <col width="8" customWidth="1" min="2" max="2"/>
    <col width="3" customWidth="1" min="3" max="3"/>
    <col width="15" customWidth="1" min="4" max="4"/>
    <col width="9" customWidth="1" min="5" max="5"/>
    <col width="9" customWidth="1" min="6" max="6"/>
    <col width="7" customWidth="1" min="7" max="7"/>
    <col width="5" customWidth="1" min="8" max="8"/>
    <col width="7" customWidth="1" min="9" max="9"/>
    <col width="7" customWidth="1" min="10" max="10"/>
    <col width="14" customWidth="1" min="11" max="11"/>
    <col width="12" customWidth="1" min="12" max="12"/>
    <col width="26" customWidth="1" min="13" max="13"/>
    <col width="12" customWidth="1" min="14" max="14"/>
    <col width="12" customWidth="1" min="15" max="15"/>
    <col width="12" customWidth="1" min="16" max="16"/>
    <col width="9" customWidth="1" min="17" max="17"/>
    <col width="12" customWidth="1" min="18" max="18"/>
    <col width="12" customWidth="1" min="19" max="19"/>
  </cols>
  <sheetData>
    <row r="1" ht="22" customHeight="1">
      <c r="A1" s="1" t="inlineStr">
        <is>
          <t>御　見　積　書</t>
        </is>
      </c>
    </row>
    <row r="2" ht="22" customHeight="1"/>
    <row r="3" ht="20" customHeight="1">
      <c r="J3" s="2" t="inlineStr">
        <is>
          <t>No.</t>
        </is>
      </c>
      <c r="K3" s="3" t="n"/>
      <c r="L3" s="4" t="n"/>
      <c r="M3" s="5" t="inlineStr">
        <is>
          <t>【設定・内部用】（印刷範囲外）</t>
        </is>
      </c>
      <c r="N3" s="6" t="n"/>
    </row>
    <row r="4" ht="20" customHeight="1">
      <c r="J4" s="7" t="n">
        <v>46301</v>
      </c>
      <c r="M4" s="8" t="inlineStr">
        <is>
          <t>提出係数（原価→定価ベース単価）</t>
        </is>
      </c>
      <c r="N4" s="9" t="n">
        <v>1.22</v>
      </c>
    </row>
    <row r="5" ht="26" customHeight="1">
      <c r="A5" s="10" t="inlineStr">
        <is>
          <t>株式会社共栄店舗</t>
        </is>
      </c>
      <c r="B5" s="4" t="n"/>
      <c r="C5" s="4" t="n"/>
      <c r="D5" s="4" t="n"/>
      <c r="E5" s="4" t="n"/>
      <c r="F5" s="4" t="n"/>
      <c r="G5" s="11" t="inlineStr">
        <is>
          <t>御中</t>
        </is>
      </c>
      <c r="M5" s="8" t="inlineStr">
        <is>
          <t>諸経費率（現場経費・運搬・雑材・工事諸経費）</t>
        </is>
      </c>
      <c r="N5" s="12" t="n">
        <v>0.22</v>
      </c>
    </row>
    <row r="6" ht="12" customHeight="1">
      <c r="A6" s="13" t="n"/>
      <c r="B6" s="13" t="n"/>
      <c r="C6" s="13" t="n"/>
      <c r="D6" s="13" t="n"/>
      <c r="E6" s="13" t="n"/>
      <c r="F6" s="13" t="n"/>
      <c r="M6" s="8" t="inlineStr">
        <is>
          <t>出精値引き 丸め単位（目標額空欄時）</t>
        </is>
      </c>
      <c r="N6" s="14" t="n">
        <v>100000</v>
      </c>
    </row>
    <row r="7" ht="28" customHeight="1">
      <c r="A7" s="15" t="inlineStr">
        <is>
          <t>金額</t>
        </is>
      </c>
      <c r="B7" s="16" t="str">
        <f>"¥"&amp;TEXT(K28,"#,##0")&amp;"-"</f>
        <v>¥21,400,000-</v>
      </c>
      <c r="C7" s="17" t="n"/>
      <c r="D7" s="17" t="n"/>
      <c r="E7" s="17" t="n"/>
      <c r="F7" s="18" t="inlineStr">
        <is>
          <t>（税別）</t>
        </is>
      </c>
      <c r="H7" s="19" t="inlineStr">
        <is>
          <t>宮地機工株式会社</t>
        </is>
      </c>
      <c r="M7" s="8" t="inlineStr">
        <is>
          <t>法定福利費率（労務費比）</t>
        </is>
      </c>
      <c r="N7" s="20">
        <f>WELFARE_RATE</f>
        <v>0.16375</v>
      </c>
    </row>
    <row r="8" ht="10" customHeight="1">
      <c r="B8" s="21" t="n"/>
      <c r="C8" s="21" t="n"/>
      <c r="D8" s="21" t="n"/>
      <c r="E8" s="21" t="n"/>
      <c r="M8" s="8" t="inlineStr">
        <is>
          <t>労務原価日額（円/人工）</t>
        </is>
      </c>
      <c r="N8" s="14" t="n">
        <v>19000</v>
      </c>
    </row>
    <row r="9" ht="19" customHeight="1">
      <c r="A9" s="18" t="inlineStr">
        <is>
          <t>上記の通り御見積申し上げます。</t>
        </is>
      </c>
      <c r="H9" s="22" t="inlineStr">
        <is>
          <t>代表取締役　濱本　義樹</t>
        </is>
      </c>
      <c r="M9" s="8" t="inlineStr">
        <is>
          <t>目標提出額（税別・空欄なら丸め）</t>
        </is>
      </c>
      <c r="N9" s="14" t="n"/>
    </row>
    <row r="10" ht="19" customHeight="1">
      <c r="A10" s="22" t="inlineStr">
        <is>
          <t>何卒ご用命賜わりますようお願い申し上げます。</t>
        </is>
      </c>
      <c r="M10" s="8" t="inlineStr">
        <is>
          <t>参考：宮地機工 人工単価（定価ベース）</t>
        </is>
      </c>
      <c r="N10" s="23" t="n">
        <v>23225</v>
      </c>
    </row>
    <row r="11" ht="19" customHeight="1">
      <c r="H11" s="22" t="inlineStr">
        <is>
          <t>〒722-0051</t>
        </is>
      </c>
      <c r="M11" s="24" t="inlineStr">
        <is>
          <t>※ 原価＝材料原価＋人工×N8。提出単価＝原価×N4（1.22で参考見積の人工単価23,225に一致）。目標提出額 N9 を入れると出精値引きで合わせる</t>
        </is>
      </c>
    </row>
    <row r="12" ht="19" customHeight="1">
      <c r="A12" s="25" t="inlineStr">
        <is>
          <t>工事名</t>
        </is>
      </c>
      <c r="D12" s="26" t="inlineStr">
        <is>
          <t>（仮称）サンフレッチェ広島　三矢寮新築工事</t>
        </is>
      </c>
      <c r="H12" s="22" t="inlineStr">
        <is>
          <t>広島県尾道市東尾道9-9</t>
        </is>
      </c>
    </row>
    <row r="13" ht="19" customHeight="1">
      <c r="D13" s="26" t="inlineStr">
        <is>
          <t>空調工事（機械設備図06ベース＋金額変更案08 空調追加）</t>
        </is>
      </c>
      <c r="H13" s="22" t="inlineStr">
        <is>
          <t>TEL.0848-20-2121</t>
        </is>
      </c>
      <c r="K13" s="22" t="inlineStr">
        <is>
          <t>FAX.0848-20-2126</t>
        </is>
      </c>
    </row>
    <row r="14" ht="22" customHeight="1">
      <c r="A14" s="25" t="inlineStr">
        <is>
          <t>施工場所</t>
        </is>
      </c>
      <c r="D14" s="27" t="inlineStr">
        <is>
          <t>広島県安芸高田市吉田町西浦字日南山835-27</t>
        </is>
      </c>
      <c r="H14" s="22" t="inlineStr">
        <is>
          <t>担当者</t>
        </is>
      </c>
      <c r="J14" s="22" t="inlineStr">
        <is>
          <t>濱本　義武</t>
        </is>
      </c>
    </row>
    <row r="15" ht="19" customHeight="1">
      <c r="A15" s="25" t="inlineStr">
        <is>
          <t>工事期限</t>
        </is>
      </c>
      <c r="D15" s="26" t="inlineStr">
        <is>
          <t>全体工期 2026年5月1日～2027年2月15日（空調工事は工程表による・別途お打ち合わせ）</t>
        </is>
      </c>
    </row>
    <row r="16" ht="19" customHeight="1">
      <c r="A16" s="25" t="inlineStr">
        <is>
          <t>御支払条件</t>
        </is>
      </c>
      <c r="D16" s="26" t="inlineStr">
        <is>
          <t>別途お打ち合わせ</t>
        </is>
      </c>
    </row>
    <row r="17" ht="19" customHeight="1">
      <c r="A17" s="25" t="inlineStr">
        <is>
          <t>有効期限</t>
        </is>
      </c>
      <c r="D17" s="26" t="inlineStr">
        <is>
          <t>発行後3ヶ月</t>
        </is>
      </c>
    </row>
    <row r="18" ht="12" customHeight="1"/>
    <row r="19" ht="24" customHeight="1">
      <c r="A19" s="28" t="inlineStr">
        <is>
          <t>項　目</t>
        </is>
      </c>
      <c r="B19" s="29" t="inlineStr">
        <is>
          <t>内　　　容</t>
        </is>
      </c>
      <c r="C19" s="30" t="n"/>
      <c r="D19" s="30" t="n"/>
      <c r="E19" s="30" t="n"/>
      <c r="F19" s="30" t="n"/>
      <c r="G19" s="29" t="inlineStr">
        <is>
          <t>数 量</t>
        </is>
      </c>
      <c r="H19" s="31" t="inlineStr">
        <is>
          <t>単位</t>
        </is>
      </c>
      <c r="I19" s="29" t="inlineStr">
        <is>
          <t>単  価</t>
        </is>
      </c>
      <c r="J19" s="30" t="n"/>
      <c r="K19" s="29" t="inlineStr">
        <is>
          <t>金　　額</t>
        </is>
      </c>
      <c r="L19" s="32" t="inlineStr">
        <is>
          <t>備　考</t>
        </is>
      </c>
      <c r="M19" s="33" t="inlineStr">
        <is>
          <t>内部集計（原価・粗利）</t>
        </is>
      </c>
      <c r="N19" s="33" t="inlineStr">
        <is>
          <t>基準原価</t>
        </is>
      </c>
      <c r="O19" s="33" t="inlineStr">
        <is>
          <t>労務費(提出)</t>
        </is>
      </c>
      <c r="P19" s="33" t="inlineStr">
        <is>
          <t>粗利</t>
        </is>
      </c>
      <c r="Q19" s="33" t="inlineStr">
        <is>
          <t>粗利率</t>
        </is>
      </c>
    </row>
    <row r="20" ht="22" customHeight="1">
      <c r="A20" s="34" t="n"/>
      <c r="B20" s="35" t="inlineStr">
        <is>
          <t>【（仮称）サンフレッチェ広島　三矢寮新築工事　空調設備工事　空調工事】</t>
        </is>
      </c>
      <c r="C20" s="36" t="n"/>
      <c r="D20" s="36" t="n"/>
      <c r="E20" s="36" t="n"/>
      <c r="F20" s="36" t="n"/>
      <c r="G20" s="36" t="n"/>
      <c r="H20" s="36" t="n"/>
      <c r="I20" s="36" t="n"/>
      <c r="J20" s="36" t="n"/>
      <c r="K20" s="36" t="n"/>
      <c r="L20" s="37" t="n"/>
      <c r="M20" s="38" t="n"/>
      <c r="N20" s="38" t="n"/>
      <c r="O20" s="38" t="n"/>
      <c r="P20" s="38" t="n"/>
      <c r="Q20" s="38" t="n"/>
    </row>
    <row r="21" ht="20" customHeight="1">
      <c r="A21" s="34" t="n"/>
      <c r="B21" s="39" t="inlineStr">
        <is>
          <t>［空調機器（空調機器表・追加分 PA-P140U7GTNB・PA-P224L7HTNB）は元請様手配、電気工事・建築工事・自動制御は含まず］</t>
        </is>
      </c>
      <c r="C21" s="36" t="n"/>
      <c r="D21" s="36" t="n"/>
      <c r="E21" s="36" t="n"/>
      <c r="F21" s="36" t="n"/>
      <c r="G21" s="36" t="n"/>
      <c r="H21" s="36" t="n"/>
      <c r="I21" s="36" t="n"/>
      <c r="J21" s="36" t="n"/>
      <c r="K21" s="36" t="n"/>
      <c r="L21" s="37" t="n"/>
      <c r="M21" s="40" t="n"/>
      <c r="N21" s="40" t="n"/>
      <c r="O21" s="40" t="n"/>
      <c r="P21" s="40" t="n"/>
      <c r="Q21" s="40" t="n"/>
    </row>
    <row r="22" ht="24" customHeight="1">
      <c r="A22" s="41" t="inlineStr">
        <is>
          <t>①</t>
        </is>
      </c>
      <c r="B22" s="35" t="inlineStr">
        <is>
          <t>空調工事（機械設備図 06）</t>
        </is>
      </c>
      <c r="C22" s="36" t="n"/>
      <c r="D22" s="36" t="n"/>
      <c r="E22" s="36" t="n"/>
      <c r="F22" s="36" t="n"/>
      <c r="G22" s="42" t="n">
        <v>1</v>
      </c>
      <c r="H22" s="43" t="inlineStr">
        <is>
          <t>式</t>
        </is>
      </c>
      <c r="I22" s="44">
        <f>K22</f>
        <v>10624080</v>
      </c>
      <c r="J22" s="36" t="n"/>
      <c r="K22" s="44">
        <f>'内訳書(1.空調工事)'!H58</f>
        <v>10624080</v>
      </c>
      <c r="L22" s="45" t="inlineStr">
        <is>
          <t>内訳書 No.1</t>
        </is>
      </c>
      <c r="M22" s="46" t="inlineStr">
        <is>
          <t>①空調工事</t>
        </is>
      </c>
      <c r="N22" s="47">
        <f>'内訳書(1.空調工事)'!O58</f>
        <v>8707010</v>
      </c>
      <c r="O22" s="47">
        <f>'内訳書(1.空調工事)'!P58</f>
        <v>6712464</v>
      </c>
      <c r="P22" s="47">
        <f>K22-N22</f>
        <v>1917070</v>
      </c>
      <c r="Q22" s="48">
        <f>IF(K22=0,"",P22/K22)</f>
        <v>0.1804457421254358</v>
      </c>
    </row>
    <row r="23" ht="24" customHeight="1">
      <c r="A23" s="49" t="inlineStr">
        <is>
          <t>②</t>
        </is>
      </c>
      <c r="B23" s="50" t="inlineStr">
        <is>
          <t>金額変更案 No5・6 空調追加（検討図 08）</t>
        </is>
      </c>
      <c r="C23" s="36" t="n"/>
      <c r="D23" s="36" t="n"/>
      <c r="E23" s="36" t="n"/>
      <c r="F23" s="36" t="n"/>
      <c r="G23" s="51" t="n">
        <v>1</v>
      </c>
      <c r="H23" s="52" t="inlineStr">
        <is>
          <t>式</t>
        </is>
      </c>
      <c r="I23" s="53">
        <f>K23</f>
        <v>5660790</v>
      </c>
      <c r="J23" s="36" t="n"/>
      <c r="K23" s="53">
        <f>'内訳書(2.空調追加)'!H34</f>
        <v>5660790</v>
      </c>
      <c r="L23" s="54" t="inlineStr">
        <is>
          <t>内訳書 No.2</t>
        </is>
      </c>
      <c r="M23" s="46" t="inlineStr">
        <is>
          <t>②空調追加</t>
        </is>
      </c>
      <c r="N23" s="47">
        <f>'内訳書(2.空調追加)'!O34</f>
        <v>4639680</v>
      </c>
      <c r="O23" s="47">
        <f>'内訳書(2.空調追加)'!P34</f>
        <v>2910712</v>
      </c>
      <c r="P23" s="47">
        <f>K23-N23</f>
        <v>1021110</v>
      </c>
      <c r="Q23" s="48">
        <f>IF(K23=0,"",P23/K23)</f>
        <v>0.18038295008293895</v>
      </c>
    </row>
    <row r="24" ht="24" customHeight="1">
      <c r="A24" s="41" t="inlineStr">
        <is>
          <t>③</t>
        </is>
      </c>
      <c r="B24" s="35" t="inlineStr">
        <is>
          <t>法定福利費（労務費に係る事業主負担分）</t>
        </is>
      </c>
      <c r="C24" s="36" t="n"/>
      <c r="D24" s="36" t="n"/>
      <c r="E24" s="36" t="n"/>
      <c r="F24" s="36" t="n"/>
      <c r="G24" s="42" t="n">
        <v>1</v>
      </c>
      <c r="H24" s="43" t="inlineStr">
        <is>
          <t>式</t>
        </is>
      </c>
      <c r="I24" s="44">
        <f>K24</f>
        <v>1575792</v>
      </c>
      <c r="J24" s="36" t="n"/>
      <c r="K24" s="44">
        <f>'法定福利費内訳明細書'!F26</f>
        <v>1575792</v>
      </c>
      <c r="L24" s="45" t="inlineStr">
        <is>
          <t>別紙明細書</t>
        </is>
      </c>
      <c r="M24" s="55" t="inlineStr">
        <is>
          <t>③法定福利費（原価＝提出値）</t>
        </is>
      </c>
      <c r="N24" s="56">
        <f>K24</f>
        <v>1575792</v>
      </c>
      <c r="O24" s="40" t="n"/>
      <c r="P24" s="40" t="n"/>
      <c r="Q24" s="40" t="n"/>
    </row>
    <row r="25" ht="24" customHeight="1">
      <c r="A25" s="41" t="inlineStr">
        <is>
          <t>④</t>
        </is>
      </c>
      <c r="B25" s="35" t="inlineStr">
        <is>
          <t>諸経費（現場経費・資材運搬・工事諸経費）</t>
        </is>
      </c>
      <c r="C25" s="36" t="n"/>
      <c r="D25" s="36" t="n"/>
      <c r="E25" s="36" t="n"/>
      <c r="F25" s="36" t="n"/>
      <c r="G25" s="42" t="n">
        <v>1</v>
      </c>
      <c r="H25" s="43" t="inlineStr">
        <is>
          <t>式</t>
        </is>
      </c>
      <c r="I25" s="44">
        <f>K25</f>
        <v>3583000</v>
      </c>
      <c r="J25" s="36" t="n"/>
      <c r="K25" s="44">
        <f>ROUND(SUM(K22:K23)*OVERHEAD_RATE,-3)</f>
        <v>3583000</v>
      </c>
      <c r="L25" s="45" t="str">
        <f>"①〜②計の"&amp;TEXT(OVERHEAD_RATE,"0%")</f>
        <v>①〜②計の22%</v>
      </c>
      <c r="M25" s="55" t="inlineStr">
        <is>
          <t>④諸経費（原価計上なし）</t>
        </is>
      </c>
      <c r="N25" s="56" t="n">
        <v>0</v>
      </c>
      <c r="O25" s="40" t="n"/>
      <c r="P25" s="40" t="n"/>
      <c r="Q25" s="40" t="n"/>
    </row>
    <row r="26" ht="24" customHeight="1">
      <c r="A26" s="34" t="n"/>
      <c r="B26" s="36" t="n"/>
      <c r="C26" s="36" t="n"/>
      <c r="D26" s="36" t="n"/>
      <c r="E26" s="36" t="n"/>
      <c r="F26" s="36" t="n"/>
      <c r="G26" s="36" t="n"/>
      <c r="H26" s="36" t="n"/>
      <c r="I26" s="36" t="n"/>
      <c r="J26" s="36" t="n"/>
      <c r="K26" s="36" t="n"/>
      <c r="L26" s="37" t="n"/>
      <c r="M26" s="40" t="n"/>
      <c r="N26" s="40" t="n"/>
      <c r="O26" s="40" t="n"/>
      <c r="P26" s="40" t="n"/>
      <c r="Q26" s="40" t="n"/>
    </row>
    <row r="27" ht="24" customHeight="1">
      <c r="A27" s="57" t="n"/>
      <c r="B27" s="58" t="inlineStr">
        <is>
          <t>出精値引き</t>
        </is>
      </c>
      <c r="C27" s="59" t="n"/>
      <c r="D27" s="59" t="n"/>
      <c r="E27" s="59" t="n"/>
      <c r="F27" s="59" t="n"/>
      <c r="G27" s="59" t="n"/>
      <c r="H27" s="59" t="n"/>
      <c r="I27" s="59" t="n"/>
      <c r="J27" s="59" t="n"/>
      <c r="K27" s="60">
        <f>IF(TARGET="",FLOOR(SUM(K22:K25),ROUND_UNIT)-SUM(K22:K25),TARGET-SUM(K22:K25))</f>
        <v>-43662</v>
      </c>
      <c r="L27" s="61" t="inlineStr">
        <is>
          <t>端数調整</t>
        </is>
      </c>
      <c r="M27" s="62" t="inlineStr">
        <is>
          <t>出精値引き（原価なし・粗利から控除）</t>
        </is>
      </c>
      <c r="N27" s="63" t="n">
        <v>0</v>
      </c>
      <c r="O27" s="64" t="n"/>
      <c r="P27" s="65">
        <f>K27</f>
        <v>-43662</v>
      </c>
      <c r="Q27" s="64" t="n"/>
    </row>
    <row r="28" ht="24" customHeight="1">
      <c r="A28" s="66" t="n"/>
      <c r="B28" s="67" t="inlineStr">
        <is>
          <t xml:space="preserve">　合　　計</t>
        </is>
      </c>
      <c r="C28" s="68" t="n"/>
      <c r="D28" s="68" t="n"/>
      <c r="E28" s="68" t="n"/>
      <c r="F28" s="68" t="n"/>
      <c r="G28" s="68" t="n"/>
      <c r="H28" s="68" t="n"/>
      <c r="I28" s="68" t="n"/>
      <c r="J28" s="68" t="n"/>
      <c r="K28" s="69">
        <f>SUM(K22:K27)</f>
        <v>21400000</v>
      </c>
      <c r="L28" s="70" t="inlineStr">
        <is>
          <t>（税別）</t>
        </is>
      </c>
      <c r="M28" s="71" t="inlineStr">
        <is>
          <t>合計（原価合計／粗利／粗利率）</t>
        </is>
      </c>
      <c r="N28" s="72">
        <f>SUM(N22:N27)</f>
        <v>14922482</v>
      </c>
      <c r="O28" s="42">
        <f>SUM(O22:O27)</f>
        <v>9623176</v>
      </c>
      <c r="P28" s="72">
        <f>K28-N28</f>
        <v>6477518</v>
      </c>
      <c r="Q28" s="73">
        <f>IF(K28=0,"",P28/K28)</f>
        <v>0.3026877570093458</v>
      </c>
    </row>
    <row r="29" ht="12" customHeight="1"/>
    <row r="30" ht="38.6" customHeight="1">
      <c r="A30" s="74" t="inlineStr">
        <is>
          <t>※</t>
        </is>
      </c>
      <c r="B30" s="75" t="inlineStr">
        <is>
          <t>本見積は機械設備図（図面No.06 若本建築事務所 '26.1.31）に基づき当社にて数量を拾い出して積算しております。金額変更案検討図（図面No.08）の No5・6 空調追加は内訳書 No.2（朱書き）に計上しています。換気工事は別途御見積書によります。実施数量との差異は別途精算とさせていただきます。</t>
        </is>
      </c>
    </row>
    <row r="31" ht="26.8" customHeight="1">
      <c r="A31" s="74" t="inlineStr">
        <is>
          <t>※</t>
        </is>
      </c>
      <c r="B31" s="75" t="inlineStr">
        <is>
          <t>空調機器・換気機器（室内機・室外機・リモコン・換気扇・全熱交換器・屋外機架台・ドレンアップ等 機器表記載の本体および付属品）は元請様手配のため含みません（据付・取付費のみ計上）。</t>
        </is>
      </c>
    </row>
    <row r="32" ht="26.8" customHeight="1">
      <c r="A32" s="74" t="inlineStr">
        <is>
          <t>※</t>
        </is>
      </c>
      <c r="B32" s="75" t="inlineStr">
        <is>
          <t>機器の電源供給・接地等の電気工事、基礎・躯体貫通穴明け・スリーブ穴埋め・天井点検口等の建築工事、衛生・消火・ガス・浄化槽設備、自動制御設備は含みません。</t>
        </is>
      </c>
      <c r="M32" s="8" t="inlineStr">
        <is>
          <t>粗利率別 参考提出額（税別・万円未満切上げ）</t>
        </is>
      </c>
      <c r="N32" s="76" t="inlineStr">
        <is>
          <t>参考提出額</t>
        </is>
      </c>
      <c r="O32" s="76" t="inlineStr">
        <is>
          <t>必要提出係数</t>
        </is>
      </c>
    </row>
    <row r="33" ht="14.9" customHeight="1">
      <c r="A33" s="74" t="inlineStr">
        <is>
          <t>※</t>
        </is>
      </c>
      <c r="B33" s="75" t="inlineStr">
        <is>
          <t>機器・資材の揚重機（クレーン・レッカー等）、仮設設備、産業廃棄物の処分は元請様にてご手配・ご負担願います。</t>
        </is>
      </c>
      <c r="M33" s="77" t="n">
        <v>0.1</v>
      </c>
      <c r="N33" s="42">
        <f>ROUNDUP($N$28/(1-M33),-4)</f>
        <v>16590000</v>
      </c>
      <c r="O33" s="78">
        <f>IF(SUM($N$22:$N$23)=0,"",ROUND(($N$28/(1-M33)-$N$24-$K$25)/SUM($N$22:$N$23),3))</f>
        <v>0.856</v>
      </c>
    </row>
    <row r="34" ht="26.8" customHeight="1">
      <c r="A34" s="74" t="inlineStr">
        <is>
          <t>※</t>
        </is>
      </c>
      <c r="B34" s="75" t="inlineStr">
        <is>
          <t>一式計上および想定数量の項目は別紙「御見積条件」記載の前提にて計上しており、実数量確定後に精算させていただきます。</t>
        </is>
      </c>
      <c r="M34" s="77" t="n">
        <v>0.15</v>
      </c>
      <c r="N34" s="42">
        <f>ROUNDUP($N$28/(1-M34),-4)</f>
        <v>17560000</v>
      </c>
      <c r="O34" s="78">
        <f>IF(SUM($N$22:$N$23)=0,"",ROUND(($N$28/(1-M34)-$N$24-$K$25)/SUM($N$22:$N$23),3))</f>
        <v>0.929</v>
      </c>
    </row>
    <row r="35" ht="14.9" customHeight="1">
      <c r="A35" s="74" t="inlineStr">
        <is>
          <t>※</t>
        </is>
      </c>
      <c r="B35" s="75" t="inlineStr">
        <is>
          <t>本見積書に記載なき事項については別途とさせて頂きます。工事に係る電気・水道は無償支給願います。</t>
        </is>
      </c>
      <c r="M35" s="77" t="n">
        <v>0.2</v>
      </c>
      <c r="N35" s="42">
        <f>ROUNDUP($N$28/(1-M35),-4)</f>
        <v>18660000</v>
      </c>
      <c r="O35" s="78">
        <f>IF(SUM($N$22:$N$23)=0,"",ROUND(($N$28/(1-M35)-$N$24-$K$25)/SUM($N$22:$N$23),3))</f>
        <v>1.011</v>
      </c>
    </row>
    <row r="36" ht="26.8" customHeight="1">
      <c r="A36" s="74" t="inlineStr">
        <is>
          <t>※</t>
        </is>
      </c>
      <c r="B36" s="75" t="inlineStr">
        <is>
          <t>本見積金額には消費税は含まれておりません。有効期限内でも銅管・鋼材等の市況が著しく変動した場合は再見積をさせていただくことがあります。</t>
        </is>
      </c>
      <c r="M36" s="77" t="n">
        <v>0.25</v>
      </c>
      <c r="N36" s="42">
        <f>ROUNDUP($N$28/(1-M36),-4)</f>
        <v>19900000</v>
      </c>
      <c r="O36" s="78">
        <f>IF(SUM($N$22:$N$23)=0,"",ROUND(($N$28/(1-M36)-$N$24-$K$25)/SUM($N$22:$N$23),3))</f>
        <v>1.104</v>
      </c>
    </row>
    <row r="37" ht="14.9" customHeight="1">
      <c r="A37" s="74" t="inlineStr">
        <is>
          <t>※</t>
        </is>
      </c>
      <c r="B37" s="75" t="inlineStr">
        <is>
          <t>詳細条件は別紙「御見積条件」をご参照ください。</t>
        </is>
      </c>
      <c r="M37" s="77" t="n">
        <v>0.3</v>
      </c>
      <c r="N37" s="42">
        <f>ROUNDUP($N$28/(1-M37),-4)</f>
        <v>21320000</v>
      </c>
      <c r="O37" s="78">
        <f>IF(SUM($N$22:$N$23)=0,"",ROUND(($N$28/(1-M37)-$N$24-$K$25)/SUM($N$22:$N$23),3))</f>
        <v>1.211</v>
      </c>
    </row>
    <row r="38">
      <c r="M38" s="24" t="inlineStr">
        <is>
          <t>※ 必要提出係数は諸経費を現状額に固定した場合の目安</t>
        </is>
      </c>
    </row>
  </sheetData>
  <mergeCells count="43">
    <mergeCell ref="B35:L35"/>
    <mergeCell ref="A15:B15"/>
    <mergeCell ref="D12:G12"/>
    <mergeCell ref="B25:F25"/>
    <mergeCell ref="I27:J27"/>
    <mergeCell ref="D17:L17"/>
    <mergeCell ref="J4:L4"/>
    <mergeCell ref="B22:F22"/>
    <mergeCell ref="I26:J26"/>
    <mergeCell ref="B27:F27"/>
    <mergeCell ref="D16:L16"/>
    <mergeCell ref="D14:G14"/>
    <mergeCell ref="B31:L31"/>
    <mergeCell ref="A16:B16"/>
    <mergeCell ref="B21:L21"/>
    <mergeCell ref="A5:F5"/>
    <mergeCell ref="I25:J25"/>
    <mergeCell ref="A1:L2"/>
    <mergeCell ref="B7:E7"/>
    <mergeCell ref="B23:F23"/>
    <mergeCell ref="I22:J22"/>
    <mergeCell ref="I28:J28"/>
    <mergeCell ref="A12:B12"/>
    <mergeCell ref="D15:L15"/>
    <mergeCell ref="I24:J24"/>
    <mergeCell ref="B28:F28"/>
    <mergeCell ref="A9:F9"/>
    <mergeCell ref="B19:F19"/>
    <mergeCell ref="B34:L34"/>
    <mergeCell ref="B37:L37"/>
    <mergeCell ref="A14:B14"/>
    <mergeCell ref="I23:J23"/>
    <mergeCell ref="D13:G13"/>
    <mergeCell ref="A17:B17"/>
    <mergeCell ref="B24:F24"/>
    <mergeCell ref="B30:L30"/>
    <mergeCell ref="B33:L33"/>
    <mergeCell ref="I19:J19"/>
    <mergeCell ref="B20:L20"/>
    <mergeCell ref="B36:L36"/>
    <mergeCell ref="B32:L32"/>
    <mergeCell ref="B26:F26"/>
    <mergeCell ref="K3:L3"/>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V58"/>
  <sheetViews>
    <sheetView showGridLines="0" tabSelected="0" workbookViewId="0">
      <selection activeCell="A1" sqref="A1"/>
    </sheetView>
  </sheetViews>
  <sheetFormatPr baseColWidth="8" defaultRowHeight="15"/>
  <cols>
    <col width="4" customWidth="1" min="1" max="1"/>
    <col width="27" customWidth="1" min="2" max="2"/>
    <col width="24" customWidth="1" min="3" max="3"/>
    <col width="4" customWidth="1" min="4" max="4"/>
    <col width="8" customWidth="1" min="5" max="5"/>
    <col width="5" customWidth="1" min="6" max="6"/>
    <col width="10" customWidth="1" min="7" max="7"/>
    <col width="13" customWidth="1" min="8" max="8"/>
    <col width="15" customWidth="1" min="9" max="9"/>
    <col width="10" customWidth="1" min="10" max="10"/>
    <col width="7" customWidth="1" min="11" max="11"/>
    <col width="10" customWidth="1" min="12" max="12"/>
    <col width="10" customWidth="1" min="13" max="13"/>
    <col width="7" customWidth="1" min="14" max="14"/>
    <col width="12" customWidth="1" min="15" max="15"/>
    <col width="12" customWidth="1" min="16" max="16"/>
    <col width="9" customWidth="1" min="17" max="17"/>
    <col width="12" customWidth="1" min="18" max="18"/>
    <col width="8" customWidth="1" min="19" max="19"/>
    <col width="11" customWidth="1" min="20" max="20"/>
    <col width="8" customWidth="1" min="21" max="21"/>
    <col width="40" customWidth="1" min="22" max="22"/>
  </cols>
  <sheetData>
    <row r="1" ht="26" customHeight="1">
      <c r="A1" s="79" t="inlineStr">
        <is>
          <t>内　訳　書</t>
        </is>
      </c>
      <c r="J1" s="80" t="inlineStr">
        <is>
          <t>原　価　内　訳　書（内部用・印刷範囲外）</t>
        </is>
      </c>
      <c r="K1" s="81" t="n"/>
      <c r="L1" s="81" t="n"/>
      <c r="M1" s="81" t="n"/>
      <c r="N1" s="81" t="n"/>
      <c r="O1" s="81" t="n"/>
      <c r="P1" s="81" t="n"/>
      <c r="Q1" s="81" t="n"/>
      <c r="R1" s="81" t="n"/>
      <c r="S1" s="81" t="n"/>
      <c r="T1" s="81" t="n"/>
      <c r="U1" s="81" t="n"/>
      <c r="V1" s="81" t="n"/>
    </row>
    <row r="2" ht="18" customHeight="1">
      <c r="A2" s="22" t="inlineStr">
        <is>
          <t>工事名：（仮称）サンフレッチェ広島　三矢寮新築工事　空調設備工事　空調工事</t>
        </is>
      </c>
      <c r="I2" s="2" t="inlineStr">
        <is>
          <t>内訳書 No.1</t>
        </is>
      </c>
    </row>
    <row r="3" ht="20" customHeight="1">
      <c r="A3" s="82" t="inlineStr">
        <is>
          <t>名　　称</t>
        </is>
      </c>
      <c r="B3" s="30" t="n"/>
      <c r="C3" s="83" t="inlineStr">
        <is>
          <t>規格・寸法</t>
        </is>
      </c>
      <c r="D3" s="30" t="n"/>
      <c r="E3" s="83" t="inlineStr">
        <is>
          <t>数 量</t>
        </is>
      </c>
      <c r="F3" s="83" t="inlineStr">
        <is>
          <t>単位</t>
        </is>
      </c>
      <c r="G3" s="83" t="inlineStr">
        <is>
          <t>単　価</t>
        </is>
      </c>
      <c r="H3" s="83" t="inlineStr">
        <is>
          <t>金　　額</t>
        </is>
      </c>
      <c r="I3" s="84" t="inlineStr">
        <is>
          <t>備　考</t>
        </is>
      </c>
      <c r="J3" s="85" t="inlineStr">
        <is>
          <t>材料原価</t>
        </is>
      </c>
      <c r="K3" s="85" t="inlineStr">
        <is>
          <t>人工/単位</t>
        </is>
      </c>
      <c r="L3" s="85" t="inlineStr">
        <is>
          <t>労務原価</t>
        </is>
      </c>
      <c r="M3" s="85" t="inlineStr">
        <is>
          <t>基準原価単価</t>
        </is>
      </c>
      <c r="N3" s="85" t="inlineStr">
        <is>
          <t>提出係数</t>
        </is>
      </c>
      <c r="O3" s="85" t="inlineStr">
        <is>
          <t>基準原価</t>
        </is>
      </c>
      <c r="P3" s="85" t="inlineStr">
        <is>
          <t>労務費(提出)</t>
        </is>
      </c>
      <c r="Q3" s="85" t="inlineStr">
        <is>
          <t>数量根拠</t>
        </is>
      </c>
      <c r="R3" s="85" t="inlineStr">
        <is>
          <t>粗利</t>
        </is>
      </c>
      <c r="S3" s="85" t="inlineStr">
        <is>
          <t>粗利率</t>
        </is>
      </c>
      <c r="T3" s="85" t="inlineStr">
        <is>
          <t>参考定価ベース</t>
        </is>
      </c>
      <c r="U3" s="85" t="inlineStr">
        <is>
          <t>当社/参考</t>
        </is>
      </c>
      <c r="V3" s="85" t="inlineStr">
        <is>
          <t>単価出典・メモ（内部）</t>
        </is>
      </c>
    </row>
    <row r="4" ht="18" customHeight="1">
      <c r="A4" s="86" t="inlineStr">
        <is>
          <t>１．空調工事（機械設備図 06）</t>
        </is>
      </c>
      <c r="B4" s="38" t="n"/>
      <c r="C4" s="38" t="n"/>
      <c r="D4" s="38" t="n"/>
      <c r="E4" s="38" t="n"/>
      <c r="F4" s="38" t="n"/>
      <c r="G4" s="38" t="n"/>
      <c r="H4" s="38" t="n"/>
      <c r="I4" s="87" t="n"/>
      <c r="J4" s="38" t="n"/>
      <c r="K4" s="38" t="n"/>
      <c r="L4" s="38" t="n"/>
      <c r="M4" s="38" t="n"/>
      <c r="N4" s="38" t="n"/>
      <c r="O4" s="38" t="n"/>
      <c r="P4" s="38" t="n"/>
      <c r="Q4" s="38" t="n"/>
      <c r="R4" s="38" t="n"/>
      <c r="S4" s="38" t="n"/>
      <c r="T4" s="38" t="n"/>
      <c r="U4" s="38" t="n"/>
      <c r="V4" s="38" t="n"/>
    </row>
    <row r="5" ht="18" customHeight="1">
      <c r="A5" s="88" t="n"/>
      <c r="B5" s="40" t="n"/>
      <c r="C5" s="40" t="n"/>
      <c r="D5" s="40" t="n"/>
      <c r="E5" s="40" t="n"/>
      <c r="F5" s="40" t="n"/>
      <c r="G5" s="40" t="n"/>
      <c r="H5" s="40" t="n"/>
      <c r="I5" s="89" t="n"/>
      <c r="J5" s="40" t="n"/>
      <c r="K5" s="40" t="n"/>
      <c r="L5" s="40" t="n"/>
      <c r="M5" s="40" t="n"/>
      <c r="N5" s="40" t="n"/>
      <c r="O5" s="40" t="n"/>
      <c r="P5" s="40" t="n"/>
      <c r="Q5" s="40" t="n"/>
      <c r="R5" s="40" t="n"/>
      <c r="S5" s="40" t="n"/>
      <c r="T5" s="40" t="n"/>
      <c r="U5" s="40" t="n"/>
      <c r="V5" s="40" t="n"/>
    </row>
    <row r="6" ht="18" customHeight="1">
      <c r="A6" s="90" t="inlineStr">
        <is>
          <t>（1）空調機器据付（機器は元請様支給）</t>
        </is>
      </c>
      <c r="B6" s="40" t="n"/>
      <c r="C6" s="40" t="n"/>
      <c r="D6" s="40" t="n"/>
      <c r="E6" s="40" t="n"/>
      <c r="F6" s="40" t="n"/>
      <c r="G6" s="40" t="n"/>
      <c r="H6" s="40" t="n"/>
      <c r="I6" s="89" t="n"/>
      <c r="J6" s="40" t="n"/>
      <c r="K6" s="40" t="n"/>
      <c r="L6" s="40" t="n"/>
      <c r="M6" s="40" t="n"/>
      <c r="N6" s="40" t="n"/>
      <c r="O6" s="40" t="n"/>
      <c r="P6" s="40" t="n"/>
      <c r="Q6" s="40" t="n"/>
      <c r="R6" s="40" t="n"/>
      <c r="S6" s="40" t="n"/>
      <c r="T6" s="40" t="n"/>
      <c r="U6" s="40" t="n"/>
      <c r="V6" s="40" t="n"/>
    </row>
    <row r="7" ht="18" customHeight="1">
      <c r="A7" s="91" t="inlineStr">
        <is>
          <t xml:space="preserve">　AC-1 室内機 据付</t>
        </is>
      </c>
      <c r="B7" s="40" t="n"/>
      <c r="C7" s="92" t="inlineStr">
        <is>
          <t>4方向天井カセット ツイン子機 PA-P280U7HDNB(10HP) 1F食堂・ﾐｰﾃｨﾝｸﾞ・ﾄﾚｰﾆﾝｸﾞ・ﾎｰﾙ</t>
        </is>
      </c>
      <c r="D7" s="40" t="n"/>
      <c r="E7" s="93" t="n">
        <v>8</v>
      </c>
      <c r="F7" s="94" t="inlineStr">
        <is>
          <t>台</t>
        </is>
      </c>
      <c r="G7" s="95">
        <f>IF(M7="","",ROUND(M7*N7,-1))</f>
        <v>25620</v>
      </c>
      <c r="H7" s="93">
        <f>IF(G7="","",ROUND(E7*G7,0))</f>
        <v>204960</v>
      </c>
      <c r="I7" s="96" t="inlineStr">
        <is>
          <t>本体は元請様支給</t>
        </is>
      </c>
      <c r="J7" s="97" t="n">
        <v>2000</v>
      </c>
      <c r="K7" s="98" t="n">
        <v>1</v>
      </c>
      <c r="L7" s="95">
        <f>ROUND(K7*LABOR_DAY,0)</f>
        <v>19000</v>
      </c>
      <c r="M7" s="95">
        <f>J7+L7</f>
        <v>21000</v>
      </c>
      <c r="N7" s="99">
        <f>COEF</f>
        <v>1.22</v>
      </c>
      <c r="O7" s="93">
        <f>E7*M7</f>
        <v>168000</v>
      </c>
      <c r="P7" s="93">
        <f>ROUND(E7*L7*N7,0)</f>
        <v>185440</v>
      </c>
      <c r="Q7" s="100" t="inlineStr">
        <is>
          <t>図面カウント</t>
        </is>
      </c>
      <c r="R7" s="93">
        <f>IF(H7="","",H7-O7)</f>
        <v>36960</v>
      </c>
      <c r="S7" s="101">
        <f>IF(OR(H7="",H7=0),"",R7/H7)</f>
        <v>0.18032786885245902</v>
      </c>
      <c r="T7" s="95" t="n">
        <v>27860</v>
      </c>
      <c r="U7" s="102">
        <f>IF(OR(T7="",T7=0),"",G7/T7)</f>
        <v>0.9195979899497487</v>
      </c>
      <c r="V7" s="103" t="inlineStr">
        <is>
          <t>6330558 VRV 90クラス 27,860/台｜4系統×2台 空調平面図1F</t>
        </is>
      </c>
    </row>
    <row r="8" ht="18" customHeight="1">
      <c r="A8" s="91" t="inlineStr">
        <is>
          <t xml:space="preserve">　AC-1 室外機 据付</t>
        </is>
      </c>
      <c r="B8" s="40" t="n"/>
      <c r="C8" s="92" t="inlineStr">
        <is>
          <t>10HP 屋外機架台(支給)上 1F地上</t>
        </is>
      </c>
      <c r="D8" s="40" t="n"/>
      <c r="E8" s="93" t="n">
        <v>4</v>
      </c>
      <c r="F8" s="94" t="inlineStr">
        <is>
          <t>台</t>
        </is>
      </c>
      <c r="G8" s="95">
        <f>IF(M8="","",ROUND(M8*N8,-1))</f>
        <v>30380</v>
      </c>
      <c r="H8" s="93">
        <f>IF(G8="","",ROUND(E8*G8,0))</f>
        <v>121520</v>
      </c>
      <c r="I8" s="96" t="inlineStr">
        <is>
          <t>本体は元請様支給</t>
        </is>
      </c>
      <c r="J8" s="97" t="n">
        <v>4000</v>
      </c>
      <c r="K8" s="98" t="n">
        <v>1.1</v>
      </c>
      <c r="L8" s="95">
        <f>ROUND(K8*LABOR_DAY,0)</f>
        <v>20900</v>
      </c>
      <c r="M8" s="95">
        <f>J8+L8</f>
        <v>24900</v>
      </c>
      <c r="N8" s="99">
        <f>COEF</f>
        <v>1.22</v>
      </c>
      <c r="O8" s="93">
        <f>E8*M8</f>
        <v>99600</v>
      </c>
      <c r="P8" s="93">
        <f>ROUND(E8*L8*N8,0)</f>
        <v>101992</v>
      </c>
      <c r="Q8" s="100" t="inlineStr">
        <is>
          <t>図面カウント</t>
        </is>
      </c>
      <c r="R8" s="93">
        <f>IF(H8="","",H8-O8)</f>
        <v>21920</v>
      </c>
      <c r="S8" s="101">
        <f>IF(OR(H8="",H8=0),"",R8/H8)</f>
        <v>0.1803818301514154</v>
      </c>
      <c r="T8" s="95" t="n">
        <v>37860</v>
      </c>
      <c r="U8" s="102">
        <f>IF(OR(T8="",T8=0),"",G8/T8)</f>
        <v>0.8024300052826202</v>
      </c>
      <c r="V8" s="103" t="inlineStr">
        <is>
          <t>8〜10HP 室外機（防振ゴム・架台固定共）｜基礎は建築工事</t>
        </is>
      </c>
    </row>
    <row r="9" ht="18" customHeight="1">
      <c r="A9" s="91" t="inlineStr">
        <is>
          <t xml:space="preserve">　AC-2 室内機 据付</t>
        </is>
      </c>
      <c r="B9" s="40" t="n"/>
      <c r="C9" s="92" t="inlineStr">
        <is>
          <t>4方向天井カセット ツイン子機 PA-P224U7HDNB(8HP) コーチルーム</t>
        </is>
      </c>
      <c r="D9" s="40" t="n"/>
      <c r="E9" s="93" t="n">
        <v>2</v>
      </c>
      <c r="F9" s="94" t="inlineStr">
        <is>
          <t>台</t>
        </is>
      </c>
      <c r="G9" s="95">
        <f>IF(M9="","",ROUND(M9*N9,-1))</f>
        <v>25620</v>
      </c>
      <c r="H9" s="93">
        <f>IF(G9="","",ROUND(E9*G9,0))</f>
        <v>51240</v>
      </c>
      <c r="I9" s="96" t="inlineStr">
        <is>
          <t>本体は元請様支給</t>
        </is>
      </c>
      <c r="J9" s="97" t="n">
        <v>2000</v>
      </c>
      <c r="K9" s="98" t="n">
        <v>1</v>
      </c>
      <c r="L9" s="95">
        <f>ROUND(K9*LABOR_DAY,0)</f>
        <v>19000</v>
      </c>
      <c r="M9" s="95">
        <f>J9+L9</f>
        <v>21000</v>
      </c>
      <c r="N9" s="99">
        <f>COEF</f>
        <v>1.22</v>
      </c>
      <c r="O9" s="93">
        <f>E9*M9</f>
        <v>42000</v>
      </c>
      <c r="P9" s="93">
        <f>ROUND(E9*L9*N9,0)</f>
        <v>46360</v>
      </c>
      <c r="Q9" s="100" t="inlineStr">
        <is>
          <t>図面カウント</t>
        </is>
      </c>
      <c r="R9" s="93">
        <f>IF(H9="","",H9-O9)</f>
        <v>9240</v>
      </c>
      <c r="S9" s="101">
        <f>IF(OR(H9="",H9=0),"",R9/H9)</f>
        <v>0.18032786885245902</v>
      </c>
      <c r="T9" s="95" t="n">
        <v>27860</v>
      </c>
      <c r="U9" s="102">
        <f>IF(OR(T9="",T9=0),"",G9/T9)</f>
        <v>0.9195979899497487</v>
      </c>
      <c r="V9" s="103" t="inlineStr">
        <is>
          <t>6330558 VRV 90クラス 27,860/台｜</t>
        </is>
      </c>
    </row>
    <row r="10" ht="18" customHeight="1">
      <c r="A10" s="91" t="inlineStr">
        <is>
          <t xml:space="preserve">　AC-2 室外機 据付</t>
        </is>
      </c>
      <c r="B10" s="40" t="n"/>
      <c r="C10" s="92" t="inlineStr">
        <is>
          <t>8HP</t>
        </is>
      </c>
      <c r="D10" s="40" t="n"/>
      <c r="E10" s="93" t="n">
        <v>1</v>
      </c>
      <c r="F10" s="94" t="inlineStr">
        <is>
          <t>台</t>
        </is>
      </c>
      <c r="G10" s="95">
        <f>IF(M10="","",ROUND(M10*N10,-1))</f>
        <v>30380</v>
      </c>
      <c r="H10" s="93">
        <f>IF(G10="","",ROUND(E10*G10,0))</f>
        <v>30380</v>
      </c>
      <c r="I10" s="96" t="inlineStr">
        <is>
          <t>本体は元請様支給</t>
        </is>
      </c>
      <c r="J10" s="97" t="n">
        <v>4000</v>
      </c>
      <c r="K10" s="98" t="n">
        <v>1.1</v>
      </c>
      <c r="L10" s="95">
        <f>ROUND(K10*LABOR_DAY,0)</f>
        <v>20900</v>
      </c>
      <c r="M10" s="95">
        <f>J10+L10</f>
        <v>24900</v>
      </c>
      <c r="N10" s="99">
        <f>COEF</f>
        <v>1.22</v>
      </c>
      <c r="O10" s="93">
        <f>E10*M10</f>
        <v>24900</v>
      </c>
      <c r="P10" s="93">
        <f>ROUND(E10*L10*N10,0)</f>
        <v>25498</v>
      </c>
      <c r="Q10" s="100" t="inlineStr">
        <is>
          <t>図面カウント</t>
        </is>
      </c>
      <c r="R10" s="93">
        <f>IF(H10="","",H10-O10)</f>
        <v>5480</v>
      </c>
      <c r="S10" s="101">
        <f>IF(OR(H10="",H10=0),"",R10/H10)</f>
        <v>0.1803818301514154</v>
      </c>
      <c r="T10" s="95" t="n">
        <v>37860</v>
      </c>
      <c r="U10" s="102">
        <f>IF(OR(T10="",T10=0),"",G10/T10)</f>
        <v>0.8024300052826202</v>
      </c>
      <c r="V10" s="103" t="inlineStr">
        <is>
          <t>8〜10HP 室外機（防振ゴム・架台固定共）｜</t>
        </is>
      </c>
    </row>
    <row r="11" ht="18" customHeight="1">
      <c r="A11" s="91" t="inlineStr">
        <is>
          <t xml:space="preserve">　AC-3 室内機 据付</t>
        </is>
      </c>
      <c r="B11" s="40" t="n"/>
      <c r="C11" s="92" t="inlineStr">
        <is>
          <t>4方向天井カセット ツイン子機 (4HP) 脱衣室</t>
        </is>
      </c>
      <c r="D11" s="40" t="n"/>
      <c r="E11" s="93" t="n">
        <v>2</v>
      </c>
      <c r="F11" s="94" t="inlineStr">
        <is>
          <t>台</t>
        </is>
      </c>
      <c r="G11" s="95">
        <f>IF(M11="","",ROUND(M11*N11,-1))</f>
        <v>21660</v>
      </c>
      <c r="H11" s="93">
        <f>IF(G11="","",ROUND(E11*G11,0))</f>
        <v>43320</v>
      </c>
      <c r="I11" s="96" t="inlineStr">
        <is>
          <t>本体は元請様支給</t>
        </is>
      </c>
      <c r="J11" s="97" t="n">
        <v>1600</v>
      </c>
      <c r="K11" s="98" t="n">
        <v>0.85</v>
      </c>
      <c r="L11" s="95">
        <f>ROUND(K11*LABOR_DAY,0)</f>
        <v>16150</v>
      </c>
      <c r="M11" s="95">
        <f>J11+L11</f>
        <v>17750</v>
      </c>
      <c r="N11" s="99">
        <f>COEF</f>
        <v>1.22</v>
      </c>
      <c r="O11" s="93">
        <f>E11*M11</f>
        <v>35500</v>
      </c>
      <c r="P11" s="93">
        <f>ROUND(E11*L11*N11,0)</f>
        <v>39406</v>
      </c>
      <c r="Q11" s="100" t="inlineStr">
        <is>
          <t>図面カウント</t>
        </is>
      </c>
      <c r="R11" s="93">
        <f>IF(H11="","",H11-O11)</f>
        <v>7820</v>
      </c>
      <c r="S11" s="101">
        <f>IF(OR(H11="",H11=0),"",R11/H11)</f>
        <v>0.18051708217913204</v>
      </c>
      <c r="T11" s="95" t="n">
        <v>21700</v>
      </c>
      <c r="U11" s="102">
        <f>IF(OR(T11="",T11=0),"",G11/T11)</f>
        <v>0.9981566820276497</v>
      </c>
      <c r="V11" s="103" t="inlineStr">
        <is>
          <t>6330476-3 搬入据付 238,750/11台≒21,700/台、6330284-1 25,000/台｜</t>
        </is>
      </c>
    </row>
    <row r="12" ht="18" customHeight="1">
      <c r="A12" s="91" t="inlineStr">
        <is>
          <t xml:space="preserve">　AC-3 室外機 据付</t>
        </is>
      </c>
      <c r="B12" s="40" t="n"/>
      <c r="C12" s="92" t="inlineStr">
        <is>
          <t>4HP 物干場側</t>
        </is>
      </c>
      <c r="D12" s="40" t="n"/>
      <c r="E12" s="93" t="n">
        <v>1</v>
      </c>
      <c r="F12" s="94" t="inlineStr">
        <is>
          <t>台</t>
        </is>
      </c>
      <c r="G12" s="95">
        <f>IF(M12="","",ROUND(M12*N12,-1))</f>
        <v>22200</v>
      </c>
      <c r="H12" s="93">
        <f>IF(G12="","",ROUND(E12*G12,0))</f>
        <v>22200</v>
      </c>
      <c r="I12" s="96" t="inlineStr">
        <is>
          <t>本体は元請様支給</t>
        </is>
      </c>
      <c r="J12" s="97" t="n">
        <v>3000</v>
      </c>
      <c r="K12" s="98" t="n">
        <v>0.8</v>
      </c>
      <c r="L12" s="95">
        <f>ROUND(K12*LABOR_DAY,0)</f>
        <v>15200</v>
      </c>
      <c r="M12" s="95">
        <f>J12+L12</f>
        <v>18200</v>
      </c>
      <c r="N12" s="99">
        <f>COEF</f>
        <v>1.22</v>
      </c>
      <c r="O12" s="93">
        <f>E12*M12</f>
        <v>18200</v>
      </c>
      <c r="P12" s="93">
        <f>ROUND(E12*L12*N12,0)</f>
        <v>18544</v>
      </c>
      <c r="Q12" s="100" t="inlineStr">
        <is>
          <t>図面カウント</t>
        </is>
      </c>
      <c r="R12" s="93">
        <f>IF(H12="","",H12-O12)</f>
        <v>4000</v>
      </c>
      <c r="S12" s="101">
        <f>IF(OR(H12="",H12=0),"",R12/H12)</f>
        <v>0.18018018018018017</v>
      </c>
      <c r="T12" s="95" t="n">
        <v>29200</v>
      </c>
      <c r="U12" s="102">
        <f>IF(OR(T12="",T12=0),"",G12/T12)</f>
        <v>0.7602739726027398</v>
      </c>
      <c r="V12" s="103" t="inlineStr">
        <is>
          <t>搬入据付＋基礎工事 5,800〜10,000/台（6330539/549/476-3）｜</t>
        </is>
      </c>
    </row>
    <row r="13" ht="18" customHeight="1">
      <c r="A13" s="91" t="inlineStr">
        <is>
          <t xml:space="preserve">　AC-5 室内機 据付</t>
        </is>
      </c>
      <c r="B13" s="40" t="n"/>
      <c r="C13" s="92" t="inlineStr">
        <is>
          <t>4方向天井カセット PA-P56U7HNB(2HP) ケア室・管理人室</t>
        </is>
      </c>
      <c r="D13" s="40" t="n"/>
      <c r="E13" s="93" t="n">
        <v>2</v>
      </c>
      <c r="F13" s="94" t="inlineStr">
        <is>
          <t>台</t>
        </is>
      </c>
      <c r="G13" s="95">
        <f>IF(M13="","",ROUND(M13*N13,-1))</f>
        <v>21660</v>
      </c>
      <c r="H13" s="93">
        <f>IF(G13="","",ROUND(E13*G13,0))</f>
        <v>43320</v>
      </c>
      <c r="I13" s="96" t="inlineStr">
        <is>
          <t>本体は元請様支給</t>
        </is>
      </c>
      <c r="J13" s="97" t="n">
        <v>1600</v>
      </c>
      <c r="K13" s="98" t="n">
        <v>0.85</v>
      </c>
      <c r="L13" s="95">
        <f>ROUND(K13*LABOR_DAY,0)</f>
        <v>16150</v>
      </c>
      <c r="M13" s="95">
        <f>J13+L13</f>
        <v>17750</v>
      </c>
      <c r="N13" s="99">
        <f>COEF</f>
        <v>1.22</v>
      </c>
      <c r="O13" s="93">
        <f>E13*M13</f>
        <v>35500</v>
      </c>
      <c r="P13" s="93">
        <f>ROUND(E13*L13*N13,0)</f>
        <v>39406</v>
      </c>
      <c r="Q13" s="100" t="inlineStr">
        <is>
          <t>図面カウント</t>
        </is>
      </c>
      <c r="R13" s="93">
        <f>IF(H13="","",H13-O13)</f>
        <v>7820</v>
      </c>
      <c r="S13" s="101">
        <f>IF(OR(H13="",H13=0),"",R13/H13)</f>
        <v>0.18051708217913204</v>
      </c>
      <c r="T13" s="95" t="n">
        <v>21700</v>
      </c>
      <c r="U13" s="102">
        <f>IF(OR(T13="",T13=0),"",G13/T13)</f>
        <v>0.9981566820276497</v>
      </c>
      <c r="V13" s="103" t="inlineStr">
        <is>
          <t>6330476-3 搬入据付 238,750/11台≒21,700/台、6330284-1 25,000/台｜</t>
        </is>
      </c>
    </row>
    <row r="14" ht="18" customHeight="1">
      <c r="A14" s="91" t="inlineStr">
        <is>
          <t xml:space="preserve">　AC-5 室外機 据付</t>
        </is>
      </c>
      <c r="B14" s="40" t="n"/>
      <c r="C14" s="92" t="inlineStr">
        <is>
          <t>2HP</t>
        </is>
      </c>
      <c r="D14" s="40" t="n"/>
      <c r="E14" s="93" t="n">
        <v>2</v>
      </c>
      <c r="F14" s="94" t="inlineStr">
        <is>
          <t>台</t>
        </is>
      </c>
      <c r="G14" s="95">
        <f>IF(M14="","",ROUND(M14*N14,-1))</f>
        <v>22200</v>
      </c>
      <c r="H14" s="93">
        <f>IF(G14="","",ROUND(E14*G14,0))</f>
        <v>44400</v>
      </c>
      <c r="I14" s="96" t="inlineStr">
        <is>
          <t>本体は元請様支給</t>
        </is>
      </c>
      <c r="J14" s="97" t="n">
        <v>3000</v>
      </c>
      <c r="K14" s="98" t="n">
        <v>0.8</v>
      </c>
      <c r="L14" s="95">
        <f>ROUND(K14*LABOR_DAY,0)</f>
        <v>15200</v>
      </c>
      <c r="M14" s="95">
        <f>J14+L14</f>
        <v>18200</v>
      </c>
      <c r="N14" s="99">
        <f>COEF</f>
        <v>1.22</v>
      </c>
      <c r="O14" s="93">
        <f>E14*M14</f>
        <v>36400</v>
      </c>
      <c r="P14" s="93">
        <f>ROUND(E14*L14*N14,0)</f>
        <v>37088</v>
      </c>
      <c r="Q14" s="100" t="inlineStr">
        <is>
          <t>図面カウント</t>
        </is>
      </c>
      <c r="R14" s="93">
        <f>IF(H14="","",H14-O14)</f>
        <v>8000</v>
      </c>
      <c r="S14" s="101">
        <f>IF(OR(H14="",H14=0),"",R14/H14)</f>
        <v>0.18018018018018017</v>
      </c>
      <c r="T14" s="95" t="n">
        <v>29200</v>
      </c>
      <c r="U14" s="102">
        <f>IF(OR(T14="",T14=0),"",G14/T14)</f>
        <v>0.7602739726027398</v>
      </c>
      <c r="V14" s="103" t="inlineStr">
        <is>
          <t>搬入据付＋基礎工事 5,800〜10,000/台（6330539/549/476-3）｜</t>
        </is>
      </c>
    </row>
    <row r="15" ht="18" customHeight="1">
      <c r="A15" s="91" t="inlineStr">
        <is>
          <t xml:space="preserve">　AC-6 室内機 据付</t>
        </is>
      </c>
      <c r="B15" s="40" t="n"/>
      <c r="C15" s="92" t="inlineStr">
        <is>
          <t>天吊形厨房用 PA-P140V7HNB(5HP) 厨房</t>
        </is>
      </c>
      <c r="D15" s="40" t="n"/>
      <c r="E15" s="93" t="n">
        <v>1</v>
      </c>
      <c r="F15" s="94" t="inlineStr">
        <is>
          <t>台</t>
        </is>
      </c>
      <c r="G15" s="95">
        <f>IF(M15="","",ROUND(M15*N15,-1))</f>
        <v>21660</v>
      </c>
      <c r="H15" s="93">
        <f>IF(G15="","",ROUND(E15*G15,0))</f>
        <v>21660</v>
      </c>
      <c r="I15" s="96" t="inlineStr">
        <is>
          <t>本体は元請様支給</t>
        </is>
      </c>
      <c r="J15" s="97" t="n">
        <v>1600</v>
      </c>
      <c r="K15" s="98" t="n">
        <v>0.85</v>
      </c>
      <c r="L15" s="95">
        <f>ROUND(K15*LABOR_DAY,0)</f>
        <v>16150</v>
      </c>
      <c r="M15" s="95">
        <f>J15+L15</f>
        <v>17750</v>
      </c>
      <c r="N15" s="99">
        <f>COEF</f>
        <v>1.22</v>
      </c>
      <c r="O15" s="93">
        <f>E15*M15</f>
        <v>17750</v>
      </c>
      <c r="P15" s="93">
        <f>ROUND(E15*L15*N15,0)</f>
        <v>19703</v>
      </c>
      <c r="Q15" s="100" t="inlineStr">
        <is>
          <t>図面カウント</t>
        </is>
      </c>
      <c r="R15" s="93">
        <f>IF(H15="","",H15-O15)</f>
        <v>3910</v>
      </c>
      <c r="S15" s="101">
        <f>IF(OR(H15="",H15=0),"",R15/H15)</f>
        <v>0.18051708217913204</v>
      </c>
      <c r="T15" s="95" t="n">
        <v>21700</v>
      </c>
      <c r="U15" s="102">
        <f>IF(OR(T15="",T15=0),"",G15/T15)</f>
        <v>0.9981566820276497</v>
      </c>
      <c r="V15" s="103" t="inlineStr">
        <is>
          <t>6330476-3 搬入据付 238,750/11台≒21,700/台、6330284-1 25,000/台｜</t>
        </is>
      </c>
    </row>
    <row r="16" ht="18" customHeight="1">
      <c r="A16" s="91" t="inlineStr">
        <is>
          <t xml:space="preserve">　AC-6 室外機 据付</t>
        </is>
      </c>
      <c r="B16" s="40" t="n"/>
      <c r="C16" s="92" t="inlineStr">
        <is>
          <t>5HP</t>
        </is>
      </c>
      <c r="D16" s="40" t="n"/>
      <c r="E16" s="93" t="n">
        <v>1</v>
      </c>
      <c r="F16" s="94" t="inlineStr">
        <is>
          <t>台</t>
        </is>
      </c>
      <c r="G16" s="95">
        <f>IF(M16="","",ROUND(M16*N16,-1))</f>
        <v>22200</v>
      </c>
      <c r="H16" s="93">
        <f>IF(G16="","",ROUND(E16*G16,0))</f>
        <v>22200</v>
      </c>
      <c r="I16" s="96" t="inlineStr">
        <is>
          <t>本体は元請様支給</t>
        </is>
      </c>
      <c r="J16" s="97" t="n">
        <v>3000</v>
      </c>
      <c r="K16" s="98" t="n">
        <v>0.8</v>
      </c>
      <c r="L16" s="95">
        <f>ROUND(K16*LABOR_DAY,0)</f>
        <v>15200</v>
      </c>
      <c r="M16" s="95">
        <f>J16+L16</f>
        <v>18200</v>
      </c>
      <c r="N16" s="99">
        <f>COEF</f>
        <v>1.22</v>
      </c>
      <c r="O16" s="93">
        <f>E16*M16</f>
        <v>18200</v>
      </c>
      <c r="P16" s="93">
        <f>ROUND(E16*L16*N16,0)</f>
        <v>18544</v>
      </c>
      <c r="Q16" s="100" t="inlineStr">
        <is>
          <t>図面カウント</t>
        </is>
      </c>
      <c r="R16" s="93">
        <f>IF(H16="","",H16-O16)</f>
        <v>4000</v>
      </c>
      <c r="S16" s="101">
        <f>IF(OR(H16="",H16=0),"",R16/H16)</f>
        <v>0.18018018018018017</v>
      </c>
      <c r="T16" s="95" t="n">
        <v>29200</v>
      </c>
      <c r="U16" s="102">
        <f>IF(OR(T16="",T16=0),"",G16/T16)</f>
        <v>0.7602739726027398</v>
      </c>
      <c r="V16" s="103" t="inlineStr">
        <is>
          <t>搬入据付＋基礎工事 5,800〜10,000/台（6330539/549/476-3）｜</t>
        </is>
      </c>
    </row>
    <row r="17" ht="18" customHeight="1">
      <c r="A17" s="91" t="inlineStr">
        <is>
          <t xml:space="preserve">　AC-7 室内機 据付</t>
        </is>
      </c>
      <c r="B17" s="40" t="n"/>
      <c r="C17" s="92" t="inlineStr">
        <is>
          <t>2方向天井カセット PA-P50L7HNB(1.8HP) 面談室</t>
        </is>
      </c>
      <c r="D17" s="40" t="n"/>
      <c r="E17" s="93" t="n">
        <v>1</v>
      </c>
      <c r="F17" s="94" t="inlineStr">
        <is>
          <t>台</t>
        </is>
      </c>
      <c r="G17" s="95">
        <f>IF(M17="","",ROUND(M17*N17,-1))</f>
        <v>25620</v>
      </c>
      <c r="H17" s="93">
        <f>IF(G17="","",ROUND(E17*G17,0))</f>
        <v>25620</v>
      </c>
      <c r="I17" s="96" t="inlineStr">
        <is>
          <t>本体は元請様支給</t>
        </is>
      </c>
      <c r="J17" s="97" t="n">
        <v>2000</v>
      </c>
      <c r="K17" s="98" t="n">
        <v>1</v>
      </c>
      <c r="L17" s="95">
        <f>ROUND(K17*LABOR_DAY,0)</f>
        <v>19000</v>
      </c>
      <c r="M17" s="95">
        <f>J17+L17</f>
        <v>21000</v>
      </c>
      <c r="N17" s="99">
        <f>COEF</f>
        <v>1.22</v>
      </c>
      <c r="O17" s="93">
        <f>E17*M17</f>
        <v>21000</v>
      </c>
      <c r="P17" s="93">
        <f>ROUND(E17*L17*N17,0)</f>
        <v>23180</v>
      </c>
      <c r="Q17" s="100" t="inlineStr">
        <is>
          <t>図面カウント</t>
        </is>
      </c>
      <c r="R17" s="93">
        <f>IF(H17="","",H17-O17)</f>
        <v>4620</v>
      </c>
      <c r="S17" s="101">
        <f>IF(OR(H17="",H17=0),"",R17/H17)</f>
        <v>0.18032786885245902</v>
      </c>
      <c r="T17" s="95" t="n">
        <v>27860</v>
      </c>
      <c r="U17" s="102">
        <f>IF(OR(T17="",T17=0),"",G17/T17)</f>
        <v>0.9195979899497487</v>
      </c>
      <c r="V17" s="103" t="inlineStr">
        <is>
          <t>6330558 VRV 90クラス 27,860/台｜</t>
        </is>
      </c>
    </row>
    <row r="18" ht="18" customHeight="1">
      <c r="A18" s="91" t="inlineStr">
        <is>
          <t xml:space="preserve">　AC-7 室外機 据付</t>
        </is>
      </c>
      <c r="B18" s="40" t="n"/>
      <c r="C18" s="92" t="inlineStr">
        <is>
          <t>1.8HP</t>
        </is>
      </c>
      <c r="D18" s="40" t="n"/>
      <c r="E18" s="93" t="n">
        <v>1</v>
      </c>
      <c r="F18" s="94" t="inlineStr">
        <is>
          <t>台</t>
        </is>
      </c>
      <c r="G18" s="95">
        <f>IF(M18="","",ROUND(M18*N18,-1))</f>
        <v>30380</v>
      </c>
      <c r="H18" s="93">
        <f>IF(G18="","",ROUND(E18*G18,0))</f>
        <v>30380</v>
      </c>
      <c r="I18" s="96" t="inlineStr">
        <is>
          <t>本体は元請様支給</t>
        </is>
      </c>
      <c r="J18" s="97" t="n">
        <v>4000</v>
      </c>
      <c r="K18" s="98" t="n">
        <v>1.1</v>
      </c>
      <c r="L18" s="95">
        <f>ROUND(K18*LABOR_DAY,0)</f>
        <v>20900</v>
      </c>
      <c r="M18" s="95">
        <f>J18+L18</f>
        <v>24900</v>
      </c>
      <c r="N18" s="99">
        <f>COEF</f>
        <v>1.22</v>
      </c>
      <c r="O18" s="93">
        <f>E18*M18</f>
        <v>24900</v>
      </c>
      <c r="P18" s="93">
        <f>ROUND(E18*L18*N18,0)</f>
        <v>25498</v>
      </c>
      <c r="Q18" s="100" t="inlineStr">
        <is>
          <t>図面カウント</t>
        </is>
      </c>
      <c r="R18" s="93">
        <f>IF(H18="","",H18-O18)</f>
        <v>5480</v>
      </c>
      <c r="S18" s="101">
        <f>IF(OR(H18="",H18=0),"",R18/H18)</f>
        <v>0.1803818301514154</v>
      </c>
      <c r="T18" s="95" t="n">
        <v>37860</v>
      </c>
      <c r="U18" s="102">
        <f>IF(OR(T18="",T18=0),"",G18/T18)</f>
        <v>0.8024300052826202</v>
      </c>
      <c r="V18" s="103" t="inlineStr">
        <is>
          <t>8〜10HP 室外機（防振ゴム・架台固定共）｜</t>
        </is>
      </c>
    </row>
    <row r="19" ht="18" customHeight="1">
      <c r="A19" s="91" t="inlineStr">
        <is>
          <t xml:space="preserve">　AC-8 室内機 据付</t>
        </is>
      </c>
      <c r="B19" s="40" t="n"/>
      <c r="C19" s="92" t="inlineStr">
        <is>
          <t>ビルトインダクト PA-P56FE7HNBC(2HP) 厨房</t>
        </is>
      </c>
      <c r="D19" s="40" t="n"/>
      <c r="E19" s="93" t="n">
        <v>1</v>
      </c>
      <c r="F19" s="94" t="inlineStr">
        <is>
          <t>台</t>
        </is>
      </c>
      <c r="G19" s="95">
        <f>IF(M19="","",ROUND(M19*N19,-1))</f>
        <v>21660</v>
      </c>
      <c r="H19" s="93">
        <f>IF(G19="","",ROUND(E19*G19,0))</f>
        <v>21660</v>
      </c>
      <c r="I19" s="96" t="inlineStr">
        <is>
          <t>本体は元請様支給</t>
        </is>
      </c>
      <c r="J19" s="97" t="n">
        <v>1600</v>
      </c>
      <c r="K19" s="98" t="n">
        <v>0.85</v>
      </c>
      <c r="L19" s="95">
        <f>ROUND(K19*LABOR_DAY,0)</f>
        <v>16150</v>
      </c>
      <c r="M19" s="95">
        <f>J19+L19</f>
        <v>17750</v>
      </c>
      <c r="N19" s="99">
        <f>COEF</f>
        <v>1.22</v>
      </c>
      <c r="O19" s="93">
        <f>E19*M19</f>
        <v>17750</v>
      </c>
      <c r="P19" s="93">
        <f>ROUND(E19*L19*N19,0)</f>
        <v>19703</v>
      </c>
      <c r="Q19" s="100" t="inlineStr">
        <is>
          <t>図面カウント</t>
        </is>
      </c>
      <c r="R19" s="93">
        <f>IF(H19="","",H19-O19)</f>
        <v>3910</v>
      </c>
      <c r="S19" s="101">
        <f>IF(OR(H19="",H19=0),"",R19/H19)</f>
        <v>0.18051708217913204</v>
      </c>
      <c r="T19" s="95" t="n">
        <v>21700</v>
      </c>
      <c r="U19" s="102">
        <f>IF(OR(T19="",T19=0),"",G19/T19)</f>
        <v>0.9981566820276497</v>
      </c>
      <c r="V19" s="103" t="inlineStr">
        <is>
          <t>6330476-3 搬入据付 238,750/11台≒21,700/台、6330284-1 25,000/台｜ダクト・制気口は A-4 に計上</t>
        </is>
      </c>
    </row>
    <row r="20" ht="18" customHeight="1">
      <c r="A20" s="91" t="inlineStr">
        <is>
          <t xml:space="preserve">　AC-8 室外機 据付</t>
        </is>
      </c>
      <c r="B20" s="40" t="n"/>
      <c r="C20" s="92" t="inlineStr">
        <is>
          <t>2HP</t>
        </is>
      </c>
      <c r="D20" s="40" t="n"/>
      <c r="E20" s="93" t="n">
        <v>1</v>
      </c>
      <c r="F20" s="94" t="inlineStr">
        <is>
          <t>台</t>
        </is>
      </c>
      <c r="G20" s="95">
        <f>IF(M20="","",ROUND(M20*N20,-1))</f>
        <v>22200</v>
      </c>
      <c r="H20" s="93">
        <f>IF(G20="","",ROUND(E20*G20,0))</f>
        <v>22200</v>
      </c>
      <c r="I20" s="96" t="inlineStr">
        <is>
          <t>本体は元請様支給</t>
        </is>
      </c>
      <c r="J20" s="97" t="n">
        <v>3000</v>
      </c>
      <c r="K20" s="98" t="n">
        <v>0.8</v>
      </c>
      <c r="L20" s="95">
        <f>ROUND(K20*LABOR_DAY,0)</f>
        <v>15200</v>
      </c>
      <c r="M20" s="95">
        <f>J20+L20</f>
        <v>18200</v>
      </c>
      <c r="N20" s="99">
        <f>COEF</f>
        <v>1.22</v>
      </c>
      <c r="O20" s="93">
        <f>E20*M20</f>
        <v>18200</v>
      </c>
      <c r="P20" s="93">
        <f>ROUND(E20*L20*N20,0)</f>
        <v>18544</v>
      </c>
      <c r="Q20" s="100" t="inlineStr">
        <is>
          <t>図面カウント</t>
        </is>
      </c>
      <c r="R20" s="93">
        <f>IF(H20="","",H20-O20)</f>
        <v>4000</v>
      </c>
      <c r="S20" s="101">
        <f>IF(OR(H20="",H20=0),"",R20/H20)</f>
        <v>0.18018018018018017</v>
      </c>
      <c r="T20" s="95" t="n">
        <v>29200</v>
      </c>
      <c r="U20" s="102">
        <f>IF(OR(T20="",T20=0),"",G20/T20)</f>
        <v>0.7602739726027398</v>
      </c>
      <c r="V20" s="103" t="inlineStr">
        <is>
          <t>搬入据付＋基礎工事 5,800〜10,000/台（6330539/549/476-3）｜</t>
        </is>
      </c>
    </row>
    <row r="21" ht="18" customHeight="1">
      <c r="A21" s="91" t="inlineStr">
        <is>
          <t xml:space="preserve">　AC-9 室内機 据付</t>
        </is>
      </c>
      <c r="B21" s="40" t="n"/>
      <c r="C21" s="92" t="inlineStr">
        <is>
          <t>天吊形厨房用 PA-P80V7HNB(3HP) 弁当室</t>
        </is>
      </c>
      <c r="D21" s="40" t="n"/>
      <c r="E21" s="93" t="n">
        <v>1</v>
      </c>
      <c r="F21" s="94" t="inlineStr">
        <is>
          <t>台</t>
        </is>
      </c>
      <c r="G21" s="95">
        <f>IF(M21="","",ROUND(M21*N21,-1))</f>
        <v>21660</v>
      </c>
      <c r="H21" s="93">
        <f>IF(G21="","",ROUND(E21*G21,0))</f>
        <v>21660</v>
      </c>
      <c r="I21" s="96" t="inlineStr">
        <is>
          <t>本体は元請様支給</t>
        </is>
      </c>
      <c r="J21" s="97" t="n">
        <v>1600</v>
      </c>
      <c r="K21" s="98" t="n">
        <v>0.85</v>
      </c>
      <c r="L21" s="95">
        <f>ROUND(K21*LABOR_DAY,0)</f>
        <v>16150</v>
      </c>
      <c r="M21" s="95">
        <f>J21+L21</f>
        <v>17750</v>
      </c>
      <c r="N21" s="99">
        <f>COEF</f>
        <v>1.22</v>
      </c>
      <c r="O21" s="93">
        <f>E21*M21</f>
        <v>17750</v>
      </c>
      <c r="P21" s="93">
        <f>ROUND(E21*L21*N21,0)</f>
        <v>19703</v>
      </c>
      <c r="Q21" s="100" t="inlineStr">
        <is>
          <t>図面カウント</t>
        </is>
      </c>
      <c r="R21" s="93">
        <f>IF(H21="","",H21-O21)</f>
        <v>3910</v>
      </c>
      <c r="S21" s="101">
        <f>IF(OR(H21="",H21=0),"",R21/H21)</f>
        <v>0.18051708217913204</v>
      </c>
      <c r="T21" s="95" t="n">
        <v>21700</v>
      </c>
      <c r="U21" s="102">
        <f>IF(OR(T21="",T21=0),"",G21/T21)</f>
        <v>0.9981566820276497</v>
      </c>
      <c r="V21" s="103" t="inlineStr">
        <is>
          <t>6330476-3 搬入据付 238,750/11台≒21,700/台、6330284-1 25,000/台｜</t>
        </is>
      </c>
    </row>
    <row r="22" ht="18" customHeight="1">
      <c r="A22" s="91" t="inlineStr">
        <is>
          <t xml:space="preserve">　AC-9 室外機 据付</t>
        </is>
      </c>
      <c r="B22" s="40" t="n"/>
      <c r="C22" s="92" t="inlineStr">
        <is>
          <t>3HP</t>
        </is>
      </c>
      <c r="D22" s="40" t="n"/>
      <c r="E22" s="93" t="n">
        <v>1</v>
      </c>
      <c r="F22" s="94" t="inlineStr">
        <is>
          <t>台</t>
        </is>
      </c>
      <c r="G22" s="95">
        <f>IF(M22="","",ROUND(M22*N22,-1))</f>
        <v>22200</v>
      </c>
      <c r="H22" s="93">
        <f>IF(G22="","",ROUND(E22*G22,0))</f>
        <v>22200</v>
      </c>
      <c r="I22" s="96" t="inlineStr">
        <is>
          <t>本体は元請様支給</t>
        </is>
      </c>
      <c r="J22" s="97" t="n">
        <v>3000</v>
      </c>
      <c r="K22" s="98" t="n">
        <v>0.8</v>
      </c>
      <c r="L22" s="95">
        <f>ROUND(K22*LABOR_DAY,0)</f>
        <v>15200</v>
      </c>
      <c r="M22" s="95">
        <f>J22+L22</f>
        <v>18200</v>
      </c>
      <c r="N22" s="99">
        <f>COEF</f>
        <v>1.22</v>
      </c>
      <c r="O22" s="93">
        <f>E22*M22</f>
        <v>18200</v>
      </c>
      <c r="P22" s="93">
        <f>ROUND(E22*L22*N22,0)</f>
        <v>18544</v>
      </c>
      <c r="Q22" s="100" t="inlineStr">
        <is>
          <t>図面カウント</t>
        </is>
      </c>
      <c r="R22" s="93">
        <f>IF(H22="","",H22-O22)</f>
        <v>4000</v>
      </c>
      <c r="S22" s="101">
        <f>IF(OR(H22="",H22=0),"",R22/H22)</f>
        <v>0.18018018018018017</v>
      </c>
      <c r="T22" s="95" t="n">
        <v>29200</v>
      </c>
      <c r="U22" s="102">
        <f>IF(OR(T22="",T22=0),"",G22/T22)</f>
        <v>0.7602739726027398</v>
      </c>
      <c r="V22" s="103" t="inlineStr">
        <is>
          <t>搬入据付＋基礎工事 5,800〜10,000/台（6330539/549/476-3）｜</t>
        </is>
      </c>
    </row>
    <row r="23" ht="18" customHeight="1">
      <c r="A23" s="91" t="inlineStr">
        <is>
          <t xml:space="preserve">　AC-10 室内機 据付</t>
        </is>
      </c>
      <c r="B23" s="40" t="n"/>
      <c r="C23" s="92" t="inlineStr">
        <is>
          <t>4方向天井カセット PA-P140U7HNB(5HP) 2F多目的スペース</t>
        </is>
      </c>
      <c r="D23" s="40" t="n"/>
      <c r="E23" s="93" t="n">
        <v>1</v>
      </c>
      <c r="F23" s="94" t="inlineStr">
        <is>
          <t>台</t>
        </is>
      </c>
      <c r="G23" s="95">
        <f>IF(M23="","",ROUND(M23*N23,-1))</f>
        <v>21660</v>
      </c>
      <c r="H23" s="93">
        <f>IF(G23="","",ROUND(E23*G23,0))</f>
        <v>21660</v>
      </c>
      <c r="I23" s="96" t="inlineStr">
        <is>
          <t>本体は元請様支給</t>
        </is>
      </c>
      <c r="J23" s="97" t="n">
        <v>1600</v>
      </c>
      <c r="K23" s="98" t="n">
        <v>0.85</v>
      </c>
      <c r="L23" s="95">
        <f>ROUND(K23*LABOR_DAY,0)</f>
        <v>16150</v>
      </c>
      <c r="M23" s="95">
        <f>J23+L23</f>
        <v>17750</v>
      </c>
      <c r="N23" s="99">
        <f>COEF</f>
        <v>1.22</v>
      </c>
      <c r="O23" s="93">
        <f>E23*M23</f>
        <v>17750</v>
      </c>
      <c r="P23" s="93">
        <f>ROUND(E23*L23*N23,0)</f>
        <v>19703</v>
      </c>
      <c r="Q23" s="100" t="inlineStr">
        <is>
          <t>図面カウント</t>
        </is>
      </c>
      <c r="R23" s="93">
        <f>IF(H23="","",H23-O23)</f>
        <v>3910</v>
      </c>
      <c r="S23" s="101">
        <f>IF(OR(H23="",H23=0),"",R23/H23)</f>
        <v>0.18051708217913204</v>
      </c>
      <c r="T23" s="95" t="n">
        <v>21700</v>
      </c>
      <c r="U23" s="102">
        <f>IF(OR(T23="",T23=0),"",G23/T23)</f>
        <v>0.9981566820276497</v>
      </c>
      <c r="V23" s="103" t="inlineStr">
        <is>
          <t>6330476-3 搬入据付 238,750/11台≒21,700/台、6330284-1 25,000/台｜</t>
        </is>
      </c>
    </row>
    <row r="24" ht="18" customHeight="1">
      <c r="A24" s="91" t="inlineStr">
        <is>
          <t xml:space="preserve">　AC-10 室外機 据付</t>
        </is>
      </c>
      <c r="B24" s="40" t="n"/>
      <c r="C24" s="92" t="inlineStr">
        <is>
          <t>5HP 1F地上(中庭2西側)</t>
        </is>
      </c>
      <c r="D24" s="40" t="n"/>
      <c r="E24" s="93" t="n">
        <v>1</v>
      </c>
      <c r="F24" s="94" t="inlineStr">
        <is>
          <t>台</t>
        </is>
      </c>
      <c r="G24" s="95">
        <f>IF(M24="","",ROUND(M24*N24,-1))</f>
        <v>22200</v>
      </c>
      <c r="H24" s="93">
        <f>IF(G24="","",ROUND(E24*G24,0))</f>
        <v>22200</v>
      </c>
      <c r="I24" s="96" t="inlineStr">
        <is>
          <t>本体は元請様支給</t>
        </is>
      </c>
      <c r="J24" s="97" t="n">
        <v>3000</v>
      </c>
      <c r="K24" s="98" t="n">
        <v>0.8</v>
      </c>
      <c r="L24" s="95">
        <f>ROUND(K24*LABOR_DAY,0)</f>
        <v>15200</v>
      </c>
      <c r="M24" s="95">
        <f>J24+L24</f>
        <v>18200</v>
      </c>
      <c r="N24" s="99">
        <f>COEF</f>
        <v>1.22</v>
      </c>
      <c r="O24" s="93">
        <f>E24*M24</f>
        <v>18200</v>
      </c>
      <c r="P24" s="93">
        <f>ROUND(E24*L24*N24,0)</f>
        <v>18544</v>
      </c>
      <c r="Q24" s="100" t="inlineStr">
        <is>
          <t>図面カウント</t>
        </is>
      </c>
      <c r="R24" s="93">
        <f>IF(H24="","",H24-O24)</f>
        <v>4000</v>
      </c>
      <c r="S24" s="101">
        <f>IF(OR(H24="",H24=0),"",R24/H24)</f>
        <v>0.18018018018018017</v>
      </c>
      <c r="T24" s="95" t="n">
        <v>29200</v>
      </c>
      <c r="U24" s="102">
        <f>IF(OR(T24="",T24=0),"",G24/T24)</f>
        <v>0.7602739726027398</v>
      </c>
      <c r="V24" s="103" t="inlineStr">
        <is>
          <t>搬入据付＋基礎工事 5,800〜10,000/台（6330539/549/476-3）｜</t>
        </is>
      </c>
    </row>
    <row r="25" ht="18" customHeight="1">
      <c r="A25" s="91" t="inlineStr">
        <is>
          <t xml:space="preserve">　RAC-1 据付</t>
        </is>
      </c>
      <c r="B25" s="40" t="n"/>
      <c r="C25" s="92" t="inlineStr">
        <is>
          <t>壁掛ルームエアコン XCS-255DGX-W 内外機・ドレンアップ共 洗浄室・休憩室</t>
        </is>
      </c>
      <c r="D25" s="40" t="n"/>
      <c r="E25" s="93" t="n">
        <v>2</v>
      </c>
      <c r="F25" s="94" t="inlineStr">
        <is>
          <t>組</t>
        </is>
      </c>
      <c r="G25" s="95">
        <f>IF(M25="","",ROUND(M25*N25,-1))</f>
        <v>12510</v>
      </c>
      <c r="H25" s="93">
        <f>IF(G25="","",ROUND(E25*G25,0))</f>
        <v>25020</v>
      </c>
      <c r="I25" s="96" t="inlineStr">
        <is>
          <t>本体は元請様支給</t>
        </is>
      </c>
      <c r="J25" s="97" t="n">
        <v>750</v>
      </c>
      <c r="K25" s="98" t="n">
        <v>0.5</v>
      </c>
      <c r="L25" s="95">
        <f>ROUND(K25*LABOR_DAY,0)</f>
        <v>9500</v>
      </c>
      <c r="M25" s="95">
        <f>J25+L25</f>
        <v>10250</v>
      </c>
      <c r="N25" s="99">
        <f>COEF</f>
        <v>1.22</v>
      </c>
      <c r="O25" s="93">
        <f>E25*M25</f>
        <v>20500</v>
      </c>
      <c r="P25" s="93">
        <f>ROUND(E25*L25*N25,0)</f>
        <v>23180</v>
      </c>
      <c r="Q25" s="100" t="inlineStr">
        <is>
          <t>図面カウント</t>
        </is>
      </c>
      <c r="R25" s="93">
        <f>IF(H25="","",H25-O25)</f>
        <v>4520</v>
      </c>
      <c r="S25" s="101">
        <f>IF(OR(H25="",H25=0),"",R25/H25)</f>
        <v>0.1806554756195044</v>
      </c>
      <c r="T25" s="95" t="n">
        <v>18300</v>
      </c>
      <c r="U25" s="102">
        <f>IF(OR(T25="",T25=0),"",G25/T25)</f>
        <v>0.6836065573770492</v>
      </c>
      <c r="V25" s="103" t="inlineStr">
        <is>
          <t>6330539 RA 搬入据付 12,500/組＋基礎 5,833/組｜屋外機架台支給</t>
        </is>
      </c>
    </row>
    <row r="26" ht="18" customHeight="1">
      <c r="A26" s="91" t="inlineStr">
        <is>
          <t xml:space="preserve">　RAC-2 据付</t>
        </is>
      </c>
      <c r="B26" s="40" t="n"/>
      <c r="C26" s="92" t="inlineStr">
        <is>
          <t>壁掛ルームエアコン XCS-405DGX-W 内外機・ドレンアップ共 来客室・和室・洋室・DK</t>
        </is>
      </c>
      <c r="D26" s="40" t="n"/>
      <c r="E26" s="93" t="n">
        <v>8</v>
      </c>
      <c r="F26" s="94" t="inlineStr">
        <is>
          <t>組</t>
        </is>
      </c>
      <c r="G26" s="95">
        <f>IF(M26="","",ROUND(M26*N26,-1))</f>
        <v>12510</v>
      </c>
      <c r="H26" s="93">
        <f>IF(G26="","",ROUND(E26*G26,0))</f>
        <v>100080</v>
      </c>
      <c r="I26" s="96" t="inlineStr">
        <is>
          <t>本体は元請様支給</t>
        </is>
      </c>
      <c r="J26" s="97" t="n">
        <v>750</v>
      </c>
      <c r="K26" s="98" t="n">
        <v>0.5</v>
      </c>
      <c r="L26" s="95">
        <f>ROUND(K26*LABOR_DAY,0)</f>
        <v>9500</v>
      </c>
      <c r="M26" s="95">
        <f>J26+L26</f>
        <v>10250</v>
      </c>
      <c r="N26" s="99">
        <f>COEF</f>
        <v>1.22</v>
      </c>
      <c r="O26" s="93">
        <f>E26*M26</f>
        <v>82000</v>
      </c>
      <c r="P26" s="93">
        <f>ROUND(E26*L26*N26,0)</f>
        <v>92720</v>
      </c>
      <c r="Q26" s="100" t="inlineStr">
        <is>
          <t>図面カウント</t>
        </is>
      </c>
      <c r="R26" s="93">
        <f>IF(H26="","",H26-O26)</f>
        <v>18080</v>
      </c>
      <c r="S26" s="101">
        <f>IF(OR(H26="",H26=0),"",R26/H26)</f>
        <v>0.1806554756195044</v>
      </c>
      <c r="T26" s="95" t="n">
        <v>18300</v>
      </c>
      <c r="U26" s="102">
        <f>IF(OR(T26="",T26=0),"",G26/T26)</f>
        <v>0.6836065573770492</v>
      </c>
      <c r="V26" s="103" t="inlineStr">
        <is>
          <t>6330539 RA 搬入据付 12,500/組＋基礎 5,833/組｜屋外機架台(2段)支給</t>
        </is>
      </c>
    </row>
    <row r="27" ht="18" customHeight="1">
      <c r="A27" s="91" t="inlineStr">
        <is>
          <t xml:space="preserve">　RAC-3 据付</t>
        </is>
      </c>
      <c r="B27" s="40" t="n"/>
      <c r="C27" s="92" t="inlineStr">
        <is>
          <t>壁掛ルームエアコン XCS-405DGX2-W 内外機 2F寮室・予備室・コーチ宿泊室</t>
        </is>
      </c>
      <c r="D27" s="40" t="n"/>
      <c r="E27" s="93" t="n">
        <v>66</v>
      </c>
      <c r="F27" s="94" t="inlineStr">
        <is>
          <t>組</t>
        </is>
      </c>
      <c r="G27" s="95">
        <f>IF(M27="","",ROUND(M27*N27,-1))</f>
        <v>12510</v>
      </c>
      <c r="H27" s="93">
        <f>IF(G27="","",ROUND(E27*G27,0))</f>
        <v>825660</v>
      </c>
      <c r="I27" s="96" t="inlineStr">
        <is>
          <t>本体は元請様支給</t>
        </is>
      </c>
      <c r="J27" s="97" t="n">
        <v>750</v>
      </c>
      <c r="K27" s="98" t="n">
        <v>0.5</v>
      </c>
      <c r="L27" s="95">
        <f>ROUND(K27*LABOR_DAY,0)</f>
        <v>9500</v>
      </c>
      <c r="M27" s="95">
        <f>J27+L27</f>
        <v>10250</v>
      </c>
      <c r="N27" s="99">
        <f>COEF</f>
        <v>1.22</v>
      </c>
      <c r="O27" s="93">
        <f>E27*M27</f>
        <v>676500</v>
      </c>
      <c r="P27" s="93">
        <f>ROUND(E27*L27*N27,0)</f>
        <v>764940</v>
      </c>
      <c r="Q27" s="100" t="inlineStr">
        <is>
          <t>図面カウント</t>
        </is>
      </c>
      <c r="R27" s="93">
        <f>IF(H27="","",H27-O27)</f>
        <v>149160</v>
      </c>
      <c r="S27" s="101">
        <f>IF(OR(H27="",H27=0),"",R27/H27)</f>
        <v>0.1806554756195044</v>
      </c>
      <c r="T27" s="95" t="n">
        <v>18300</v>
      </c>
      <c r="U27" s="102">
        <f>IF(OR(T27="",T27=0),"",G27/T27)</f>
        <v>0.6836065573770492</v>
      </c>
      <c r="V27" s="103" t="inlineStr">
        <is>
          <t>6330539 RA 搬入据付 12,500/組＋基礎 5,833/組｜屋外機はバルコニー2段架台(支給)</t>
        </is>
      </c>
    </row>
    <row r="28" ht="18" customHeight="1">
      <c r="A28" s="91" t="inlineStr">
        <is>
          <t xml:space="preserve">　RAC-4 据付</t>
        </is>
      </c>
      <c r="B28" s="40" t="n"/>
      <c r="C28" s="92" t="inlineStr">
        <is>
          <t>壁掛ルームエアコン XCS-635DGX2-W 内外機 2F寮務スタッフ室</t>
        </is>
      </c>
      <c r="D28" s="40" t="n"/>
      <c r="E28" s="93" t="n">
        <v>1</v>
      </c>
      <c r="F28" s="94" t="inlineStr">
        <is>
          <t>組</t>
        </is>
      </c>
      <c r="G28" s="95">
        <f>IF(M28="","",ROUND(M28*N28,-1))</f>
        <v>12510</v>
      </c>
      <c r="H28" s="93">
        <f>IF(G28="","",ROUND(E28*G28,0))</f>
        <v>12510</v>
      </c>
      <c r="I28" s="96" t="inlineStr">
        <is>
          <t>本体は元請様支給</t>
        </is>
      </c>
      <c r="J28" s="97" t="n">
        <v>750</v>
      </c>
      <c r="K28" s="98" t="n">
        <v>0.5</v>
      </c>
      <c r="L28" s="95">
        <f>ROUND(K28*LABOR_DAY,0)</f>
        <v>9500</v>
      </c>
      <c r="M28" s="95">
        <f>J28+L28</f>
        <v>10250</v>
      </c>
      <c r="N28" s="99">
        <f>COEF</f>
        <v>1.22</v>
      </c>
      <c r="O28" s="93">
        <f>E28*M28</f>
        <v>10250</v>
      </c>
      <c r="P28" s="93">
        <f>ROUND(E28*L28*N28,0)</f>
        <v>11590</v>
      </c>
      <c r="Q28" s="100" t="inlineStr">
        <is>
          <t>図面カウント</t>
        </is>
      </c>
      <c r="R28" s="93">
        <f>IF(H28="","",H28-O28)</f>
        <v>2260</v>
      </c>
      <c r="S28" s="101">
        <f>IF(OR(H28="",H28=0),"",R28/H28)</f>
        <v>0.1806554756195044</v>
      </c>
      <c r="T28" s="95" t="n">
        <v>18300</v>
      </c>
      <c r="U28" s="102">
        <f>IF(OR(T28="",T28=0),"",G28/T28)</f>
        <v>0.6836065573770492</v>
      </c>
      <c r="V28" s="103" t="inlineStr">
        <is>
          <t>6330539 RA 搬入据付 12,500/組＋基礎 5,833/組｜</t>
        </is>
      </c>
    </row>
    <row r="29" ht="18" customHeight="1">
      <c r="A29" s="91" t="inlineStr">
        <is>
          <t xml:space="preserve">　CR-1 集中リモコン 取付</t>
        </is>
      </c>
      <c r="B29" s="40" t="n"/>
      <c r="C29" s="92" t="inlineStr">
        <is>
          <t>CZ-10ESM5・CZ-10ESW4 管理人室</t>
        </is>
      </c>
      <c r="D29" s="40" t="n"/>
      <c r="E29" s="93" t="n">
        <v>1</v>
      </c>
      <c r="F29" s="94" t="inlineStr">
        <is>
          <t>台</t>
        </is>
      </c>
      <c r="G29" s="95">
        <f>IF(M29="","",ROUND(M29*N29,-1))</f>
        <v>18190</v>
      </c>
      <c r="H29" s="93">
        <f>IF(G29="","",ROUND(E29*G29,0))</f>
        <v>18190</v>
      </c>
      <c r="I29" s="96" t="n"/>
      <c r="J29" s="97" t="n">
        <v>7500</v>
      </c>
      <c r="K29" s="98" t="n">
        <v>0.39</v>
      </c>
      <c r="L29" s="95">
        <f>ROUND(K29*LABOR_DAY,0)</f>
        <v>7410</v>
      </c>
      <c r="M29" s="95">
        <f>J29+L29</f>
        <v>14910</v>
      </c>
      <c r="N29" s="99">
        <f>COEF</f>
        <v>1.22</v>
      </c>
      <c r="O29" s="93">
        <f>E29*M29</f>
        <v>14910</v>
      </c>
      <c r="P29" s="93">
        <f>ROUND(E29*L29*N29,0)</f>
        <v>9040</v>
      </c>
      <c r="Q29" s="100" t="inlineStr">
        <is>
          <t>図面カウント</t>
        </is>
      </c>
      <c r="R29" s="93">
        <f>IF(H29="","",H29-O29)</f>
        <v>3280</v>
      </c>
      <c r="S29" s="101">
        <f>IF(OR(H29="",H29=0),"",R29/H29)</f>
        <v>0.18031885651456844</v>
      </c>
      <c r="T29" s="95" t="n"/>
      <c r="U29" s="102" t="n"/>
      <c r="V29" s="103" t="inlineStr">
        <is>
          <t>旧仮単価（按分）｜配線は A-4</t>
        </is>
      </c>
    </row>
    <row r="30" ht="18" customHeight="1">
      <c r="A30" s="91" t="inlineStr">
        <is>
          <t xml:space="preserve">　機器搬入・揚重・養生</t>
        </is>
      </c>
      <c r="B30" s="40" t="n"/>
      <c r="C30" s="92" t="inlineStr">
        <is>
          <t>PAC 32台・RAC 154台分</t>
        </is>
      </c>
      <c r="D30" s="40" t="n"/>
      <c r="E30" s="93" t="n">
        <v>1</v>
      </c>
      <c r="F30" s="94" t="inlineStr">
        <is>
          <t>式</t>
        </is>
      </c>
      <c r="G30" s="95">
        <f>IF(M30="","",ROUND(M30*N30,-1))</f>
        <v>91500</v>
      </c>
      <c r="H30" s="93">
        <f>IF(G30="","",ROUND(E30*G30,0))</f>
        <v>91500</v>
      </c>
      <c r="I30" s="96" t="inlineStr">
        <is>
          <t>想定数量（別紙条件書）</t>
        </is>
      </c>
      <c r="J30" s="97" t="n">
        <v>75000</v>
      </c>
      <c r="K30" s="98" t="n">
        <v>0</v>
      </c>
      <c r="L30" s="95">
        <f>ROUND(K30*LABOR_DAY,0)</f>
        <v>0</v>
      </c>
      <c r="M30" s="95">
        <f>J30+L30</f>
        <v>75000</v>
      </c>
      <c r="N30" s="99">
        <f>COEF</f>
        <v>1.22</v>
      </c>
      <c r="O30" s="93">
        <f>E30*M30</f>
        <v>75000</v>
      </c>
      <c r="P30" s="93">
        <f>ROUND(E30*L30*N30,0)</f>
        <v>0</v>
      </c>
      <c r="Q30" s="104" t="inlineStr">
        <is>
          <t>推測</t>
        </is>
      </c>
      <c r="R30" s="93">
        <f>IF(H30="","",H30-O30)</f>
        <v>16500</v>
      </c>
      <c r="S30" s="101">
        <f>IF(OR(H30="",H30=0),"",R30/H30)</f>
        <v>0.18032786885245902</v>
      </c>
      <c r="T30" s="95" t="n">
        <v>93750</v>
      </c>
      <c r="U30" s="102">
        <f>IF(OR(T30="",T30=0),"",G30/T30)</f>
        <v>0.976</v>
      </c>
      <c r="V30" s="103" t="inlineStr">
        <is>
          <t>揚重工事費（レッカー）93,750/式（6330558）｜</t>
        </is>
      </c>
    </row>
    <row r="31" ht="18" customHeight="1">
      <c r="A31" s="90" t="inlineStr">
        <is>
          <t>（2）冷媒配管</t>
        </is>
      </c>
      <c r="B31" s="40" t="n"/>
      <c r="C31" s="40" t="n"/>
      <c r="D31" s="40" t="n"/>
      <c r="E31" s="40" t="n"/>
      <c r="F31" s="40" t="n"/>
      <c r="G31" s="40" t="n"/>
      <c r="H31" s="40" t="n"/>
      <c r="I31" s="89" t="n"/>
      <c r="J31" s="40" t="n"/>
      <c r="K31" s="40" t="n"/>
      <c r="L31" s="40" t="n"/>
      <c r="M31" s="40" t="n"/>
      <c r="N31" s="40" t="n"/>
      <c r="O31" s="40" t="n"/>
      <c r="P31" s="40" t="n"/>
      <c r="Q31" s="40" t="n"/>
      <c r="R31" s="40" t="n"/>
      <c r="S31" s="40" t="n"/>
      <c r="T31" s="40" t="n"/>
      <c r="U31" s="40" t="n"/>
      <c r="V31" s="40" t="n"/>
    </row>
    <row r="32" ht="18" customHeight="1">
      <c r="A32" s="91" t="inlineStr">
        <is>
          <t xml:space="preserve">　冷媒配管 ①</t>
        </is>
      </c>
      <c r="B32" s="40" t="n"/>
      <c r="C32" s="92" t="inlineStr">
        <is>
          <t>被覆銅管 9.52/6.35 (RAC-1,2 1F 及び RAC-3 2F)</t>
        </is>
      </c>
      <c r="D32" s="40" t="n"/>
      <c r="E32" s="93" t="n">
        <v>360</v>
      </c>
      <c r="F32" s="94" t="inlineStr">
        <is>
          <t>m</t>
        </is>
      </c>
      <c r="G32" s="95">
        <f>IF(M32="","",ROUND(M32*N32,-1))</f>
        <v>7320</v>
      </c>
      <c r="H32" s="93">
        <f>IF(G32="","",ROUND(E32*G32,0))</f>
        <v>2635200</v>
      </c>
      <c r="I32" s="96" t="inlineStr">
        <is>
          <t>図面実測＋想定（別紙）</t>
        </is>
      </c>
      <c r="J32" s="97" t="n">
        <v>2200</v>
      </c>
      <c r="K32" s="98" t="n">
        <v>0.2</v>
      </c>
      <c r="L32" s="95">
        <f>ROUND(K32*LABOR_DAY,0)</f>
        <v>3800</v>
      </c>
      <c r="M32" s="95">
        <f>J32+L32</f>
        <v>6000</v>
      </c>
      <c r="N32" s="99">
        <f>COEF</f>
        <v>1.22</v>
      </c>
      <c r="O32" s="93">
        <f>E32*M32</f>
        <v>2160000</v>
      </c>
      <c r="P32" s="93">
        <f>ROUND(E32*L32*N32,0)</f>
        <v>1668960</v>
      </c>
      <c r="Q32" s="100" t="inlineStr">
        <is>
          <t>実測+推測</t>
        </is>
      </c>
      <c r="R32" s="93">
        <f>IF(H32="","",H32-O32)</f>
        <v>475200</v>
      </c>
      <c r="S32" s="101">
        <f>IF(OR(H32="",H32=0),"",R32/H32)</f>
        <v>0.18032786885245902</v>
      </c>
      <c r="T32" s="95" t="n">
        <v>7328</v>
      </c>
      <c r="U32" s="102">
        <f>IF(OR(T32="",T32=0),"",G32/T32)</f>
        <v>0.9989082969432315</v>
      </c>
      <c r="V32" s="103" t="inlineStr">
        <is>
          <t>6330539 ペアコイル6.35+9.52 988/m・2分3分級は1,450/m想定、5 m/人工｜平面実測34.3m＋推測(RAC-3 66台×4m、来客室RAC-2 5台×4m、RAC-1補正8m、立上り10台×3m)</t>
        </is>
      </c>
    </row>
    <row r="33" ht="18" customHeight="1">
      <c r="A33" s="91" t="inlineStr">
        <is>
          <t xml:space="preserve">　冷媒配管 ②</t>
        </is>
      </c>
      <c r="B33" s="40" t="n"/>
      <c r="C33" s="92" t="inlineStr">
        <is>
          <t>被覆銅管 12.7/6.35 (AC-5,7,8 AC-3枝 RAC-4)</t>
        </is>
      </c>
      <c r="D33" s="40" t="n"/>
      <c r="E33" s="93" t="n">
        <v>77</v>
      </c>
      <c r="F33" s="94" t="inlineStr">
        <is>
          <t>m</t>
        </is>
      </c>
      <c r="G33" s="95">
        <f>IF(M33="","",ROUND(M33*N33,-1))</f>
        <v>8480</v>
      </c>
      <c r="H33" s="93">
        <f>IF(G33="","",ROUND(E33*G33,0))</f>
        <v>652960</v>
      </c>
      <c r="I33" s="96" t="inlineStr">
        <is>
          <t>図面実測＋想定（別紙）</t>
        </is>
      </c>
      <c r="J33" s="97" t="n">
        <v>2960</v>
      </c>
      <c r="K33" s="98" t="n">
        <v>0.21</v>
      </c>
      <c r="L33" s="95">
        <f>ROUND(K33*LABOR_DAY,0)</f>
        <v>3990</v>
      </c>
      <c r="M33" s="95">
        <f>J33+L33</f>
        <v>6950</v>
      </c>
      <c r="N33" s="99">
        <f>COEF</f>
        <v>1.22</v>
      </c>
      <c r="O33" s="93">
        <f>E33*M33</f>
        <v>535150</v>
      </c>
      <c r="P33" s="93">
        <f>ROUND(E33*L33*N33,0)</f>
        <v>374821</v>
      </c>
      <c r="Q33" s="100" t="inlineStr">
        <is>
          <t>実測+推測</t>
        </is>
      </c>
      <c r="R33" s="93">
        <f>IF(H33="","",H33-O33)</f>
        <v>117810</v>
      </c>
      <c r="S33" s="101">
        <f>IF(OR(H33="",H33=0),"",R33/H33)</f>
        <v>0.1804245283018868</v>
      </c>
      <c r="T33" s="95" t="n">
        <v>8485</v>
      </c>
      <c r="U33" s="102">
        <f>IF(OR(T33="",T33=0),"",G33/T33)</f>
        <v>0.9994107248084856</v>
      </c>
      <c r="V33" s="103" t="inlineStr">
        <is>
          <t>補間（9.52+15.88 4,025 と 6.35+9.52 の間）｜平面実測56m＋推測(立上り4系統×4m、RAC-4 5m)</t>
        </is>
      </c>
    </row>
    <row r="34" ht="18" customHeight="1">
      <c r="A34" s="91" t="inlineStr">
        <is>
          <t xml:space="preserve">　冷媒配管 ③</t>
        </is>
      </c>
      <c r="B34" s="40" t="n"/>
      <c r="C34" s="92" t="inlineStr">
        <is>
          <t>被覆銅管 15.88/9.52 (AC-1/2枝 AC-3主 AC-6,9,10)</t>
        </is>
      </c>
      <c r="D34" s="40" t="n"/>
      <c r="E34" s="93" t="n">
        <v>96</v>
      </c>
      <c r="F34" s="94" t="inlineStr">
        <is>
          <t>m</t>
        </is>
      </c>
      <c r="G34" s="95">
        <f>IF(M34="","",ROUND(M34*N34,-1))</f>
        <v>12540</v>
      </c>
      <c r="H34" s="93">
        <f>IF(G34="","",ROUND(E34*G34,0))</f>
        <v>1203840</v>
      </c>
      <c r="I34" s="96" t="inlineStr">
        <is>
          <t>図面実測＋想定（別紙）</t>
        </is>
      </c>
      <c r="J34" s="97" t="n">
        <v>6100</v>
      </c>
      <c r="K34" s="98" t="n">
        <v>0.22</v>
      </c>
      <c r="L34" s="95">
        <f>ROUND(K34*LABOR_DAY,0)</f>
        <v>4180</v>
      </c>
      <c r="M34" s="95">
        <f>J34+L34</f>
        <v>10280</v>
      </c>
      <c r="N34" s="99">
        <f>COEF</f>
        <v>1.22</v>
      </c>
      <c r="O34" s="93">
        <f>E34*M34</f>
        <v>986880</v>
      </c>
      <c r="P34" s="93">
        <f>ROUND(E34*L34*N34,0)</f>
        <v>489562</v>
      </c>
      <c r="Q34" s="100" t="inlineStr">
        <is>
          <t>実測+推測</t>
        </is>
      </c>
      <c r="R34" s="93">
        <f>IF(H34="","",H34-O34)</f>
        <v>216960</v>
      </c>
      <c r="S34" s="101">
        <f>IF(OR(H34="",H34=0),"",R34/H34)</f>
        <v>0.18022328548644337</v>
      </c>
      <c r="T34" s="95" t="n">
        <v>12556</v>
      </c>
      <c r="U34" s="102">
        <f>IF(OR(T34="",T34=0),"",G34/T34)</f>
        <v>0.9987257088244664</v>
      </c>
      <c r="V34" s="103" t="inlineStr">
        <is>
          <t>6330476-3 / 6330344-1 9.52+15.88 4,025/m、4.6 m/人工｜平面実測72.2m＋推測(立上り3系統×4m、AC-10 2F分3.5m＋立管8m)</t>
        </is>
      </c>
    </row>
    <row r="35" ht="18" customHeight="1">
      <c r="A35" s="91" t="inlineStr">
        <is>
          <t xml:space="preserve">　冷媒配管 ⑥</t>
        </is>
      </c>
      <c r="B35" s="40" t="n"/>
      <c r="C35" s="92" t="inlineStr">
        <is>
          <t>被覆銅管 25.4/9.52 (AC-2主管)</t>
        </is>
      </c>
      <c r="D35" s="40" t="n"/>
      <c r="E35" s="93" t="n">
        <v>9</v>
      </c>
      <c r="F35" s="94" t="inlineStr">
        <is>
          <t>m</t>
        </is>
      </c>
      <c r="G35" s="95">
        <f>IF(M35="","",ROUND(M35*N35,-1))</f>
        <v>16620</v>
      </c>
      <c r="H35" s="93">
        <f>IF(G35="","",ROUND(E35*G35,0))</f>
        <v>149580</v>
      </c>
      <c r="I35" s="96" t="inlineStr">
        <is>
          <t>図面実測＋想定（別紙）</t>
        </is>
      </c>
      <c r="J35" s="97" t="n">
        <v>8300</v>
      </c>
      <c r="K35" s="98" t="n">
        <v>0.28</v>
      </c>
      <c r="L35" s="95">
        <f>ROUND(K35*LABOR_DAY,0)</f>
        <v>5320</v>
      </c>
      <c r="M35" s="95">
        <f>J35+L35</f>
        <v>13620</v>
      </c>
      <c r="N35" s="99">
        <f>COEF</f>
        <v>1.22</v>
      </c>
      <c r="O35" s="93">
        <f>E35*M35</f>
        <v>122580</v>
      </c>
      <c r="P35" s="93">
        <f>ROUND(E35*L35*N35,0)</f>
        <v>58414</v>
      </c>
      <c r="Q35" s="100" t="inlineStr">
        <is>
          <t>実測+推測</t>
        </is>
      </c>
      <c r="R35" s="93">
        <f>IF(H35="","",H35-O35)</f>
        <v>27000</v>
      </c>
      <c r="S35" s="101">
        <f>IF(OR(H35="",H35=0),"",R35/H35)</f>
        <v>0.18050541516245489</v>
      </c>
      <c r="T35" s="95" t="n">
        <v>16632</v>
      </c>
      <c r="U35" s="102">
        <f>IF(OR(T35="",T35=0),"",G35/T35)</f>
        <v>0.9992784992784993</v>
      </c>
      <c r="V35" s="103" t="inlineStr">
        <is>
          <t>6330476-3 9.52+25.40 5,475/m、3.5 m/人工｜平面実測5m＋立上り4m</t>
        </is>
      </c>
    </row>
    <row r="36" ht="18" customHeight="1">
      <c r="A36" s="91" t="inlineStr">
        <is>
          <t xml:space="preserve">　冷媒配管 ⑦</t>
        </is>
      </c>
      <c r="B36" s="40" t="n"/>
      <c r="C36" s="92" t="inlineStr">
        <is>
          <t>被覆銅管 25.4/12.7 (AC-1主管 4系統)</t>
        </is>
      </c>
      <c r="D36" s="40" t="n"/>
      <c r="E36" s="93" t="n">
        <v>57</v>
      </c>
      <c r="F36" s="94" t="inlineStr">
        <is>
          <t>m</t>
        </is>
      </c>
      <c r="G36" s="95">
        <f>IF(M36="","",ROUND(M36*N36,-1))</f>
        <v>17460</v>
      </c>
      <c r="H36" s="93">
        <f>IF(G36="","",ROUND(E36*G36,0))</f>
        <v>995220</v>
      </c>
      <c r="I36" s="96" t="inlineStr">
        <is>
          <t>図面実測＋想定（別紙）</t>
        </is>
      </c>
      <c r="J36" s="97" t="n">
        <v>8610</v>
      </c>
      <c r="K36" s="98" t="n">
        <v>0.3</v>
      </c>
      <c r="L36" s="95">
        <f>ROUND(K36*LABOR_DAY,0)</f>
        <v>5700</v>
      </c>
      <c r="M36" s="95">
        <f>J36+L36</f>
        <v>14310</v>
      </c>
      <c r="N36" s="99">
        <f>COEF</f>
        <v>1.22</v>
      </c>
      <c r="O36" s="93">
        <f>E36*M36</f>
        <v>815670</v>
      </c>
      <c r="P36" s="93">
        <f>ROUND(E36*L36*N36,0)</f>
        <v>396378</v>
      </c>
      <c r="Q36" s="100" t="inlineStr">
        <is>
          <t>実測+推測</t>
        </is>
      </c>
      <c r="R36" s="93">
        <f>IF(H36="","",H36-O36)</f>
        <v>179550</v>
      </c>
      <c r="S36" s="101">
        <f>IF(OR(H36="",H36=0),"",R36/H36)</f>
        <v>0.18041237113402062</v>
      </c>
      <c r="T36" s="95" t="n">
        <v>17466</v>
      </c>
      <c r="U36" s="102">
        <f>IF(OR(T36="",T36=0),"",G36/T36)</f>
        <v>0.9996564754379939</v>
      </c>
      <c r="V36" s="103" t="inlineStr">
        <is>
          <t>6330476-3 12.70+25.40 5,675/m、3.3 m/人工｜平面実測41m＋立上り4系統×4m</t>
        </is>
      </c>
    </row>
    <row r="37" ht="18" customHeight="1">
      <c r="A37" s="91" t="inlineStr">
        <is>
          <t xml:space="preserve">　冷媒配管 化粧ケース</t>
        </is>
      </c>
      <c r="B37" s="40" t="n"/>
      <c r="C37" s="92" t="inlineStr">
        <is>
          <t>屋外・屋内露出部 (管種凡例: 露出管は化粧ケース仕上)</t>
        </is>
      </c>
      <c r="D37" s="40" t="n"/>
      <c r="E37" s="93" t="n">
        <v>125</v>
      </c>
      <c r="F37" s="94" t="inlineStr">
        <is>
          <t>m</t>
        </is>
      </c>
      <c r="G37" s="95">
        <f>IF(M37="","",ROUND(M37*N37,-1))</f>
        <v>4150</v>
      </c>
      <c r="H37" s="93">
        <f>IF(G37="","",ROUND(E37*G37,0))</f>
        <v>518750</v>
      </c>
      <c r="I37" s="96" t="inlineStr">
        <is>
          <t>想定数量（別紙条件書）</t>
        </is>
      </c>
      <c r="J37" s="97" t="n">
        <v>1500</v>
      </c>
      <c r="K37" s="98" t="n">
        <v>0.1</v>
      </c>
      <c r="L37" s="95">
        <f>ROUND(K37*LABOR_DAY,0)</f>
        <v>1900</v>
      </c>
      <c r="M37" s="95">
        <f>J37+L37</f>
        <v>3400</v>
      </c>
      <c r="N37" s="99">
        <f>COEF</f>
        <v>1.22</v>
      </c>
      <c r="O37" s="93">
        <f>E37*M37</f>
        <v>425000</v>
      </c>
      <c r="P37" s="93">
        <f>ROUND(E37*L37*N37,0)</f>
        <v>289750</v>
      </c>
      <c r="Q37" s="104" t="inlineStr">
        <is>
          <t>推測</t>
        </is>
      </c>
      <c r="R37" s="93">
        <f>IF(H37="","",H37-O37)</f>
        <v>93750</v>
      </c>
      <c r="S37" s="101">
        <f>IF(OR(H37="",H37=0),"",R37/H37)</f>
        <v>0.18072289156626506</v>
      </c>
      <c r="T37" s="95" t="n">
        <v>3516</v>
      </c>
      <c r="U37" s="102">
        <f>IF(OR(T37="",T37=0),"",G37/T37)</f>
        <v>1.1803185437997725</v>
      </c>
      <c r="V37" s="103" t="inlineStr">
        <is>
          <t>配管保温工事費 1,194/m（6330476-3）＋化粧ケース材｜PAC13+RAC1F10箇所×2.5m、RAC-3/4 67台×1.0m</t>
        </is>
      </c>
    </row>
    <row r="38" ht="18" customHeight="1">
      <c r="A38" s="91" t="inlineStr">
        <is>
          <t xml:space="preserve">　外壁貫通スリーブ材</t>
        </is>
      </c>
      <c r="B38" s="40" t="n"/>
      <c r="C38" s="92" t="inlineStr">
        <is>
          <t>VP100 冷媒・ドレン用 (穴明けは建築工事)</t>
        </is>
      </c>
      <c r="D38" s="40" t="n"/>
      <c r="E38" s="93" t="n">
        <v>90</v>
      </c>
      <c r="F38" s="94" t="inlineStr">
        <is>
          <t>箇所</t>
        </is>
      </c>
      <c r="G38" s="95">
        <f>IF(M38="","",ROUND(M38*N38,-1))</f>
        <v>2490</v>
      </c>
      <c r="H38" s="93">
        <f>IF(G38="","",ROUND(E38*G38,0))</f>
        <v>224100</v>
      </c>
      <c r="I38" s="96" t="inlineStr">
        <is>
          <t>想定数量（別紙条件書）</t>
        </is>
      </c>
      <c r="J38" s="97" t="n">
        <v>900</v>
      </c>
      <c r="K38" s="98" t="n">
        <v>0.06</v>
      </c>
      <c r="L38" s="95">
        <f>ROUND(K38*LABOR_DAY,0)</f>
        <v>1140</v>
      </c>
      <c r="M38" s="95">
        <f>J38+L38</f>
        <v>2040</v>
      </c>
      <c r="N38" s="99">
        <f>COEF</f>
        <v>1.22</v>
      </c>
      <c r="O38" s="93">
        <f>E38*M38</f>
        <v>183600</v>
      </c>
      <c r="P38" s="93">
        <f>ROUND(E38*L38*N38,0)</f>
        <v>125172</v>
      </c>
      <c r="Q38" s="104" t="inlineStr">
        <is>
          <t>推測</t>
        </is>
      </c>
      <c r="R38" s="93">
        <f>IF(H38="","",H38-O38)</f>
        <v>40500</v>
      </c>
      <c r="S38" s="101">
        <f>IF(OR(H38="",H38=0),"",R38/H38)</f>
        <v>0.18072289156626506</v>
      </c>
      <c r="T38" s="95" t="n"/>
      <c r="U38" s="102" t="n"/>
      <c r="V38" s="103" t="inlineStr">
        <is>
          <t>VP100 スリーブ材＋取付（参考実績なし）｜RAC77＋PAC13</t>
        </is>
      </c>
    </row>
    <row r="39" ht="18" customHeight="1">
      <c r="A39" s="91" t="inlineStr">
        <is>
          <t xml:space="preserve">　区画貫通処理</t>
        </is>
      </c>
      <c r="B39" s="40" t="n"/>
      <c r="C39" s="92" t="inlineStr">
        <is>
          <t>冷媒管 フィブロック(認定工法)</t>
        </is>
      </c>
      <c r="D39" s="40" t="n"/>
      <c r="E39" s="93" t="n">
        <v>2</v>
      </c>
      <c r="F39" s="94" t="inlineStr">
        <is>
          <t>箇所</t>
        </is>
      </c>
      <c r="G39" s="95">
        <f>IF(M39="","",ROUND(M39*N39,-1))</f>
        <v>14760</v>
      </c>
      <c r="H39" s="93">
        <f>IF(G39="","",ROUND(E39*G39,0))</f>
        <v>29520</v>
      </c>
      <c r="I39" s="96" t="inlineStr">
        <is>
          <t>図面実測数量</t>
        </is>
      </c>
      <c r="J39" s="97" t="n">
        <v>4500</v>
      </c>
      <c r="K39" s="98" t="n">
        <v>0.4</v>
      </c>
      <c r="L39" s="95">
        <f>ROUND(K39*LABOR_DAY,0)</f>
        <v>7600</v>
      </c>
      <c r="M39" s="95">
        <f>J39+L39</f>
        <v>12100</v>
      </c>
      <c r="N39" s="99">
        <f>COEF</f>
        <v>1.22</v>
      </c>
      <c r="O39" s="93">
        <f>E39*M39</f>
        <v>24200</v>
      </c>
      <c r="P39" s="93">
        <f>ROUND(E39*L39*N39,0)</f>
        <v>18544</v>
      </c>
      <c r="Q39" s="100" t="inlineStr">
        <is>
          <t>実測</t>
        </is>
      </c>
      <c r="R39" s="93">
        <f>IF(H39="","",H39-O39)</f>
        <v>5320</v>
      </c>
      <c r="S39" s="101">
        <f>IF(OR(H39="",H39=0),"",R39/H39)</f>
        <v>0.1802168021680217</v>
      </c>
      <c r="T39" s="95" t="n"/>
      <c r="U39" s="102" t="n"/>
      <c r="V39" s="103" t="inlineStr">
        <is>
          <t>6330248-2 防火区画貫通 88,000/式（箇所数不明）｜空調平面図1F ●区画貫通部 2箇所</t>
        </is>
      </c>
    </row>
    <row r="40" ht="18" customHeight="1">
      <c r="A40" s="91" t="inlineStr">
        <is>
          <t xml:space="preserve">　気密試験・真空引き・冷媒追加充填 作業</t>
        </is>
      </c>
      <c r="B40" s="40" t="n"/>
      <c r="C40" s="92" t="inlineStr">
        <is>
          <t>PAC 系統毎</t>
        </is>
      </c>
      <c r="D40" s="40" t="n"/>
      <c r="E40" s="93" t="n">
        <v>13</v>
      </c>
      <c r="F40" s="94" t="inlineStr">
        <is>
          <t>系統</t>
        </is>
      </c>
      <c r="G40" s="95">
        <f>IF(M40="","",ROUND(M40*N40,-1))</f>
        <v>17570</v>
      </c>
      <c r="H40" s="93">
        <f>IF(G40="","",ROUND(E40*G40,0))</f>
        <v>228410</v>
      </c>
      <c r="I40" s="96" t="n"/>
      <c r="J40" s="97" t="n">
        <v>3000</v>
      </c>
      <c r="K40" s="98" t="n">
        <v>0.6</v>
      </c>
      <c r="L40" s="95">
        <f>ROUND(K40*LABOR_DAY,0)</f>
        <v>11400</v>
      </c>
      <c r="M40" s="95">
        <f>J40+L40</f>
        <v>14400</v>
      </c>
      <c r="N40" s="99">
        <f>COEF</f>
        <v>1.22</v>
      </c>
      <c r="O40" s="93">
        <f>E40*M40</f>
        <v>187200</v>
      </c>
      <c r="P40" s="93">
        <f>ROUND(E40*L40*N40,0)</f>
        <v>180804</v>
      </c>
      <c r="Q40" s="100" t="inlineStr">
        <is>
          <t>図面カウント</t>
        </is>
      </c>
      <c r="R40" s="93">
        <f>IF(H40="","",H40-O40)</f>
        <v>41210</v>
      </c>
      <c r="S40" s="101">
        <f>IF(OR(H40="",H40=0),"",R40/H40)</f>
        <v>0.18042117245304495</v>
      </c>
      <c r="T40" s="95" t="n">
        <v>20000</v>
      </c>
      <c r="U40" s="102">
        <f>IF(OR(T40="",T40=0),"",G40/T40)</f>
        <v>0.8785</v>
      </c>
      <c r="V40" s="103" t="inlineStr">
        <is>
          <t>気密テスト 15,000〜25,000/系統・真空引き 3,750〜5,640/系統（6330558/344-1/549）｜</t>
        </is>
      </c>
    </row>
    <row r="41" ht="18" customHeight="1">
      <c r="A41" s="91" t="inlineStr">
        <is>
          <t xml:space="preserve">　冷媒追加充填 (冷媒代)</t>
        </is>
      </c>
      <c r="B41" s="40" t="n"/>
      <c r="C41" s="92" t="inlineStr">
        <is>
          <t>R32/R410A</t>
        </is>
      </c>
      <c r="D41" s="40" t="n"/>
      <c r="E41" s="93" t="n">
        <v>8</v>
      </c>
      <c r="F41" s="94" t="inlineStr">
        <is>
          <t>kg</t>
        </is>
      </c>
      <c r="G41" s="95">
        <f>IF(M41="","",ROUND(M41*N41,-1))</f>
        <v>4640</v>
      </c>
      <c r="H41" s="93">
        <f>IF(G41="","",ROUND(E41*G41,0))</f>
        <v>37120</v>
      </c>
      <c r="I41" s="96" t="inlineStr">
        <is>
          <t>想定数量（別紙条件書）</t>
        </is>
      </c>
      <c r="J41" s="97" t="n">
        <v>3800</v>
      </c>
      <c r="K41" s="98" t="n">
        <v>0</v>
      </c>
      <c r="L41" s="95">
        <f>ROUND(K41*LABOR_DAY,0)</f>
        <v>0</v>
      </c>
      <c r="M41" s="95">
        <f>J41+L41</f>
        <v>3800</v>
      </c>
      <c r="N41" s="99">
        <f>COEF</f>
        <v>1.22</v>
      </c>
      <c r="O41" s="93">
        <f>E41*M41</f>
        <v>30400</v>
      </c>
      <c r="P41" s="93">
        <f>ROUND(E41*L41*N41,0)</f>
        <v>0</v>
      </c>
      <c r="Q41" s="104" t="inlineStr">
        <is>
          <t>推測</t>
        </is>
      </c>
      <c r="R41" s="93">
        <f>IF(H41="","",H41-O41)</f>
        <v>6720</v>
      </c>
      <c r="S41" s="101">
        <f>IF(OR(H41="",H41=0),"",R41/H41)</f>
        <v>0.1810344827586207</v>
      </c>
      <c r="T41" s="95" t="n"/>
      <c r="U41" s="102" t="n"/>
      <c r="V41" s="103" t="inlineStr">
        <is>
          <t>R32 冷媒代（参考に単価行なし）｜配管延長より約20g/m換算</t>
        </is>
      </c>
    </row>
    <row r="42" ht="18" customHeight="1">
      <c r="A42" s="90" t="inlineStr">
        <is>
          <t>（3）ドレン配管</t>
        </is>
      </c>
      <c r="B42" s="40" t="n"/>
      <c r="C42" s="40" t="n"/>
      <c r="D42" s="40" t="n"/>
      <c r="E42" s="40" t="n"/>
      <c r="F42" s="40" t="n"/>
      <c r="G42" s="40" t="n"/>
      <c r="H42" s="40" t="n"/>
      <c r="I42" s="89" t="n"/>
      <c r="J42" s="40" t="n"/>
      <c r="K42" s="40" t="n"/>
      <c r="L42" s="40" t="n"/>
      <c r="M42" s="40" t="n"/>
      <c r="N42" s="40" t="n"/>
      <c r="O42" s="40" t="n"/>
      <c r="P42" s="40" t="n"/>
      <c r="Q42" s="40" t="n"/>
      <c r="R42" s="40" t="n"/>
      <c r="S42" s="40" t="n"/>
      <c r="T42" s="40" t="n"/>
      <c r="U42" s="40" t="n"/>
      <c r="V42" s="40" t="n"/>
    </row>
    <row r="43" ht="18" customHeight="1">
      <c r="A43" s="91" t="inlineStr">
        <is>
          <t xml:space="preserve">　ドレン管 VP20</t>
        </is>
      </c>
      <c r="B43" s="40" t="n"/>
      <c r="C43" s="92" t="inlineStr">
        <is>
          <t>硬質塩化ビニル管 継手・支持共</t>
        </is>
      </c>
      <c r="D43" s="40" t="n"/>
      <c r="E43" s="93" t="n">
        <v>37</v>
      </c>
      <c r="F43" s="94" t="inlineStr">
        <is>
          <t>m</t>
        </is>
      </c>
      <c r="G43" s="95">
        <f>IF(M43="","",ROUND(M43*N43,-1))</f>
        <v>2780</v>
      </c>
      <c r="H43" s="93">
        <f>IF(G43="","",ROUND(E43*G43,0))</f>
        <v>102860</v>
      </c>
      <c r="I43" s="96" t="inlineStr">
        <is>
          <t>図面実測＋想定（別紙）</t>
        </is>
      </c>
      <c r="J43" s="97" t="n">
        <v>380</v>
      </c>
      <c r="K43" s="98" t="n">
        <v>0.1</v>
      </c>
      <c r="L43" s="95">
        <f>ROUND(K43*LABOR_DAY,0)</f>
        <v>1900</v>
      </c>
      <c r="M43" s="95">
        <f>J43+L43</f>
        <v>2280</v>
      </c>
      <c r="N43" s="99">
        <f>COEF</f>
        <v>1.22</v>
      </c>
      <c r="O43" s="93">
        <f>E43*M43</f>
        <v>84360</v>
      </c>
      <c r="P43" s="93">
        <f>ROUND(E43*L43*N43,0)</f>
        <v>85766</v>
      </c>
      <c r="Q43" s="100" t="inlineStr">
        <is>
          <t>実測+推測</t>
        </is>
      </c>
      <c r="R43" s="93">
        <f>IF(H43="","",H43-O43)</f>
        <v>18500</v>
      </c>
      <c r="S43" s="101">
        <f>IF(OR(H43="",H43=0),"",R43/H43)</f>
        <v>0.17985611510791366</v>
      </c>
      <c r="T43" s="95" t="n">
        <v>2578</v>
      </c>
      <c r="U43" s="102">
        <f>IF(OR(T43="",T43=0),"",G43/T43)</f>
        <v>1.0783553141970519</v>
      </c>
      <c r="V43" s="103" t="inlineStr">
        <is>
          <t>6330539 VP13 138/m、塩ビ工費 9.3〜12 m/人工｜平面実測7m＋推測(RAC-1/2 ドレンアップ吐出→屋外 10台×3m)</t>
        </is>
      </c>
    </row>
    <row r="44" ht="18" customHeight="1">
      <c r="A44" s="91" t="inlineStr">
        <is>
          <t xml:space="preserve">　ドレン管 VP25</t>
        </is>
      </c>
      <c r="B44" s="40" t="n"/>
      <c r="C44" s="92" t="inlineStr">
        <is>
          <t>硬質塩化ビニル管 継手・支持共</t>
        </is>
      </c>
      <c r="D44" s="40" t="n"/>
      <c r="E44" s="93" t="n">
        <v>94</v>
      </c>
      <c r="F44" s="94" t="inlineStr">
        <is>
          <t>m</t>
        </is>
      </c>
      <c r="G44" s="95">
        <f>IF(M44="","",ROUND(M44*N44,-1))</f>
        <v>3130</v>
      </c>
      <c r="H44" s="93">
        <f>IF(G44="","",ROUND(E44*G44,0))</f>
        <v>294220</v>
      </c>
      <c r="I44" s="96" t="inlineStr">
        <is>
          <t>図面実測＋想定（別紙）</t>
        </is>
      </c>
      <c r="J44" s="97" t="n">
        <v>475</v>
      </c>
      <c r="K44" s="98" t="n">
        <v>0.11</v>
      </c>
      <c r="L44" s="95">
        <f>ROUND(K44*LABOR_DAY,0)</f>
        <v>2090</v>
      </c>
      <c r="M44" s="95">
        <f>J44+L44</f>
        <v>2565</v>
      </c>
      <c r="N44" s="99">
        <f>COEF</f>
        <v>1.22</v>
      </c>
      <c r="O44" s="93">
        <f>E44*M44</f>
        <v>241110</v>
      </c>
      <c r="P44" s="93">
        <f>ROUND(E44*L44*N44,0)</f>
        <v>239681</v>
      </c>
      <c r="Q44" s="100" t="inlineStr">
        <is>
          <t>実測+推測</t>
        </is>
      </c>
      <c r="R44" s="93">
        <f>IF(H44="","",H44-O44)</f>
        <v>53110</v>
      </c>
      <c r="S44" s="101">
        <f>IF(OR(H44="",H44=0),"",R44/H44)</f>
        <v>0.1805111821086262</v>
      </c>
      <c r="T44" s="95" t="n">
        <v>3134</v>
      </c>
      <c r="U44" s="102">
        <f>IF(OR(T44="",T44=0),"",G44/T44)</f>
        <v>0.9987236758136566</v>
      </c>
      <c r="V44" s="103" t="inlineStr">
        <is>
          <t>6330344-1/476-3/248-2 VP25 313/m、工費 2,497/m｜平面実測1F 87.3m・2F 6.1m(未判読分比例配分含む)</t>
        </is>
      </c>
    </row>
    <row r="45" ht="18" customHeight="1">
      <c r="A45" s="91" t="inlineStr">
        <is>
          <t xml:space="preserve">　ドレン管 VP40</t>
        </is>
      </c>
      <c r="B45" s="40" t="n"/>
      <c r="C45" s="92" t="inlineStr">
        <is>
          <t>硬質塩化ビニル管 継手・支持共</t>
        </is>
      </c>
      <c r="D45" s="40" t="n"/>
      <c r="E45" s="93" t="n">
        <v>68</v>
      </c>
      <c r="F45" s="94" t="inlineStr">
        <is>
          <t>m</t>
        </is>
      </c>
      <c r="G45" s="95">
        <f>IF(M45="","",ROUND(M45*N45,-1))</f>
        <v>3940</v>
      </c>
      <c r="H45" s="93">
        <f>IF(G45="","",ROUND(E45*G45,0))</f>
        <v>267920</v>
      </c>
      <c r="I45" s="96" t="inlineStr">
        <is>
          <t>図面実測＋想定（別紙）</t>
        </is>
      </c>
      <c r="J45" s="97" t="n">
        <v>760</v>
      </c>
      <c r="K45" s="98" t="n">
        <v>0.13</v>
      </c>
      <c r="L45" s="95">
        <f>ROUND(K45*LABOR_DAY,0)</f>
        <v>2470</v>
      </c>
      <c r="M45" s="95">
        <f>J45+L45</f>
        <v>3230</v>
      </c>
      <c r="N45" s="99">
        <f>COEF</f>
        <v>1.22</v>
      </c>
      <c r="O45" s="93">
        <f>E45*M45</f>
        <v>219640</v>
      </c>
      <c r="P45" s="93">
        <f>ROUND(E45*L45*N45,0)</f>
        <v>204911</v>
      </c>
      <c r="Q45" s="100" t="inlineStr">
        <is>
          <t>実測+推測</t>
        </is>
      </c>
      <c r="R45" s="93">
        <f>IF(H45="","",H45-O45)</f>
        <v>48280</v>
      </c>
      <c r="S45" s="101">
        <f>IF(OR(H45="",H45=0),"",R45/H45)</f>
        <v>0.1802030456852792</v>
      </c>
      <c r="T45" s="95" t="n"/>
      <c r="U45" s="102" t="n"/>
      <c r="V45" s="103" t="inlineStr">
        <is>
          <t>VP25 比例｜平面実測50.2m＋推測(立下り・屋外放流部12箇所×1.5m)</t>
        </is>
      </c>
    </row>
    <row r="46" ht="18" customHeight="1">
      <c r="A46" s="91" t="inlineStr">
        <is>
          <t xml:space="preserve">　ドレン管 保温</t>
        </is>
      </c>
      <c r="B46" s="40" t="n"/>
      <c r="C46" s="92" t="inlineStr">
        <is>
          <t>GW保温筒20 ALGC 天井内 (特記仕様書 保温表は空欄・標準仕様に準じ計上 要確認)</t>
        </is>
      </c>
      <c r="D46" s="40" t="n"/>
      <c r="E46" s="93" t="n">
        <v>143</v>
      </c>
      <c r="F46" s="94" t="inlineStr">
        <is>
          <t>m</t>
        </is>
      </c>
      <c r="G46" s="95">
        <f>IF(M46="","",ROUND(M46*N46,-1))</f>
        <v>2490</v>
      </c>
      <c r="H46" s="93">
        <f>IF(G46="","",ROUND(E46*G46,0))</f>
        <v>356070</v>
      </c>
      <c r="I46" s="96" t="inlineStr">
        <is>
          <t>想定数量（別紙条件書）</t>
        </is>
      </c>
      <c r="J46" s="97" t="n">
        <v>900</v>
      </c>
      <c r="K46" s="98" t="n">
        <v>0.06</v>
      </c>
      <c r="L46" s="95">
        <f>ROUND(K46*LABOR_DAY,0)</f>
        <v>1140</v>
      </c>
      <c r="M46" s="95">
        <f>J46+L46</f>
        <v>2040</v>
      </c>
      <c r="N46" s="99">
        <f>COEF</f>
        <v>1.22</v>
      </c>
      <c r="O46" s="93">
        <f>E46*M46</f>
        <v>291720</v>
      </c>
      <c r="P46" s="93">
        <f>ROUND(E46*L46*N46,0)</f>
        <v>198884</v>
      </c>
      <c r="Q46" s="104" t="inlineStr">
        <is>
          <t>推測</t>
        </is>
      </c>
      <c r="R46" s="93">
        <f>IF(H46="","",H46-O46)</f>
        <v>64350</v>
      </c>
      <c r="S46" s="101">
        <f>IF(OR(H46="",H46=0),"",R46/H46)</f>
        <v>0.18072289156626506</v>
      </c>
      <c r="T46" s="95" t="n"/>
      <c r="U46" s="102" t="n"/>
      <c r="V46" s="103" t="inlineStr">
        <is>
          <t>GW保温筒20 ALGC（参考実績なし）｜VP25・VP40 天井内相当分</t>
        </is>
      </c>
    </row>
    <row r="47" ht="18" customHeight="1">
      <c r="A47" s="91" t="inlineStr">
        <is>
          <t xml:space="preserve">　ドレン管 区画貫通処理</t>
        </is>
      </c>
      <c r="B47" s="40" t="n"/>
      <c r="C47" s="92" t="inlineStr">
        <is>
          <t>耐火二層管／フィブロック</t>
        </is>
      </c>
      <c r="D47" s="40" t="n"/>
      <c r="E47" s="93" t="n">
        <v>2</v>
      </c>
      <c r="F47" s="94" t="inlineStr">
        <is>
          <t>箇所</t>
        </is>
      </c>
      <c r="G47" s="95">
        <f>IF(M47="","",ROUND(M47*N47,-1))</f>
        <v>14760</v>
      </c>
      <c r="H47" s="93">
        <f>IF(G47="","",ROUND(E47*G47,0))</f>
        <v>29520</v>
      </c>
      <c r="I47" s="96" t="inlineStr">
        <is>
          <t>想定数量（別紙条件書）</t>
        </is>
      </c>
      <c r="J47" s="97" t="n">
        <v>4500</v>
      </c>
      <c r="K47" s="98" t="n">
        <v>0.4</v>
      </c>
      <c r="L47" s="95">
        <f>ROUND(K47*LABOR_DAY,0)</f>
        <v>7600</v>
      </c>
      <c r="M47" s="95">
        <f>J47+L47</f>
        <v>12100</v>
      </c>
      <c r="N47" s="99">
        <f>COEF</f>
        <v>1.22</v>
      </c>
      <c r="O47" s="93">
        <f>E47*M47</f>
        <v>24200</v>
      </c>
      <c r="P47" s="93">
        <f>ROUND(E47*L47*N47,0)</f>
        <v>18544</v>
      </c>
      <c r="Q47" s="104" t="inlineStr">
        <is>
          <t>推測</t>
        </is>
      </c>
      <c r="R47" s="93">
        <f>IF(H47="","",H47-O47)</f>
        <v>5320</v>
      </c>
      <c r="S47" s="101">
        <f>IF(OR(H47="",H47=0),"",R47/H47)</f>
        <v>0.1802168021680217</v>
      </c>
      <c r="T47" s="95" t="n"/>
      <c r="U47" s="102" t="n"/>
      <c r="V47" s="103" t="inlineStr">
        <is>
          <t>6330248-2 防火区画貫通 88,000/式（箇所数不明）｜冷媒管と同位置</t>
        </is>
      </c>
    </row>
    <row r="48" ht="18" customHeight="1">
      <c r="A48" s="91" t="inlineStr">
        <is>
          <t xml:space="preserve">　RAC-3/4 ドレンホース 延長・共巻</t>
        </is>
      </c>
      <c r="B48" s="40" t="n"/>
      <c r="C48" s="92" t="inlineStr">
        <is>
          <t>勾配確保の上 冷媒管共巻 (図示注記)</t>
        </is>
      </c>
      <c r="D48" s="40" t="n"/>
      <c r="E48" s="93" t="n">
        <v>67</v>
      </c>
      <c r="F48" s="94" t="inlineStr">
        <is>
          <t>台</t>
        </is>
      </c>
      <c r="G48" s="95">
        <f>IF(M48="","",ROUND(M48*N48,-1))</f>
        <v>1530</v>
      </c>
      <c r="H48" s="93">
        <f>IF(G48="","",ROUND(E48*G48,0))</f>
        <v>102510</v>
      </c>
      <c r="I48" s="96" t="inlineStr">
        <is>
          <t>想定数量（別紙条件書）</t>
        </is>
      </c>
      <c r="J48" s="97" t="n">
        <v>300</v>
      </c>
      <c r="K48" s="98" t="n">
        <v>0.05</v>
      </c>
      <c r="L48" s="95">
        <f>ROUND(K48*LABOR_DAY,0)</f>
        <v>950</v>
      </c>
      <c r="M48" s="95">
        <f>J48+L48</f>
        <v>1250</v>
      </c>
      <c r="N48" s="99">
        <f>COEF</f>
        <v>1.22</v>
      </c>
      <c r="O48" s="93">
        <f>E48*M48</f>
        <v>83750</v>
      </c>
      <c r="P48" s="93">
        <f>ROUND(E48*L48*N48,0)</f>
        <v>77653</v>
      </c>
      <c r="Q48" s="104" t="inlineStr">
        <is>
          <t>推測</t>
        </is>
      </c>
      <c r="R48" s="93">
        <f>IF(H48="","",H48-O48)</f>
        <v>18760</v>
      </c>
      <c r="S48" s="101">
        <f>IF(OR(H48="",H48=0),"",R48/H48)</f>
        <v>0.1830065359477124</v>
      </c>
      <c r="T48" s="95" t="n"/>
      <c r="U48" s="102" t="n"/>
      <c r="V48" s="103" t="inlineStr">
        <is>
          <t>推定｜</t>
        </is>
      </c>
    </row>
    <row r="49" ht="18" customHeight="1">
      <c r="A49" s="90" t="inlineStr">
        <is>
          <t>（4）付帯工事・試運転調整</t>
        </is>
      </c>
      <c r="B49" s="40" t="n"/>
      <c r="C49" s="40" t="n"/>
      <c r="D49" s="40" t="n"/>
      <c r="E49" s="40" t="n"/>
      <c r="F49" s="40" t="n"/>
      <c r="G49" s="40" t="n"/>
      <c r="H49" s="40" t="n"/>
      <c r="I49" s="89" t="n"/>
      <c r="J49" s="40" t="n"/>
      <c r="K49" s="40" t="n"/>
      <c r="L49" s="40" t="n"/>
      <c r="M49" s="40" t="n"/>
      <c r="N49" s="40" t="n"/>
      <c r="O49" s="40" t="n"/>
      <c r="P49" s="40" t="n"/>
      <c r="Q49" s="40" t="n"/>
      <c r="R49" s="40" t="n"/>
      <c r="S49" s="40" t="n"/>
      <c r="T49" s="40" t="n"/>
      <c r="U49" s="40" t="n"/>
      <c r="V49" s="40" t="n"/>
    </row>
    <row r="50" ht="18" customHeight="1">
      <c r="A50" s="91" t="inlineStr">
        <is>
          <t xml:space="preserve">　リモコン線・内外連絡線 配線</t>
        </is>
      </c>
      <c r="B50" s="40" t="n"/>
      <c r="C50" s="92" t="inlineStr">
        <is>
          <t>PAC 系統毎 (ワイヤードリモコン線 0.75×2C、渡り線) 工事区分表: 機械</t>
        </is>
      </c>
      <c r="D50" s="40" t="n"/>
      <c r="E50" s="93" t="n">
        <v>13</v>
      </c>
      <c r="F50" s="94" t="inlineStr">
        <is>
          <t>系統</t>
        </is>
      </c>
      <c r="G50" s="95">
        <f>IF(M50="","",ROUND(M50*N50,-1))</f>
        <v>8470</v>
      </c>
      <c r="H50" s="93">
        <f>IF(G50="","",ROUND(E50*G50,0))</f>
        <v>110110</v>
      </c>
      <c r="I50" s="96" t="n"/>
      <c r="J50" s="97" t="n">
        <v>2000</v>
      </c>
      <c r="K50" s="98" t="n">
        <v>0.26</v>
      </c>
      <c r="L50" s="95">
        <f>ROUND(K50*LABOR_DAY,0)</f>
        <v>4940</v>
      </c>
      <c r="M50" s="95">
        <f>J50+L50</f>
        <v>6940</v>
      </c>
      <c r="N50" s="99">
        <f>COEF</f>
        <v>1.22</v>
      </c>
      <c r="O50" s="93">
        <f>E50*M50</f>
        <v>90220</v>
      </c>
      <c r="P50" s="93">
        <f>ROUND(E50*L50*N50,0)</f>
        <v>78348</v>
      </c>
      <c r="Q50" s="100" t="inlineStr">
        <is>
          <t>図面カウント</t>
        </is>
      </c>
      <c r="R50" s="93">
        <f>IF(H50="","",H50-O50)</f>
        <v>19890</v>
      </c>
      <c r="S50" s="101">
        <f>IF(OR(H50="",H50=0),"",R50/H50)</f>
        <v>0.1806375442739079</v>
      </c>
      <c r="T50" s="95" t="n">
        <v>8436</v>
      </c>
      <c r="U50" s="102">
        <f>IF(OR(T50="",T50=0),"",G50/T50)</f>
        <v>1.0040303461356093</v>
      </c>
      <c r="V50" s="103" t="inlineStr">
        <is>
          <t>VVF2.0-3C 203/m＋電線材料施工費 約500/m（12m/系統 8,436）→ 原価 6,900｜電源は電気工事</t>
        </is>
      </c>
    </row>
    <row r="51" ht="18" customHeight="1">
      <c r="A51" s="91" t="inlineStr">
        <is>
          <t xml:space="preserve">　集中リモコン CR-1 制御配線</t>
        </is>
      </c>
      <c r="B51" s="40" t="n"/>
      <c r="C51" s="92" t="inlineStr">
        <is>
          <t>S-LINK 13系統分 推定延長200m</t>
        </is>
      </c>
      <c r="D51" s="40" t="n"/>
      <c r="E51" s="93" t="n">
        <v>1</v>
      </c>
      <c r="F51" s="94" t="inlineStr">
        <is>
          <t>式</t>
        </is>
      </c>
      <c r="G51" s="95">
        <f>IF(M51="","",ROUND(M51*N51,-1))</f>
        <v>64420</v>
      </c>
      <c r="H51" s="93">
        <f>IF(G51="","",ROUND(E51*G51,0))</f>
        <v>64420</v>
      </c>
      <c r="I51" s="96" t="inlineStr">
        <is>
          <t>想定数量（別紙条件書）</t>
        </is>
      </c>
      <c r="J51" s="97" t="n">
        <v>30000</v>
      </c>
      <c r="K51" s="98" t="n">
        <v>1.2</v>
      </c>
      <c r="L51" s="95">
        <f>ROUND(K51*LABOR_DAY,0)</f>
        <v>22800</v>
      </c>
      <c r="M51" s="95">
        <f>J51+L51</f>
        <v>52800</v>
      </c>
      <c r="N51" s="99">
        <f>COEF</f>
        <v>1.22</v>
      </c>
      <c r="O51" s="93">
        <f>E51*M51</f>
        <v>52800</v>
      </c>
      <c r="P51" s="93">
        <f>ROUND(E51*L51*N51,0)</f>
        <v>27816</v>
      </c>
      <c r="Q51" s="104" t="inlineStr">
        <is>
          <t>推測</t>
        </is>
      </c>
      <c r="R51" s="93">
        <f>IF(H51="","",H51-O51)</f>
        <v>11620</v>
      </c>
      <c r="S51" s="101">
        <f>IF(OR(H51="",H51=0),"",R51/H51)</f>
        <v>0.18037876435889474</v>
      </c>
      <c r="T51" s="95" t="n"/>
      <c r="U51" s="102" t="n"/>
      <c r="V51" s="103" t="inlineStr">
        <is>
          <t>集中リモコン制御線 200m 推定｜</t>
        </is>
      </c>
    </row>
    <row r="52" ht="18" customHeight="1">
      <c r="A52" s="91" t="inlineStr">
        <is>
          <t xml:space="preserve">　RAC 内外連絡線 配線</t>
        </is>
      </c>
      <c r="B52" s="40" t="n"/>
      <c r="C52" s="92" t="inlineStr">
        <is>
          <t>VVF2.0-3C 1台当り5m</t>
        </is>
      </c>
      <c r="D52" s="40" t="n"/>
      <c r="E52" s="93" t="n">
        <v>77</v>
      </c>
      <c r="F52" s="94" t="inlineStr">
        <is>
          <t>台</t>
        </is>
      </c>
      <c r="G52" s="95">
        <f>IF(M52="","",ROUND(M52*N52,-1))</f>
        <v>4160</v>
      </c>
      <c r="H52" s="93">
        <f>IF(G52="","",ROUND(E52*G52,0))</f>
        <v>320320</v>
      </c>
      <c r="I52" s="96" t="inlineStr">
        <is>
          <t>想定数量（別紙条件書）</t>
        </is>
      </c>
      <c r="J52" s="97" t="n">
        <v>1130</v>
      </c>
      <c r="K52" s="98" t="n">
        <v>0.12</v>
      </c>
      <c r="L52" s="95">
        <f>ROUND(K52*LABOR_DAY,0)</f>
        <v>2280</v>
      </c>
      <c r="M52" s="95">
        <f>J52+L52</f>
        <v>3410</v>
      </c>
      <c r="N52" s="99">
        <f>COEF</f>
        <v>1.22</v>
      </c>
      <c r="O52" s="93">
        <f>E52*M52</f>
        <v>262570</v>
      </c>
      <c r="P52" s="93">
        <f>ROUND(E52*L52*N52,0)</f>
        <v>214183</v>
      </c>
      <c r="Q52" s="104" t="inlineStr">
        <is>
          <t>推測</t>
        </is>
      </c>
      <c r="R52" s="93">
        <f>IF(H52="","",H52-O52)</f>
        <v>57750</v>
      </c>
      <c r="S52" s="101">
        <f>IF(OR(H52="",H52=0),"",R52/H52)</f>
        <v>0.18028846153846154</v>
      </c>
      <c r="T52" s="95" t="n">
        <v>3515</v>
      </c>
      <c r="U52" s="102">
        <f>IF(OR(T52="",T52=0),"",G52/T52)</f>
        <v>1.1834992887624467</v>
      </c>
      <c r="V52" s="103" t="inlineStr">
        <is>
          <t>VVF2.0-3C 5m/台｜</t>
        </is>
      </c>
    </row>
    <row r="53" ht="28" customHeight="1">
      <c r="A53" s="105" t="inlineStr">
        <is>
          <t xml:space="preserve">　AC-8 ビルトインダクト用 ダクト・制気口</t>
        </is>
      </c>
      <c r="B53" s="40" t="n"/>
      <c r="C53" s="92" t="inlineStr">
        <is>
          <t>吹出口・吸込口・チャンバー・フレキ 一式</t>
        </is>
      </c>
      <c r="D53" s="40" t="n"/>
      <c r="E53" s="93" t="n">
        <v>1</v>
      </c>
      <c r="F53" s="94" t="inlineStr">
        <is>
          <t>式</t>
        </is>
      </c>
      <c r="G53" s="95">
        <f>IF(M53="","",ROUND(M53*N53,-1))</f>
        <v>78080</v>
      </c>
      <c r="H53" s="93">
        <f>IF(G53="","",ROUND(E53*G53,0))</f>
        <v>78080</v>
      </c>
      <c r="I53" s="96" t="inlineStr">
        <is>
          <t>想定数量（別紙条件書）</t>
        </is>
      </c>
      <c r="J53" s="97" t="n">
        <v>45000</v>
      </c>
      <c r="K53" s="98" t="n">
        <v>1</v>
      </c>
      <c r="L53" s="95">
        <f>ROUND(K53*LABOR_DAY,0)</f>
        <v>19000</v>
      </c>
      <c r="M53" s="95">
        <f>J53+L53</f>
        <v>64000</v>
      </c>
      <c r="N53" s="99">
        <f>COEF</f>
        <v>1.22</v>
      </c>
      <c r="O53" s="93">
        <f>E53*M53</f>
        <v>64000</v>
      </c>
      <c r="P53" s="93">
        <f>ROUND(E53*L53*N53,0)</f>
        <v>23180</v>
      </c>
      <c r="Q53" s="104" t="inlineStr">
        <is>
          <t>推測</t>
        </is>
      </c>
      <c r="R53" s="93">
        <f>IF(H53="","",H53-O53)</f>
        <v>14080</v>
      </c>
      <c r="S53" s="101">
        <f>IF(OR(H53="",H53=0),"",R53/H53)</f>
        <v>0.18032786885245902</v>
      </c>
      <c r="T53" s="95" t="n"/>
      <c r="U53" s="102" t="n"/>
      <c r="V53" s="103" t="inlineStr">
        <is>
          <t>図面に系統詳細なし</t>
        </is>
      </c>
    </row>
    <row r="54" ht="18" customHeight="1">
      <c r="A54" s="91" t="inlineStr">
        <is>
          <t xml:space="preserve">　試運転調整 PAC</t>
        </is>
      </c>
      <c r="B54" s="40" t="n"/>
      <c r="C54" s="92" t="inlineStr">
        <is>
          <t>系統毎</t>
        </is>
      </c>
      <c r="D54" s="40" t="n"/>
      <c r="E54" s="93" t="n">
        <v>13</v>
      </c>
      <c r="F54" s="94" t="inlineStr">
        <is>
          <t>系統</t>
        </is>
      </c>
      <c r="G54" s="95">
        <f>IF(M54="","",ROUND(M54*N54,-1))</f>
        <v>10980</v>
      </c>
      <c r="H54" s="93">
        <f>IF(G54="","",ROUND(E54*G54,0))</f>
        <v>142740</v>
      </c>
      <c r="I54" s="96" t="n"/>
      <c r="J54" s="97" t="n">
        <v>450</v>
      </c>
      <c r="K54" s="98" t="n">
        <v>0.45</v>
      </c>
      <c r="L54" s="95">
        <f>ROUND(K54*LABOR_DAY,0)</f>
        <v>8550</v>
      </c>
      <c r="M54" s="95">
        <f>J54+L54</f>
        <v>9000</v>
      </c>
      <c r="N54" s="99">
        <f>COEF</f>
        <v>1.22</v>
      </c>
      <c r="O54" s="93">
        <f>E54*M54</f>
        <v>117000</v>
      </c>
      <c r="P54" s="93">
        <f>ROUND(E54*L54*N54,0)</f>
        <v>135603</v>
      </c>
      <c r="Q54" s="100" t="inlineStr">
        <is>
          <t>図面カウント</t>
        </is>
      </c>
      <c r="R54" s="93">
        <f>IF(H54="","",H54-O54)</f>
        <v>25740</v>
      </c>
      <c r="S54" s="101">
        <f>IF(OR(H54="",H54=0),"",R54/H54)</f>
        <v>0.18032786885245902</v>
      </c>
      <c r="T54" s="95" t="n">
        <v>11000</v>
      </c>
      <c r="U54" s="102">
        <f>IF(OR(T54="",T54=0),"",G54/T54)</f>
        <v>0.9981818181818182</v>
      </c>
      <c r="V54" s="103" t="inlineStr">
        <is>
          <t>試運転調整費 10,000〜12,500/系統（6330344-1/549/476-3）｜</t>
        </is>
      </c>
    </row>
    <row r="55" ht="18" customHeight="1">
      <c r="A55" s="91" t="inlineStr">
        <is>
          <t xml:space="preserve">　試運転調整 RAC</t>
        </is>
      </c>
      <c r="B55" s="40" t="n"/>
      <c r="C55" s="92" t="inlineStr">
        <is>
          <t>台毎</t>
        </is>
      </c>
      <c r="D55" s="40" t="n"/>
      <c r="E55" s="93" t="n">
        <v>77</v>
      </c>
      <c r="F55" s="94" t="inlineStr">
        <is>
          <t>台</t>
        </is>
      </c>
      <c r="G55" s="95">
        <f>IF(M55="","",ROUND(M55*N55,-1))</f>
        <v>2320</v>
      </c>
      <c r="H55" s="93">
        <f>IF(G55="","",ROUND(E55*G55,0))</f>
        <v>178640</v>
      </c>
      <c r="I55" s="96" t="n"/>
      <c r="J55" s="97" t="n">
        <v>0</v>
      </c>
      <c r="K55" s="98" t="n">
        <v>0.1</v>
      </c>
      <c r="L55" s="95">
        <f>ROUND(K55*LABOR_DAY,0)</f>
        <v>1900</v>
      </c>
      <c r="M55" s="95">
        <f>J55+L55</f>
        <v>1900</v>
      </c>
      <c r="N55" s="99">
        <f>COEF</f>
        <v>1.22</v>
      </c>
      <c r="O55" s="93">
        <f>E55*M55</f>
        <v>146300</v>
      </c>
      <c r="P55" s="93">
        <f>ROUND(E55*L55*N55,0)</f>
        <v>178486</v>
      </c>
      <c r="Q55" s="100" t="inlineStr">
        <is>
          <t>図面カウント</t>
        </is>
      </c>
      <c r="R55" s="93">
        <f>IF(H55="","",H55-O55)</f>
        <v>32340</v>
      </c>
      <c r="S55" s="101">
        <f>IF(OR(H55="",H55=0),"",R55/H55)</f>
        <v>0.1810344827586207</v>
      </c>
      <c r="T55" s="95" t="n">
        <v>2500</v>
      </c>
      <c r="U55" s="102">
        <f>IF(OR(T55="",T55=0),"",G55/T55)</f>
        <v>0.928</v>
      </c>
      <c r="V55" s="103" t="inlineStr">
        <is>
          <t>6330539 試運転 7,500/3台｜</t>
        </is>
      </c>
    </row>
    <row r="56" ht="18" customHeight="1">
      <c r="A56" s="91" t="inlineStr">
        <is>
          <t xml:space="preserve">　法令・申請・書類</t>
        </is>
      </c>
      <c r="B56" s="40" t="n"/>
      <c r="C56" s="92" t="inlineStr">
        <is>
          <t>試運転報告書・冷媒管理記録 等</t>
        </is>
      </c>
      <c r="D56" s="40" t="n"/>
      <c r="E56" s="93" t="n">
        <v>1</v>
      </c>
      <c r="F56" s="94" t="inlineStr">
        <is>
          <t>式</t>
        </is>
      </c>
      <c r="G56" s="95">
        <f>IF(M56="","",ROUND(M56*N56,-1))</f>
        <v>36230</v>
      </c>
      <c r="H56" s="93">
        <f>IF(G56="","",ROUND(E56*G56,0))</f>
        <v>36230</v>
      </c>
      <c r="I56" s="96" t="inlineStr">
        <is>
          <t>想定数量（別紙条件書）</t>
        </is>
      </c>
      <c r="J56" s="97" t="n">
        <v>5000</v>
      </c>
      <c r="K56" s="98" t="n">
        <v>1.3</v>
      </c>
      <c r="L56" s="95">
        <f>ROUND(K56*LABOR_DAY,0)</f>
        <v>24700</v>
      </c>
      <c r="M56" s="95">
        <f>J56+L56</f>
        <v>29700</v>
      </c>
      <c r="N56" s="99">
        <f>COEF</f>
        <v>1.22</v>
      </c>
      <c r="O56" s="93">
        <f>E56*M56</f>
        <v>29700</v>
      </c>
      <c r="P56" s="93">
        <f>ROUND(E56*L56*N56,0)</f>
        <v>30134</v>
      </c>
      <c r="Q56" s="104" t="inlineStr">
        <is>
          <t>推測</t>
        </is>
      </c>
      <c r="R56" s="93">
        <f>IF(H56="","",H56-O56)</f>
        <v>6530</v>
      </c>
      <c r="S56" s="101">
        <f>IF(OR(H56="",H56=0),"",R56/H56)</f>
        <v>0.18023737234336185</v>
      </c>
      <c r="T56" s="95" t="n"/>
      <c r="U56" s="102" t="n"/>
      <c r="V56" s="103" t="inlineStr">
        <is>
          <t>書類作成 人工｜</t>
        </is>
      </c>
    </row>
    <row r="57" ht="18" customHeight="1">
      <c r="A57" s="106" t="n"/>
      <c r="B57" s="107" t="n"/>
      <c r="C57" s="107" t="n"/>
      <c r="D57" s="107" t="n"/>
      <c r="E57" s="107" t="n"/>
      <c r="F57" s="107" t="n"/>
      <c r="G57" s="107" t="n"/>
      <c r="H57" s="107" t="n"/>
      <c r="I57" s="108" t="n"/>
      <c r="J57" s="107" t="n"/>
      <c r="K57" s="107" t="n"/>
      <c r="L57" s="107" t="n"/>
      <c r="M57" s="107" t="n"/>
      <c r="N57" s="107" t="n"/>
      <c r="O57" s="107" t="n"/>
      <c r="P57" s="107" t="n"/>
      <c r="Q57" s="107" t="n"/>
      <c r="R57" s="107" t="n"/>
      <c r="S57" s="107" t="n"/>
      <c r="T57" s="107" t="n"/>
      <c r="U57" s="107" t="n"/>
      <c r="V57" s="107" t="n"/>
    </row>
    <row r="58" ht="22" customHeight="1">
      <c r="A58" s="109" t="inlineStr">
        <is>
          <t>【小　　計】</t>
        </is>
      </c>
      <c r="B58" s="110" t="n"/>
      <c r="C58" s="110" t="n"/>
      <c r="D58" s="110" t="n"/>
      <c r="E58" s="110" t="n"/>
      <c r="F58" s="110" t="n"/>
      <c r="G58" s="110" t="n"/>
      <c r="H58" s="111">
        <f>SUM(H6:H57)</f>
        <v>10624080</v>
      </c>
      <c r="I58" s="112" t="n"/>
      <c r="J58" s="113" t="n"/>
      <c r="K58" s="114">
        <f>SUMPRODUCT(E6:E57,K6:K57)</f>
        <v>289.5800000000001</v>
      </c>
      <c r="L58" s="113" t="n"/>
      <c r="M58" s="113" t="n"/>
      <c r="N58" s="113" t="n"/>
      <c r="O58" s="115">
        <f>SUM(O6:O57)</f>
        <v>8707010</v>
      </c>
      <c r="P58" s="115">
        <f>SUM(P6:P57)</f>
        <v>6712464</v>
      </c>
      <c r="Q58" s="113" t="n"/>
      <c r="R58" s="115">
        <f>H58-O58</f>
        <v>1917070</v>
      </c>
      <c r="S58" s="116">
        <f>IF(H58=0,"",R58/H58)</f>
        <v>0.1804457421254358</v>
      </c>
      <c r="T58" s="113" t="n"/>
      <c r="U58" s="113" t="n"/>
      <c r="V58" s="113" t="n"/>
    </row>
  </sheetData>
  <mergeCells count="108">
    <mergeCell ref="A15:B15"/>
    <mergeCell ref="C15:D15"/>
    <mergeCell ref="A51:B51"/>
    <mergeCell ref="A54:B54"/>
    <mergeCell ref="A7:B7"/>
    <mergeCell ref="C54:D54"/>
    <mergeCell ref="A42:I42"/>
    <mergeCell ref="A41:B41"/>
    <mergeCell ref="A58:D58"/>
    <mergeCell ref="C41:D41"/>
    <mergeCell ref="C50:D50"/>
    <mergeCell ref="A56:B56"/>
    <mergeCell ref="A27:B27"/>
    <mergeCell ref="C56:D56"/>
    <mergeCell ref="C43:D43"/>
    <mergeCell ref="A33:B33"/>
    <mergeCell ref="C27:D27"/>
    <mergeCell ref="C36:D36"/>
    <mergeCell ref="A17:B17"/>
    <mergeCell ref="C17:D17"/>
    <mergeCell ref="A22:B22"/>
    <mergeCell ref="A53:B53"/>
    <mergeCell ref="A35:B35"/>
    <mergeCell ref="A19:B19"/>
    <mergeCell ref="C19:D19"/>
    <mergeCell ref="A28:B28"/>
    <mergeCell ref="C28:D28"/>
    <mergeCell ref="A9:B9"/>
    <mergeCell ref="C3:D3"/>
    <mergeCell ref="A39:B39"/>
    <mergeCell ref="A48:B48"/>
    <mergeCell ref="A30:B30"/>
    <mergeCell ref="C30:D30"/>
    <mergeCell ref="A11:B11"/>
    <mergeCell ref="C5:D5"/>
    <mergeCell ref="A45:B45"/>
    <mergeCell ref="C14:D14"/>
    <mergeCell ref="C45:D45"/>
    <mergeCell ref="C47:D47"/>
    <mergeCell ref="A37:B37"/>
    <mergeCell ref="A46:B46"/>
    <mergeCell ref="C40:D40"/>
    <mergeCell ref="J1:V1"/>
    <mergeCell ref="A26:B26"/>
    <mergeCell ref="A8:B8"/>
    <mergeCell ref="C8:D8"/>
    <mergeCell ref="A49:I49"/>
    <mergeCell ref="A52:B52"/>
    <mergeCell ref="A10:B10"/>
    <mergeCell ref="C57:D57"/>
    <mergeCell ref="A1:I1"/>
    <mergeCell ref="C18:D18"/>
    <mergeCell ref="C53:D53"/>
    <mergeCell ref="A34:B34"/>
    <mergeCell ref="C34:D34"/>
    <mergeCell ref="A36:B36"/>
    <mergeCell ref="C20:D20"/>
    <mergeCell ref="C29:D29"/>
    <mergeCell ref="C44:D44"/>
    <mergeCell ref="C22:D22"/>
    <mergeCell ref="A4:I4"/>
    <mergeCell ref="A3:B3"/>
    <mergeCell ref="A55:B55"/>
    <mergeCell ref="A12:B12"/>
    <mergeCell ref="C12:D12"/>
    <mergeCell ref="A21:B21"/>
    <mergeCell ref="C46:D46"/>
    <mergeCell ref="C21:D21"/>
    <mergeCell ref="A57:B57"/>
    <mergeCell ref="C51:D51"/>
    <mergeCell ref="A5:B5"/>
    <mergeCell ref="A32:B32"/>
    <mergeCell ref="A14:B14"/>
    <mergeCell ref="A23:B23"/>
    <mergeCell ref="C48:D48"/>
    <mergeCell ref="C23:D23"/>
    <mergeCell ref="A38:B38"/>
    <mergeCell ref="C32:D32"/>
    <mergeCell ref="C7:D7"/>
    <mergeCell ref="C38:D38"/>
    <mergeCell ref="A43:B43"/>
    <mergeCell ref="A6:I6"/>
    <mergeCell ref="A40:B40"/>
    <mergeCell ref="A24:B24"/>
    <mergeCell ref="C24:D24"/>
    <mergeCell ref="C33:D33"/>
    <mergeCell ref="C26:D26"/>
    <mergeCell ref="C35:D35"/>
    <mergeCell ref="A16:B16"/>
    <mergeCell ref="C10:D10"/>
    <mergeCell ref="C16:D16"/>
    <mergeCell ref="A25:B25"/>
    <mergeCell ref="C25:D25"/>
    <mergeCell ref="C55:D55"/>
    <mergeCell ref="C9:D9"/>
    <mergeCell ref="A18:B18"/>
    <mergeCell ref="A50:B50"/>
    <mergeCell ref="C11:D11"/>
    <mergeCell ref="A47:B47"/>
    <mergeCell ref="A31:I31"/>
    <mergeCell ref="C52:D52"/>
    <mergeCell ref="C39:D39"/>
    <mergeCell ref="A20:B20"/>
    <mergeCell ref="A29:B29"/>
    <mergeCell ref="C37:D37"/>
    <mergeCell ref="A13:B13"/>
    <mergeCell ref="A44:B44"/>
    <mergeCell ref="C13:D13"/>
  </mergeCells>
  <printOptions horizontalCentered="1" gridLines="0"/>
  <pageMargins left="0.4724409448818897" right="0.4724409448818897" top="0.5905511811023622" bottom="0.5905511811023622" header="0.3149606299212598" footer="0.2362204724409449"/>
  <pageSetup orientation="portrait" paperSize="9" fitToHeight="0" fitToWidth="1"/>
  <headerFooter>
    <oddHeader/>
    <oddFooter>&amp;C&amp;"ＭＳ Ｐゴシック,標準"&amp;9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V34"/>
  <sheetViews>
    <sheetView showGridLines="0" tabSelected="0" workbookViewId="0">
      <selection activeCell="A1" sqref="A1"/>
    </sheetView>
  </sheetViews>
  <sheetFormatPr baseColWidth="8" defaultRowHeight="15"/>
  <cols>
    <col width="4" customWidth="1" min="1" max="1"/>
    <col width="27" customWidth="1" min="2" max="2"/>
    <col width="24" customWidth="1" min="3" max="3"/>
    <col width="4" customWidth="1" min="4" max="4"/>
    <col width="8" customWidth="1" min="5" max="5"/>
    <col width="5" customWidth="1" min="6" max="6"/>
    <col width="10" customWidth="1" min="7" max="7"/>
    <col width="13" customWidth="1" min="8" max="8"/>
    <col width="15" customWidth="1" min="9" max="9"/>
    <col width="10" customWidth="1" min="10" max="10"/>
    <col width="7" customWidth="1" min="11" max="11"/>
    <col width="10" customWidth="1" min="12" max="12"/>
    <col width="10" customWidth="1" min="13" max="13"/>
    <col width="7" customWidth="1" min="14" max="14"/>
    <col width="12" customWidth="1" min="15" max="15"/>
    <col width="12" customWidth="1" min="16" max="16"/>
    <col width="9" customWidth="1" min="17" max="17"/>
    <col width="12" customWidth="1" min="18" max="18"/>
    <col width="8" customWidth="1" min="19" max="19"/>
    <col width="11" customWidth="1" min="20" max="20"/>
    <col width="8" customWidth="1" min="21" max="21"/>
    <col width="40" customWidth="1" min="22" max="22"/>
  </cols>
  <sheetData>
    <row r="1" ht="26" customHeight="1">
      <c r="A1" s="117" t="inlineStr">
        <is>
          <t>内　訳　書</t>
        </is>
      </c>
      <c r="J1" s="80" t="inlineStr">
        <is>
          <t>原　価　内　訳　書（内部用・印刷範囲外）</t>
        </is>
      </c>
      <c r="K1" s="81" t="n"/>
      <c r="L1" s="81" t="n"/>
      <c r="M1" s="81" t="n"/>
      <c r="N1" s="81" t="n"/>
      <c r="O1" s="81" t="n"/>
      <c r="P1" s="81" t="n"/>
      <c r="Q1" s="81" t="n"/>
      <c r="R1" s="81" t="n"/>
      <c r="S1" s="81" t="n"/>
      <c r="T1" s="81" t="n"/>
      <c r="U1" s="81" t="n"/>
      <c r="V1" s="81" t="n"/>
    </row>
    <row r="2" ht="18" customHeight="1">
      <c r="A2" s="118" t="inlineStr">
        <is>
          <t>工事名：（仮称）サンフレッチェ広島　三矢寮新築工事　空調設備工事　空調工事</t>
        </is>
      </c>
      <c r="I2" s="119" t="inlineStr">
        <is>
          <t>内訳書 No.2</t>
        </is>
      </c>
    </row>
    <row r="3" ht="20" customHeight="1">
      <c r="A3" s="82" t="inlineStr">
        <is>
          <t>名　　称</t>
        </is>
      </c>
      <c r="B3" s="30" t="n"/>
      <c r="C3" s="83" t="inlineStr">
        <is>
          <t>規格・寸法</t>
        </is>
      </c>
      <c r="D3" s="30" t="n"/>
      <c r="E3" s="83" t="inlineStr">
        <is>
          <t>数 量</t>
        </is>
      </c>
      <c r="F3" s="83" t="inlineStr">
        <is>
          <t>単位</t>
        </is>
      </c>
      <c r="G3" s="83" t="inlineStr">
        <is>
          <t>単　価</t>
        </is>
      </c>
      <c r="H3" s="83" t="inlineStr">
        <is>
          <t>金　　額</t>
        </is>
      </c>
      <c r="I3" s="84" t="inlineStr">
        <is>
          <t>備　考</t>
        </is>
      </c>
      <c r="J3" s="85" t="inlineStr">
        <is>
          <t>材料原価</t>
        </is>
      </c>
      <c r="K3" s="85" t="inlineStr">
        <is>
          <t>人工/単位</t>
        </is>
      </c>
      <c r="L3" s="85" t="inlineStr">
        <is>
          <t>労務原価</t>
        </is>
      </c>
      <c r="M3" s="85" t="inlineStr">
        <is>
          <t>基準原価単価</t>
        </is>
      </c>
      <c r="N3" s="85" t="inlineStr">
        <is>
          <t>提出係数</t>
        </is>
      </c>
      <c r="O3" s="85" t="inlineStr">
        <is>
          <t>基準原価</t>
        </is>
      </c>
      <c r="P3" s="85" t="inlineStr">
        <is>
          <t>労務費(提出)</t>
        </is>
      </c>
      <c r="Q3" s="85" t="inlineStr">
        <is>
          <t>数量根拠</t>
        </is>
      </c>
      <c r="R3" s="85" t="inlineStr">
        <is>
          <t>粗利</t>
        </is>
      </c>
      <c r="S3" s="85" t="inlineStr">
        <is>
          <t>粗利率</t>
        </is>
      </c>
      <c r="T3" s="85" t="inlineStr">
        <is>
          <t>参考定価ベース</t>
        </is>
      </c>
      <c r="U3" s="85" t="inlineStr">
        <is>
          <t>当社/参考</t>
        </is>
      </c>
      <c r="V3" s="85" t="inlineStr">
        <is>
          <t>単価出典・メモ（内部）</t>
        </is>
      </c>
    </row>
    <row r="4" ht="18" customHeight="1">
      <c r="A4" s="120" t="inlineStr">
        <is>
          <t>２．金額変更案 No5・6 空調追加（検討図 08 朱書き）</t>
        </is>
      </c>
      <c r="B4" s="38" t="n"/>
      <c r="C4" s="38" t="n"/>
      <c r="D4" s="38" t="n"/>
      <c r="E4" s="38" t="n"/>
      <c r="F4" s="38" t="n"/>
      <c r="G4" s="38" t="n"/>
      <c r="H4" s="38" t="n"/>
      <c r="I4" s="87" t="n"/>
      <c r="J4" s="38" t="n"/>
      <c r="K4" s="38" t="n"/>
      <c r="L4" s="38" t="n"/>
      <c r="M4" s="38" t="n"/>
      <c r="N4" s="38" t="n"/>
      <c r="O4" s="38" t="n"/>
      <c r="P4" s="38" t="n"/>
      <c r="Q4" s="38" t="n"/>
      <c r="R4" s="38" t="n"/>
      <c r="S4" s="38" t="n"/>
      <c r="T4" s="38" t="n"/>
      <c r="U4" s="38" t="n"/>
      <c r="V4" s="38" t="n"/>
    </row>
    <row r="5" ht="18" customHeight="1">
      <c r="A5" s="88" t="n"/>
      <c r="B5" s="40" t="n"/>
      <c r="C5" s="40" t="n"/>
      <c r="D5" s="40" t="n"/>
      <c r="E5" s="40" t="n"/>
      <c r="F5" s="40" t="n"/>
      <c r="G5" s="40" t="n"/>
      <c r="H5" s="40" t="n"/>
      <c r="I5" s="89" t="n"/>
      <c r="J5" s="40" t="n"/>
      <c r="K5" s="40" t="n"/>
      <c r="L5" s="40" t="n"/>
      <c r="M5" s="40" t="n"/>
      <c r="N5" s="40" t="n"/>
      <c r="O5" s="40" t="n"/>
      <c r="P5" s="40" t="n"/>
      <c r="Q5" s="40" t="n"/>
      <c r="R5" s="40" t="n"/>
      <c r="S5" s="40" t="n"/>
      <c r="T5" s="40" t="n"/>
      <c r="U5" s="40" t="n"/>
      <c r="V5" s="40" t="n"/>
    </row>
    <row r="6" ht="18" customHeight="1">
      <c r="A6" s="121" t="inlineStr">
        <is>
          <t>（2）No5・6 空調追加</t>
        </is>
      </c>
      <c r="B6" s="40" t="n"/>
      <c r="C6" s="40" t="n"/>
      <c r="D6" s="40" t="n"/>
      <c r="E6" s="40" t="n"/>
      <c r="F6" s="40" t="n"/>
      <c r="G6" s="40" t="n"/>
      <c r="H6" s="40" t="n"/>
      <c r="I6" s="89" t="n"/>
      <c r="J6" s="40" t="n"/>
      <c r="K6" s="40" t="n"/>
      <c r="L6" s="40" t="n"/>
      <c r="M6" s="40" t="n"/>
      <c r="N6" s="40" t="n"/>
      <c r="O6" s="40" t="n"/>
      <c r="P6" s="40" t="n"/>
      <c r="Q6" s="40" t="n"/>
      <c r="R6" s="40" t="n"/>
      <c r="S6" s="40" t="n"/>
      <c r="T6" s="40" t="n"/>
      <c r="U6" s="40" t="n"/>
      <c r="V6" s="40" t="n"/>
    </row>
    <row r="7" ht="18" customHeight="1">
      <c r="A7" s="122" t="inlineStr">
        <is>
          <t xml:space="preserve">　追AC1 室内機 据付</t>
        </is>
      </c>
      <c r="B7" s="40" t="n"/>
      <c r="C7" s="123" t="inlineStr">
        <is>
          <t>空冷HP 4方向天井カセット PA-P140U7GTNB(5HP 同時トリプル) 子機 1Fホール・廊下(洗濯室前)・階段ホール</t>
        </is>
      </c>
      <c r="D7" s="40" t="n"/>
      <c r="E7" s="124" t="n">
        <v>3</v>
      </c>
      <c r="F7" s="125" t="inlineStr">
        <is>
          <t>台</t>
        </is>
      </c>
      <c r="G7" s="126">
        <f>IF(M7="","",ROUND(M7*N7,-1))</f>
        <v>21660</v>
      </c>
      <c r="H7" s="124">
        <f>IF(G7="","",ROUND(E7*G7,0))</f>
        <v>64980</v>
      </c>
      <c r="I7" s="127" t="inlineStr">
        <is>
          <t>本体は元請様支給</t>
        </is>
      </c>
      <c r="J7" s="97" t="n">
        <v>1600</v>
      </c>
      <c r="K7" s="98" t="n">
        <v>0.85</v>
      </c>
      <c r="L7" s="95">
        <f>ROUND(K7*LABOR_DAY,0)</f>
        <v>16150</v>
      </c>
      <c r="M7" s="95">
        <f>J7+L7</f>
        <v>17750</v>
      </c>
      <c r="N7" s="99">
        <f>COEF</f>
        <v>1.22</v>
      </c>
      <c r="O7" s="93">
        <f>E7*M7</f>
        <v>53250</v>
      </c>
      <c r="P7" s="93">
        <f>ROUND(E7*L7*N7,0)</f>
        <v>59109</v>
      </c>
      <c r="Q7" s="100" t="inlineStr">
        <is>
          <t>図面カウント</t>
        </is>
      </c>
      <c r="R7" s="93">
        <f>IF(H7="","",H7-O7)</f>
        <v>11730</v>
      </c>
      <c r="S7" s="101">
        <f>IF(OR(H7="",H7=0),"",R7/H7)</f>
        <v>0.18051708217913204</v>
      </c>
      <c r="T7" s="95" t="n">
        <v>21700</v>
      </c>
      <c r="U7" s="102">
        <f>IF(OR(T7="",T7=0),"",G7/T7)</f>
        <v>0.9981566820276497</v>
      </c>
      <c r="V7" s="103" t="inlineStr">
        <is>
          <t>6330476-3 搬入据付 238,750/11台≒21,700/台、6330284-1 25,000/台｜空調平面図1F 朱書き □3箇所</t>
        </is>
      </c>
    </row>
    <row r="8" ht="18" customHeight="1">
      <c r="A8" s="122" t="inlineStr">
        <is>
          <t xml:space="preserve">　追AC1 室外機 据付</t>
        </is>
      </c>
      <c r="B8" s="40" t="n"/>
      <c r="C8" s="123" t="inlineStr">
        <is>
          <t>5HP 1F物干場側(AC-3室外機隣)</t>
        </is>
      </c>
      <c r="D8" s="40" t="n"/>
      <c r="E8" s="124" t="n">
        <v>1</v>
      </c>
      <c r="F8" s="125" t="inlineStr">
        <is>
          <t>台</t>
        </is>
      </c>
      <c r="G8" s="126">
        <f>IF(M8="","",ROUND(M8*N8,-1))</f>
        <v>22200</v>
      </c>
      <c r="H8" s="124">
        <f>IF(G8="","",ROUND(E8*G8,0))</f>
        <v>22200</v>
      </c>
      <c r="I8" s="127" t="inlineStr">
        <is>
          <t>本体は元請様支給</t>
        </is>
      </c>
      <c r="J8" s="97" t="n">
        <v>3000</v>
      </c>
      <c r="K8" s="98" t="n">
        <v>0.8</v>
      </c>
      <c r="L8" s="95">
        <f>ROUND(K8*LABOR_DAY,0)</f>
        <v>15200</v>
      </c>
      <c r="M8" s="95">
        <f>J8+L8</f>
        <v>18200</v>
      </c>
      <c r="N8" s="99">
        <f>COEF</f>
        <v>1.22</v>
      </c>
      <c r="O8" s="93">
        <f>E8*M8</f>
        <v>18200</v>
      </c>
      <c r="P8" s="93">
        <f>ROUND(E8*L8*N8,0)</f>
        <v>18544</v>
      </c>
      <c r="Q8" s="100" t="inlineStr">
        <is>
          <t>図面カウント</t>
        </is>
      </c>
      <c r="R8" s="93">
        <f>IF(H8="","",H8-O8)</f>
        <v>4000</v>
      </c>
      <c r="S8" s="101">
        <f>IF(OR(H8="",H8=0),"",R8/H8)</f>
        <v>0.18018018018018017</v>
      </c>
      <c r="T8" s="95" t="n">
        <v>29200</v>
      </c>
      <c r="U8" s="102">
        <f>IF(OR(T8="",T8=0),"",G8/T8)</f>
        <v>0.7602739726027398</v>
      </c>
      <c r="V8" s="103" t="inlineStr">
        <is>
          <t>搬入据付＋基礎工事 5,800〜10,000/台（6330539/549/476-3）｜</t>
        </is>
      </c>
    </row>
    <row r="9" ht="18" customHeight="1">
      <c r="A9" s="122" t="inlineStr">
        <is>
          <t xml:space="preserve">　追AC2 室内機 据付</t>
        </is>
      </c>
      <c r="B9" s="40" t="n"/>
      <c r="C9" s="123" t="inlineStr">
        <is>
          <t>空冷HP 2方向天井カセット PA-P224L7HTNB(8HP 同時トリプル) 子機 1F南廊下 3箇所</t>
        </is>
      </c>
      <c r="D9" s="40" t="n"/>
      <c r="E9" s="124" t="n">
        <v>3</v>
      </c>
      <c r="F9" s="125" t="inlineStr">
        <is>
          <t>台</t>
        </is>
      </c>
      <c r="G9" s="126">
        <f>IF(M9="","",ROUND(M9*N9,-1))</f>
        <v>25620</v>
      </c>
      <c r="H9" s="124">
        <f>IF(G9="","",ROUND(E9*G9,0))</f>
        <v>76860</v>
      </c>
      <c r="I9" s="127" t="inlineStr">
        <is>
          <t>本体は元請様支給</t>
        </is>
      </c>
      <c r="J9" s="97" t="n">
        <v>2000</v>
      </c>
      <c r="K9" s="98" t="n">
        <v>1</v>
      </c>
      <c r="L9" s="95">
        <f>ROUND(K9*LABOR_DAY,0)</f>
        <v>19000</v>
      </c>
      <c r="M9" s="95">
        <f>J9+L9</f>
        <v>21000</v>
      </c>
      <c r="N9" s="99">
        <f>COEF</f>
        <v>1.22</v>
      </c>
      <c r="O9" s="93">
        <f>E9*M9</f>
        <v>63000</v>
      </c>
      <c r="P9" s="93">
        <f>ROUND(E9*L9*N9,0)</f>
        <v>69540</v>
      </c>
      <c r="Q9" s="100" t="inlineStr">
        <is>
          <t>図面カウント</t>
        </is>
      </c>
      <c r="R9" s="93">
        <f>IF(H9="","",H9-O9)</f>
        <v>13860</v>
      </c>
      <c r="S9" s="101">
        <f>IF(OR(H9="",H9=0),"",R9/H9)</f>
        <v>0.18032786885245902</v>
      </c>
      <c r="T9" s="95" t="n">
        <v>27860</v>
      </c>
      <c r="U9" s="102">
        <f>IF(OR(T9="",T9=0),"",G9/T9)</f>
        <v>0.9195979899497487</v>
      </c>
      <c r="V9" s="103" t="inlineStr">
        <is>
          <t>6330558 VRV 90クラス 27,860/台｜</t>
        </is>
      </c>
    </row>
    <row r="10" ht="18" customHeight="1">
      <c r="A10" s="122" t="inlineStr">
        <is>
          <t xml:space="preserve">　追AC2 室外機 据付</t>
        </is>
      </c>
      <c r="B10" s="40" t="n"/>
      <c r="C10" s="123" t="inlineStr">
        <is>
          <t>8HP 1F南側(AC-1/AC-5室外機隣)</t>
        </is>
      </c>
      <c r="D10" s="40" t="n"/>
      <c r="E10" s="124" t="n">
        <v>1</v>
      </c>
      <c r="F10" s="125" t="inlineStr">
        <is>
          <t>台</t>
        </is>
      </c>
      <c r="G10" s="126">
        <f>IF(M10="","",ROUND(M10*N10,-1))</f>
        <v>30380</v>
      </c>
      <c r="H10" s="124">
        <f>IF(G10="","",ROUND(E10*G10,0))</f>
        <v>30380</v>
      </c>
      <c r="I10" s="127" t="inlineStr">
        <is>
          <t>本体は元請様支給</t>
        </is>
      </c>
      <c r="J10" s="97" t="n">
        <v>4000</v>
      </c>
      <c r="K10" s="98" t="n">
        <v>1.1</v>
      </c>
      <c r="L10" s="95">
        <f>ROUND(K10*LABOR_DAY,0)</f>
        <v>20900</v>
      </c>
      <c r="M10" s="95">
        <f>J10+L10</f>
        <v>24900</v>
      </c>
      <c r="N10" s="99">
        <f>COEF</f>
        <v>1.22</v>
      </c>
      <c r="O10" s="93">
        <f>E10*M10</f>
        <v>24900</v>
      </c>
      <c r="P10" s="93">
        <f>ROUND(E10*L10*N10,0)</f>
        <v>25498</v>
      </c>
      <c r="Q10" s="100" t="inlineStr">
        <is>
          <t>図面カウント</t>
        </is>
      </c>
      <c r="R10" s="93">
        <f>IF(H10="","",H10-O10)</f>
        <v>5480</v>
      </c>
      <c r="S10" s="101">
        <f>IF(OR(H10="",H10=0),"",R10/H10)</f>
        <v>0.1803818301514154</v>
      </c>
      <c r="T10" s="95" t="n">
        <v>37860</v>
      </c>
      <c r="U10" s="102">
        <f>IF(OR(T10="",T10=0),"",G10/T10)</f>
        <v>0.8024300052826202</v>
      </c>
      <c r="V10" s="103" t="inlineStr">
        <is>
          <t>8〜10HP 室外機（防振ゴム・架台固定共）｜</t>
        </is>
      </c>
    </row>
    <row r="11" ht="18" customHeight="1">
      <c r="A11" s="122" t="inlineStr">
        <is>
          <t xml:space="preserve">　追AC3 室内機 据付</t>
        </is>
      </c>
      <c r="B11" s="40" t="n"/>
      <c r="C11" s="123" t="inlineStr">
        <is>
          <t>PA-P224L7HTNB 子機 2F北廊下 3箇所</t>
        </is>
      </c>
      <c r="D11" s="40" t="n"/>
      <c r="E11" s="124" t="n">
        <v>3</v>
      </c>
      <c r="F11" s="125" t="inlineStr">
        <is>
          <t>台</t>
        </is>
      </c>
      <c r="G11" s="126">
        <f>IF(M11="","",ROUND(M11*N11,-1))</f>
        <v>21660</v>
      </c>
      <c r="H11" s="124">
        <f>IF(G11="","",ROUND(E11*G11,0))</f>
        <v>64980</v>
      </c>
      <c r="I11" s="127" t="inlineStr">
        <is>
          <t>本体は元請様支給</t>
        </is>
      </c>
      <c r="J11" s="97" t="n">
        <v>1600</v>
      </c>
      <c r="K11" s="98" t="n">
        <v>0.85</v>
      </c>
      <c r="L11" s="95">
        <f>ROUND(K11*LABOR_DAY,0)</f>
        <v>16150</v>
      </c>
      <c r="M11" s="95">
        <f>J11+L11</f>
        <v>17750</v>
      </c>
      <c r="N11" s="99">
        <f>COEF</f>
        <v>1.22</v>
      </c>
      <c r="O11" s="93">
        <f>E11*M11</f>
        <v>53250</v>
      </c>
      <c r="P11" s="93">
        <f>ROUND(E11*L11*N11,0)</f>
        <v>59109</v>
      </c>
      <c r="Q11" s="100" t="inlineStr">
        <is>
          <t>図面カウント</t>
        </is>
      </c>
      <c r="R11" s="93">
        <f>IF(H11="","",H11-O11)</f>
        <v>11730</v>
      </c>
      <c r="S11" s="101">
        <f>IF(OR(H11="",H11=0),"",R11/H11)</f>
        <v>0.18051708217913204</v>
      </c>
      <c r="T11" s="95" t="n">
        <v>21700</v>
      </c>
      <c r="U11" s="102">
        <f>IF(OR(T11="",T11=0),"",G11/T11)</f>
        <v>0.9981566820276497</v>
      </c>
      <c r="V11" s="103" t="inlineStr">
        <is>
          <t>6330476-3 搬入据付 238,750/11台≒21,700/台、6330284-1 25,000/台｜</t>
        </is>
      </c>
    </row>
    <row r="12" ht="18" customHeight="1">
      <c r="A12" s="122" t="inlineStr">
        <is>
          <t xml:space="preserve">　追AC3 室外機 据付</t>
        </is>
      </c>
      <c r="B12" s="40" t="n"/>
      <c r="C12" s="123" t="inlineStr">
        <is>
          <t>8HP 1F東側地上(屋外階段A付近)</t>
        </is>
      </c>
      <c r="D12" s="40" t="n"/>
      <c r="E12" s="124" t="n">
        <v>1</v>
      </c>
      <c r="F12" s="125" t="inlineStr">
        <is>
          <t>台</t>
        </is>
      </c>
      <c r="G12" s="126">
        <f>IF(M12="","",ROUND(M12*N12,-1))</f>
        <v>30380</v>
      </c>
      <c r="H12" s="124">
        <f>IF(G12="","",ROUND(E12*G12,0))</f>
        <v>30380</v>
      </c>
      <c r="I12" s="127" t="inlineStr">
        <is>
          <t>本体は元請様支給</t>
        </is>
      </c>
      <c r="J12" s="97" t="n">
        <v>4000</v>
      </c>
      <c r="K12" s="98" t="n">
        <v>1.1</v>
      </c>
      <c r="L12" s="95">
        <f>ROUND(K12*LABOR_DAY,0)</f>
        <v>20900</v>
      </c>
      <c r="M12" s="95">
        <f>J12+L12</f>
        <v>24900</v>
      </c>
      <c r="N12" s="99">
        <f>COEF</f>
        <v>1.22</v>
      </c>
      <c r="O12" s="93">
        <f>E12*M12</f>
        <v>24900</v>
      </c>
      <c r="P12" s="93">
        <f>ROUND(E12*L12*N12,0)</f>
        <v>25498</v>
      </c>
      <c r="Q12" s="100" t="inlineStr">
        <is>
          <t>図面カウント</t>
        </is>
      </c>
      <c r="R12" s="93">
        <f>IF(H12="","",H12-O12)</f>
        <v>5480</v>
      </c>
      <c r="S12" s="101">
        <f>IF(OR(H12="",H12=0),"",R12/H12)</f>
        <v>0.1803818301514154</v>
      </c>
      <c r="T12" s="95" t="n">
        <v>37860</v>
      </c>
      <c r="U12" s="102">
        <f>IF(OR(T12="",T12=0),"",G12/T12)</f>
        <v>0.8024300052826202</v>
      </c>
      <c r="V12" s="103" t="inlineStr">
        <is>
          <t>8〜10HP 室外機（防振ゴム・架台固定共）｜</t>
        </is>
      </c>
    </row>
    <row r="13" ht="18" customHeight="1">
      <c r="A13" s="122" t="inlineStr">
        <is>
          <t xml:space="preserve">　追AC4 室内機 据付</t>
        </is>
      </c>
      <c r="B13" s="40" t="n"/>
      <c r="C13" s="123" t="inlineStr">
        <is>
          <t>PA-P224L7HTNB 子機 2F階段ホール2・南廊下1</t>
        </is>
      </c>
      <c r="D13" s="40" t="n"/>
      <c r="E13" s="124" t="n">
        <v>3</v>
      </c>
      <c r="F13" s="125" t="inlineStr">
        <is>
          <t>台</t>
        </is>
      </c>
      <c r="G13" s="126">
        <f>IF(M13="","",ROUND(M13*N13,-1))</f>
        <v>21660</v>
      </c>
      <c r="H13" s="124">
        <f>IF(G13="","",ROUND(E13*G13,0))</f>
        <v>64980</v>
      </c>
      <c r="I13" s="127" t="inlineStr">
        <is>
          <t>本体は元請様支給</t>
        </is>
      </c>
      <c r="J13" s="97" t="n">
        <v>1600</v>
      </c>
      <c r="K13" s="98" t="n">
        <v>0.85</v>
      </c>
      <c r="L13" s="95">
        <f>ROUND(K13*LABOR_DAY,0)</f>
        <v>16150</v>
      </c>
      <c r="M13" s="95">
        <f>J13+L13</f>
        <v>17750</v>
      </c>
      <c r="N13" s="99">
        <f>COEF</f>
        <v>1.22</v>
      </c>
      <c r="O13" s="93">
        <f>E13*M13</f>
        <v>53250</v>
      </c>
      <c r="P13" s="93">
        <f>ROUND(E13*L13*N13,0)</f>
        <v>59109</v>
      </c>
      <c r="Q13" s="100" t="inlineStr">
        <is>
          <t>図面カウント</t>
        </is>
      </c>
      <c r="R13" s="93">
        <f>IF(H13="","",H13-O13)</f>
        <v>11730</v>
      </c>
      <c r="S13" s="101">
        <f>IF(OR(H13="",H13=0),"",R13/H13)</f>
        <v>0.18051708217913204</v>
      </c>
      <c r="T13" s="95" t="n">
        <v>21700</v>
      </c>
      <c r="U13" s="102">
        <f>IF(OR(T13="",T13=0),"",G13/T13)</f>
        <v>0.9981566820276497</v>
      </c>
      <c r="V13" s="103" t="inlineStr">
        <is>
          <t>6330476-3 搬入据付 238,750/11台≒21,700/台、6330284-1 25,000/台｜</t>
        </is>
      </c>
    </row>
    <row r="14" ht="18" customHeight="1">
      <c r="A14" s="122" t="inlineStr">
        <is>
          <t xml:space="preserve">　追AC4 室外機 据付</t>
        </is>
      </c>
      <c r="B14" s="40" t="n"/>
      <c r="C14" s="123" t="inlineStr">
        <is>
          <t>8HP 1F東側地上(倉庫2東)</t>
        </is>
      </c>
      <c r="D14" s="40" t="n"/>
      <c r="E14" s="124" t="n">
        <v>1</v>
      </c>
      <c r="F14" s="125" t="inlineStr">
        <is>
          <t>台</t>
        </is>
      </c>
      <c r="G14" s="126">
        <f>IF(M14="","",ROUND(M14*N14,-1))</f>
        <v>30380</v>
      </c>
      <c r="H14" s="124">
        <f>IF(G14="","",ROUND(E14*G14,0))</f>
        <v>30380</v>
      </c>
      <c r="I14" s="127" t="inlineStr">
        <is>
          <t>本体は元請様支給</t>
        </is>
      </c>
      <c r="J14" s="97" t="n">
        <v>4000</v>
      </c>
      <c r="K14" s="98" t="n">
        <v>1.1</v>
      </c>
      <c r="L14" s="95">
        <f>ROUND(K14*LABOR_DAY,0)</f>
        <v>20900</v>
      </c>
      <c r="M14" s="95">
        <f>J14+L14</f>
        <v>24900</v>
      </c>
      <c r="N14" s="99">
        <f>COEF</f>
        <v>1.22</v>
      </c>
      <c r="O14" s="93">
        <f>E14*M14</f>
        <v>24900</v>
      </c>
      <c r="P14" s="93">
        <f>ROUND(E14*L14*N14,0)</f>
        <v>25498</v>
      </c>
      <c r="Q14" s="100" t="inlineStr">
        <is>
          <t>図面カウント</t>
        </is>
      </c>
      <c r="R14" s="93">
        <f>IF(H14="","",H14-O14)</f>
        <v>5480</v>
      </c>
      <c r="S14" s="101">
        <f>IF(OR(H14="",H14=0),"",R14/H14)</f>
        <v>0.1803818301514154</v>
      </c>
      <c r="T14" s="95" t="n">
        <v>37860</v>
      </c>
      <c r="U14" s="102">
        <f>IF(OR(T14="",T14=0),"",G14/T14)</f>
        <v>0.8024300052826202</v>
      </c>
      <c r="V14" s="103" t="inlineStr">
        <is>
          <t>8〜10HP 室外機（防振ゴム・架台固定共）｜</t>
        </is>
      </c>
    </row>
    <row r="15" ht="18" customHeight="1">
      <c r="A15" s="122" t="inlineStr">
        <is>
          <t xml:space="preserve">　追AC5 室内機 据付</t>
        </is>
      </c>
      <c r="B15" s="40" t="n"/>
      <c r="C15" s="123" t="inlineStr">
        <is>
          <t>PA-P224L7HTNB 子機 2F南廊下 3箇所</t>
        </is>
      </c>
      <c r="D15" s="40" t="n"/>
      <c r="E15" s="124" t="n">
        <v>3</v>
      </c>
      <c r="F15" s="125" t="inlineStr">
        <is>
          <t>台</t>
        </is>
      </c>
      <c r="G15" s="126">
        <f>IF(M15="","",ROUND(M15*N15,-1))</f>
        <v>21660</v>
      </c>
      <c r="H15" s="124">
        <f>IF(G15="","",ROUND(E15*G15,0))</f>
        <v>64980</v>
      </c>
      <c r="I15" s="127" t="inlineStr">
        <is>
          <t>本体は元請様支給</t>
        </is>
      </c>
      <c r="J15" s="97" t="n">
        <v>1600</v>
      </c>
      <c r="K15" s="98" t="n">
        <v>0.85</v>
      </c>
      <c r="L15" s="95">
        <f>ROUND(K15*LABOR_DAY,0)</f>
        <v>16150</v>
      </c>
      <c r="M15" s="95">
        <f>J15+L15</f>
        <v>17750</v>
      </c>
      <c r="N15" s="99">
        <f>COEF</f>
        <v>1.22</v>
      </c>
      <c r="O15" s="93">
        <f>E15*M15</f>
        <v>53250</v>
      </c>
      <c r="P15" s="93">
        <f>ROUND(E15*L15*N15,0)</f>
        <v>59109</v>
      </c>
      <c r="Q15" s="100" t="inlineStr">
        <is>
          <t>図面カウント</t>
        </is>
      </c>
      <c r="R15" s="93">
        <f>IF(H15="","",H15-O15)</f>
        <v>11730</v>
      </c>
      <c r="S15" s="101">
        <f>IF(OR(H15="",H15=0),"",R15/H15)</f>
        <v>0.18051708217913204</v>
      </c>
      <c r="T15" s="95" t="n">
        <v>21700</v>
      </c>
      <c r="U15" s="102">
        <f>IF(OR(T15="",T15=0),"",G15/T15)</f>
        <v>0.9981566820276497</v>
      </c>
      <c r="V15" s="103" t="inlineStr">
        <is>
          <t>6330476-3 搬入据付 238,750/11台≒21,700/台、6330284-1 25,000/台｜</t>
        </is>
      </c>
    </row>
    <row r="16" ht="18" customHeight="1">
      <c r="A16" s="122" t="inlineStr">
        <is>
          <t xml:space="preserve">　追AC5 室外機 据付</t>
        </is>
      </c>
      <c r="B16" s="40" t="n"/>
      <c r="C16" s="123" t="inlineStr">
        <is>
          <t>8HP 1F東側地上(倉庫2東)</t>
        </is>
      </c>
      <c r="D16" s="40" t="n"/>
      <c r="E16" s="124" t="n">
        <v>1</v>
      </c>
      <c r="F16" s="125" t="inlineStr">
        <is>
          <t>台</t>
        </is>
      </c>
      <c r="G16" s="126">
        <f>IF(M16="","",ROUND(M16*N16,-1))</f>
        <v>30380</v>
      </c>
      <c r="H16" s="124">
        <f>IF(G16="","",ROUND(E16*G16,0))</f>
        <v>30380</v>
      </c>
      <c r="I16" s="127" t="inlineStr">
        <is>
          <t>本体は元請様支給</t>
        </is>
      </c>
      <c r="J16" s="97" t="n">
        <v>4000</v>
      </c>
      <c r="K16" s="98" t="n">
        <v>1.1</v>
      </c>
      <c r="L16" s="95">
        <f>ROUND(K16*LABOR_DAY,0)</f>
        <v>20900</v>
      </c>
      <c r="M16" s="95">
        <f>J16+L16</f>
        <v>24900</v>
      </c>
      <c r="N16" s="99">
        <f>COEF</f>
        <v>1.22</v>
      </c>
      <c r="O16" s="93">
        <f>E16*M16</f>
        <v>24900</v>
      </c>
      <c r="P16" s="93">
        <f>ROUND(E16*L16*N16,0)</f>
        <v>25498</v>
      </c>
      <c r="Q16" s="100" t="inlineStr">
        <is>
          <t>図面カウント</t>
        </is>
      </c>
      <c r="R16" s="93">
        <f>IF(H16="","",H16-O16)</f>
        <v>5480</v>
      </c>
      <c r="S16" s="101">
        <f>IF(OR(H16="",H16=0),"",R16/H16)</f>
        <v>0.1803818301514154</v>
      </c>
      <c r="T16" s="95" t="n">
        <v>37860</v>
      </c>
      <c r="U16" s="102">
        <f>IF(OR(T16="",T16=0),"",G16/T16)</f>
        <v>0.8024300052826202</v>
      </c>
      <c r="V16" s="103" t="inlineStr">
        <is>
          <t>8〜10HP 室外機（防振ゴム・架台固定共）｜</t>
        </is>
      </c>
    </row>
    <row r="17" ht="18" customHeight="1">
      <c r="A17" s="122" t="inlineStr">
        <is>
          <t xml:space="preserve">　分岐管(トリプル用) 取付</t>
        </is>
      </c>
      <c r="B17" s="40" t="n"/>
      <c r="C17" s="123" t="inlineStr">
        <is>
          <t>各系統2組 ※機器付属として元請支給想定・未支給なら別途</t>
        </is>
      </c>
      <c r="D17" s="40" t="n"/>
      <c r="E17" s="124" t="n">
        <v>10</v>
      </c>
      <c r="F17" s="125" t="inlineStr">
        <is>
          <t>組</t>
        </is>
      </c>
      <c r="G17" s="126">
        <f>IF(M17="","",ROUND(M17*N17,-1))</f>
        <v>6530</v>
      </c>
      <c r="H17" s="124">
        <f>IF(G17="","",ROUND(E17*G17,0))</f>
        <v>65300</v>
      </c>
      <c r="I17" s="127" t="inlineStr">
        <is>
          <t>想定数量（別紙条件書）</t>
        </is>
      </c>
      <c r="J17" s="97" t="n">
        <v>600</v>
      </c>
      <c r="K17" s="98" t="n">
        <v>0.25</v>
      </c>
      <c r="L17" s="95">
        <f>ROUND(K17*LABOR_DAY,0)</f>
        <v>4750</v>
      </c>
      <c r="M17" s="95">
        <f>J17+L17</f>
        <v>5350</v>
      </c>
      <c r="N17" s="99">
        <f>COEF</f>
        <v>1.22</v>
      </c>
      <c r="O17" s="93">
        <f>E17*M17</f>
        <v>53500</v>
      </c>
      <c r="P17" s="93">
        <f>ROUND(E17*L17*N17,0)</f>
        <v>57950</v>
      </c>
      <c r="Q17" s="104" t="inlineStr">
        <is>
          <t>推測</t>
        </is>
      </c>
      <c r="R17" s="93">
        <f>IF(H17="","",H17-O17)</f>
        <v>11800</v>
      </c>
      <c r="S17" s="101">
        <f>IF(OR(H17="",H17=0),"",R17/H17)</f>
        <v>0.1807044410413476</v>
      </c>
      <c r="T17" s="95" t="n"/>
      <c r="U17" s="102" t="n"/>
      <c r="V17" s="103" t="inlineStr">
        <is>
          <t>分岐管取付（支給）｜取付費のみ</t>
        </is>
      </c>
    </row>
    <row r="18" ht="18" customHeight="1">
      <c r="A18" s="122" t="inlineStr">
        <is>
          <t xml:space="preserve">　冷媒配管 ①</t>
        </is>
      </c>
      <c r="B18" s="40" t="n"/>
      <c r="C18" s="123" t="inlineStr">
        <is>
          <t>被覆銅管 9.52/6.35 追AC1 枝管</t>
        </is>
      </c>
      <c r="D18" s="40" t="n"/>
      <c r="E18" s="124" t="n">
        <v>35</v>
      </c>
      <c r="F18" s="125" t="inlineStr">
        <is>
          <t>m</t>
        </is>
      </c>
      <c r="G18" s="126">
        <f>IF(M18="","",ROUND(M18*N18,-1))</f>
        <v>7320</v>
      </c>
      <c r="H18" s="124">
        <f>IF(G18="","",ROUND(E18*G18,0))</f>
        <v>256200</v>
      </c>
      <c r="I18" s="127" t="inlineStr">
        <is>
          <t>想定数量（別紙条件書）</t>
        </is>
      </c>
      <c r="J18" s="97" t="n">
        <v>2200</v>
      </c>
      <c r="K18" s="98" t="n">
        <v>0.2</v>
      </c>
      <c r="L18" s="95">
        <f>ROUND(K18*LABOR_DAY,0)</f>
        <v>3800</v>
      </c>
      <c r="M18" s="95">
        <f>J18+L18</f>
        <v>6000</v>
      </c>
      <c r="N18" s="99">
        <f>COEF</f>
        <v>1.22</v>
      </c>
      <c r="O18" s="93">
        <f>E18*M18</f>
        <v>210000</v>
      </c>
      <c r="P18" s="93">
        <f>ROUND(E18*L18*N18,0)</f>
        <v>162260</v>
      </c>
      <c r="Q18" s="104" t="inlineStr">
        <is>
          <t>推測</t>
        </is>
      </c>
      <c r="R18" s="93">
        <f>IF(H18="","",H18-O18)</f>
        <v>46200</v>
      </c>
      <c r="S18" s="101">
        <f>IF(OR(H18="",H18=0),"",R18/H18)</f>
        <v>0.18032786885245902</v>
      </c>
      <c r="T18" s="95" t="n">
        <v>7328</v>
      </c>
      <c r="U18" s="102">
        <f>IF(OR(T18="",T18=0),"",G18/T18)</f>
        <v>0.9989082969432315</v>
      </c>
      <c r="V18" s="103" t="inlineStr">
        <is>
          <t>6330539 ペアコイル6.35+9.52 988/m・2分3分級は1,450/m想定、5 m/人工｜配管経路図示なし 室内外機位置より推定</t>
        </is>
      </c>
    </row>
    <row r="19" ht="18" customHeight="1">
      <c r="A19" s="122" t="inlineStr">
        <is>
          <t xml:space="preserve">　冷媒配管 ③</t>
        </is>
      </c>
      <c r="B19" s="40" t="n"/>
      <c r="C19" s="123" t="inlineStr">
        <is>
          <t>被覆銅管 15.88/9.52 追AC1主管16m・追AC2～5 枝管168m</t>
        </is>
      </c>
      <c r="D19" s="40" t="n"/>
      <c r="E19" s="124" t="n">
        <v>184</v>
      </c>
      <c r="F19" s="125" t="inlineStr">
        <is>
          <t>m</t>
        </is>
      </c>
      <c r="G19" s="126">
        <f>IF(M19="","",ROUND(M19*N19,-1))</f>
        <v>12540</v>
      </c>
      <c r="H19" s="124">
        <f>IF(G19="","",ROUND(E19*G19,0))</f>
        <v>2307360</v>
      </c>
      <c r="I19" s="127" t="inlineStr">
        <is>
          <t>想定数量（別紙条件書）</t>
        </is>
      </c>
      <c r="J19" s="97" t="n">
        <v>6100</v>
      </c>
      <c r="K19" s="98" t="n">
        <v>0.22</v>
      </c>
      <c r="L19" s="95">
        <f>ROUND(K19*LABOR_DAY,0)</f>
        <v>4180</v>
      </c>
      <c r="M19" s="95">
        <f>J19+L19</f>
        <v>10280</v>
      </c>
      <c r="N19" s="99">
        <f>COEF</f>
        <v>1.22</v>
      </c>
      <c r="O19" s="93">
        <f>E19*M19</f>
        <v>1891520</v>
      </c>
      <c r="P19" s="93">
        <f>ROUND(E19*L19*N19,0)</f>
        <v>938326</v>
      </c>
      <c r="Q19" s="104" t="inlineStr">
        <is>
          <t>推測</t>
        </is>
      </c>
      <c r="R19" s="93">
        <f>IF(H19="","",H19-O19)</f>
        <v>415840</v>
      </c>
      <c r="S19" s="101">
        <f>IF(OR(H19="",H19=0),"",R19/H19)</f>
        <v>0.18022328548644337</v>
      </c>
      <c r="T19" s="95" t="n">
        <v>12556</v>
      </c>
      <c r="U19" s="102">
        <f>IF(OR(T19="",T19=0),"",G19/T19)</f>
        <v>0.9987257088244664</v>
      </c>
      <c r="V19" s="103" t="inlineStr">
        <is>
          <t>6330476-3 / 6330344-1 9.52+15.88 4,025/m、4.6 m/人工｜同上</t>
        </is>
      </c>
    </row>
    <row r="20" ht="18" customHeight="1">
      <c r="A20" s="122" t="inlineStr">
        <is>
          <t xml:space="preserve">　冷媒配管 ⑥</t>
        </is>
      </c>
      <c r="B20" s="40" t="n"/>
      <c r="C20" s="123" t="inlineStr">
        <is>
          <t>被覆銅管 25.4/9.52 追AC2～5 主管 (立管2F→1F含む)</t>
        </is>
      </c>
      <c r="D20" s="40" t="n"/>
      <c r="E20" s="124" t="n">
        <v>73</v>
      </c>
      <c r="F20" s="125" t="inlineStr">
        <is>
          <t>m</t>
        </is>
      </c>
      <c r="G20" s="126">
        <f>IF(M20="","",ROUND(M20*N20,-1))</f>
        <v>16620</v>
      </c>
      <c r="H20" s="124">
        <f>IF(G20="","",ROUND(E20*G20,0))</f>
        <v>1213260</v>
      </c>
      <c r="I20" s="127" t="inlineStr">
        <is>
          <t>想定数量（別紙条件書）</t>
        </is>
      </c>
      <c r="J20" s="97" t="n">
        <v>8300</v>
      </c>
      <c r="K20" s="98" t="n">
        <v>0.28</v>
      </c>
      <c r="L20" s="95">
        <f>ROUND(K20*LABOR_DAY,0)</f>
        <v>5320</v>
      </c>
      <c r="M20" s="95">
        <f>J20+L20</f>
        <v>13620</v>
      </c>
      <c r="N20" s="99">
        <f>COEF</f>
        <v>1.22</v>
      </c>
      <c r="O20" s="93">
        <f>E20*M20</f>
        <v>994260</v>
      </c>
      <c r="P20" s="93">
        <f>ROUND(E20*L20*N20,0)</f>
        <v>473799</v>
      </c>
      <c r="Q20" s="104" t="inlineStr">
        <is>
          <t>推測</t>
        </is>
      </c>
      <c r="R20" s="93">
        <f>IF(H20="","",H20-O20)</f>
        <v>219000</v>
      </c>
      <c r="S20" s="101">
        <f>IF(OR(H20="",H20=0),"",R20/H20)</f>
        <v>0.18050541516245489</v>
      </c>
      <c r="T20" s="95" t="n">
        <v>16632</v>
      </c>
      <c r="U20" s="102">
        <f>IF(OR(T20="",T20=0),"",G20/T20)</f>
        <v>0.9992784992784993</v>
      </c>
      <c r="V20" s="103" t="inlineStr">
        <is>
          <t>6330476-3 9.52+25.40 5,475/m、3.5 m/人工｜追AC2 12・AC3 14・AC4 31・AC5 16</t>
        </is>
      </c>
    </row>
    <row r="21" ht="18" customHeight="1">
      <c r="A21" s="122" t="inlineStr">
        <is>
          <t xml:space="preserve">　冷媒配管 化粧ケース</t>
        </is>
      </c>
      <c r="B21" s="40" t="n"/>
      <c r="C21" s="123" t="inlineStr">
        <is>
          <t>屋外露出部</t>
        </is>
      </c>
      <c r="D21" s="40" t="n"/>
      <c r="E21" s="124" t="n">
        <v>13</v>
      </c>
      <c r="F21" s="125" t="inlineStr">
        <is>
          <t>m</t>
        </is>
      </c>
      <c r="G21" s="126">
        <f>IF(M21="","",ROUND(M21*N21,-1))</f>
        <v>4150</v>
      </c>
      <c r="H21" s="124">
        <f>IF(G21="","",ROUND(E21*G21,0))</f>
        <v>53950</v>
      </c>
      <c r="I21" s="127" t="inlineStr">
        <is>
          <t>想定数量（別紙条件書）</t>
        </is>
      </c>
      <c r="J21" s="97" t="n">
        <v>1500</v>
      </c>
      <c r="K21" s="98" t="n">
        <v>0.1</v>
      </c>
      <c r="L21" s="95">
        <f>ROUND(K21*LABOR_DAY,0)</f>
        <v>1900</v>
      </c>
      <c r="M21" s="95">
        <f>J21+L21</f>
        <v>3400</v>
      </c>
      <c r="N21" s="99">
        <f>COEF</f>
        <v>1.22</v>
      </c>
      <c r="O21" s="93">
        <f>E21*M21</f>
        <v>44200</v>
      </c>
      <c r="P21" s="93">
        <f>ROUND(E21*L21*N21,0)</f>
        <v>30134</v>
      </c>
      <c r="Q21" s="104" t="inlineStr">
        <is>
          <t>推測</t>
        </is>
      </c>
      <c r="R21" s="93">
        <f>IF(H21="","",H21-O21)</f>
        <v>9750</v>
      </c>
      <c r="S21" s="101">
        <f>IF(OR(H21="",H21=0),"",R21/H21)</f>
        <v>0.18072289156626506</v>
      </c>
      <c r="T21" s="95" t="n">
        <v>3516</v>
      </c>
      <c r="U21" s="102">
        <f>IF(OR(T21="",T21=0),"",G21/T21)</f>
        <v>1.1803185437997725</v>
      </c>
      <c r="V21" s="103" t="inlineStr">
        <is>
          <t>配管保温工事費 1,194/m（6330476-3）＋化粧ケース材｜5系統×2.5m</t>
        </is>
      </c>
    </row>
    <row r="22" ht="18" customHeight="1">
      <c r="A22" s="122" t="inlineStr">
        <is>
          <t xml:space="preserve">　外壁貫通スリーブ材</t>
        </is>
      </c>
      <c r="B22" s="40" t="n"/>
      <c r="C22" s="123" t="inlineStr">
        <is>
          <t>VP100</t>
        </is>
      </c>
      <c r="D22" s="40" t="n"/>
      <c r="E22" s="124" t="n">
        <v>5</v>
      </c>
      <c r="F22" s="125" t="inlineStr">
        <is>
          <t>箇所</t>
        </is>
      </c>
      <c r="G22" s="126">
        <f>IF(M22="","",ROUND(M22*N22,-1))</f>
        <v>2490</v>
      </c>
      <c r="H22" s="124">
        <f>IF(G22="","",ROUND(E22*G22,0))</f>
        <v>12450</v>
      </c>
      <c r="I22" s="127" t="inlineStr">
        <is>
          <t>想定数量（別紙条件書）</t>
        </is>
      </c>
      <c r="J22" s="97" t="n">
        <v>900</v>
      </c>
      <c r="K22" s="98" t="n">
        <v>0.06</v>
      </c>
      <c r="L22" s="95">
        <f>ROUND(K22*LABOR_DAY,0)</f>
        <v>1140</v>
      </c>
      <c r="M22" s="95">
        <f>J22+L22</f>
        <v>2040</v>
      </c>
      <c r="N22" s="99">
        <f>COEF</f>
        <v>1.22</v>
      </c>
      <c r="O22" s="93">
        <f>E22*M22</f>
        <v>10200</v>
      </c>
      <c r="P22" s="93">
        <f>ROUND(E22*L22*N22,0)</f>
        <v>6954</v>
      </c>
      <c r="Q22" s="104" t="inlineStr">
        <is>
          <t>推測</t>
        </is>
      </c>
      <c r="R22" s="93">
        <f>IF(H22="","",H22-O22)</f>
        <v>2250</v>
      </c>
      <c r="S22" s="101">
        <f>IF(OR(H22="",H22=0),"",R22/H22)</f>
        <v>0.18072289156626506</v>
      </c>
      <c r="T22" s="95" t="n"/>
      <c r="U22" s="102" t="n"/>
      <c r="V22" s="103" t="inlineStr">
        <is>
          <t>VP100 スリーブ材＋取付（参考実績なし）｜</t>
        </is>
      </c>
    </row>
    <row r="23" ht="18" customHeight="1">
      <c r="A23" s="122" t="inlineStr">
        <is>
          <t xml:space="preserve">　区画貫通処理</t>
        </is>
      </c>
      <c r="B23" s="40" t="n"/>
      <c r="C23" s="123" t="inlineStr">
        <is>
          <t>冷媒管・ドレン管 フィブロック 廊下区画壁</t>
        </is>
      </c>
      <c r="D23" s="40" t="n"/>
      <c r="E23" s="124" t="n">
        <v>5</v>
      </c>
      <c r="F23" s="125" t="inlineStr">
        <is>
          <t>箇所</t>
        </is>
      </c>
      <c r="G23" s="126">
        <f>IF(M23="","",ROUND(M23*N23,-1))</f>
        <v>14760</v>
      </c>
      <c r="H23" s="124">
        <f>IF(G23="","",ROUND(E23*G23,0))</f>
        <v>73800</v>
      </c>
      <c r="I23" s="127" t="inlineStr">
        <is>
          <t>想定数量（別紙条件書）</t>
        </is>
      </c>
      <c r="J23" s="97" t="n">
        <v>4500</v>
      </c>
      <c r="K23" s="98" t="n">
        <v>0.4</v>
      </c>
      <c r="L23" s="95">
        <f>ROUND(K23*LABOR_DAY,0)</f>
        <v>7600</v>
      </c>
      <c r="M23" s="95">
        <f>J23+L23</f>
        <v>12100</v>
      </c>
      <c r="N23" s="99">
        <f>COEF</f>
        <v>1.22</v>
      </c>
      <c r="O23" s="93">
        <f>E23*M23</f>
        <v>60500</v>
      </c>
      <c r="P23" s="93">
        <f>ROUND(E23*L23*N23,0)</f>
        <v>46360</v>
      </c>
      <c r="Q23" s="104" t="inlineStr">
        <is>
          <t>推測</t>
        </is>
      </c>
      <c r="R23" s="93">
        <f>IF(H23="","",H23-O23)</f>
        <v>13300</v>
      </c>
      <c r="S23" s="101">
        <f>IF(OR(H23="",H23=0),"",R23/H23)</f>
        <v>0.1802168021680217</v>
      </c>
      <c r="T23" s="95" t="n"/>
      <c r="U23" s="102" t="n"/>
      <c r="V23" s="103" t="inlineStr">
        <is>
          <t>6330248-2 防火区画貫通 88,000/式（箇所数不明）｜各系統1箇所と仮定</t>
        </is>
      </c>
    </row>
    <row r="24" ht="18" customHeight="1">
      <c r="A24" s="122" t="inlineStr">
        <is>
          <t xml:space="preserve">　ドレン管 VP25</t>
        </is>
      </c>
      <c r="B24" s="40" t="n"/>
      <c r="C24" s="123" t="inlineStr">
        <is>
          <t>継手・支持共 15台×8m</t>
        </is>
      </c>
      <c r="D24" s="40" t="n"/>
      <c r="E24" s="124" t="n">
        <v>120</v>
      </c>
      <c r="F24" s="125" t="inlineStr">
        <is>
          <t>m</t>
        </is>
      </c>
      <c r="G24" s="126">
        <f>IF(M24="","",ROUND(M24*N24,-1))</f>
        <v>3130</v>
      </c>
      <c r="H24" s="124">
        <f>IF(G24="","",ROUND(E24*G24,0))</f>
        <v>375600</v>
      </c>
      <c r="I24" s="127" t="inlineStr">
        <is>
          <t>想定数量（別紙条件書）</t>
        </is>
      </c>
      <c r="J24" s="97" t="n">
        <v>475</v>
      </c>
      <c r="K24" s="98" t="n">
        <v>0.11</v>
      </c>
      <c r="L24" s="95">
        <f>ROUND(K24*LABOR_DAY,0)</f>
        <v>2090</v>
      </c>
      <c r="M24" s="95">
        <f>J24+L24</f>
        <v>2565</v>
      </c>
      <c r="N24" s="99">
        <f>COEF</f>
        <v>1.22</v>
      </c>
      <c r="O24" s="93">
        <f>E24*M24</f>
        <v>307800</v>
      </c>
      <c r="P24" s="93">
        <f>ROUND(E24*L24*N24,0)</f>
        <v>305976</v>
      </c>
      <c r="Q24" s="104" t="inlineStr">
        <is>
          <t>推測</t>
        </is>
      </c>
      <c r="R24" s="93">
        <f>IF(H24="","",H24-O24)</f>
        <v>67800</v>
      </c>
      <c r="S24" s="101">
        <f>IF(OR(H24="",H24=0),"",R24/H24)</f>
        <v>0.1805111821086262</v>
      </c>
      <c r="T24" s="95" t="n">
        <v>3134</v>
      </c>
      <c r="U24" s="102">
        <f>IF(OR(T24="",T24=0),"",G24/T24)</f>
        <v>0.9987236758136566</v>
      </c>
      <c r="V24" s="103" t="inlineStr">
        <is>
          <t>6330344-1/476-3/248-2 VP25 313/m、工費 2,497/m｜</t>
        </is>
      </c>
    </row>
    <row r="25" ht="18" customHeight="1">
      <c r="A25" s="122" t="inlineStr">
        <is>
          <t xml:space="preserve">　ドレン管 VP40</t>
        </is>
      </c>
      <c r="B25" s="40" t="n"/>
      <c r="C25" s="123" t="inlineStr">
        <is>
          <t>継手・支持共 集合管・立下り</t>
        </is>
      </c>
      <c r="D25" s="40" t="n"/>
      <c r="E25" s="124" t="n">
        <v>30</v>
      </c>
      <c r="F25" s="125" t="inlineStr">
        <is>
          <t>m</t>
        </is>
      </c>
      <c r="G25" s="126">
        <f>IF(M25="","",ROUND(M25*N25,-1))</f>
        <v>3940</v>
      </c>
      <c r="H25" s="124">
        <f>IF(G25="","",ROUND(E25*G25,0))</f>
        <v>118200</v>
      </c>
      <c r="I25" s="127" t="inlineStr">
        <is>
          <t>想定数量（別紙条件書）</t>
        </is>
      </c>
      <c r="J25" s="97" t="n">
        <v>760</v>
      </c>
      <c r="K25" s="98" t="n">
        <v>0.13</v>
      </c>
      <c r="L25" s="95">
        <f>ROUND(K25*LABOR_DAY,0)</f>
        <v>2470</v>
      </c>
      <c r="M25" s="95">
        <f>J25+L25</f>
        <v>3230</v>
      </c>
      <c r="N25" s="99">
        <f>COEF</f>
        <v>1.22</v>
      </c>
      <c r="O25" s="93">
        <f>E25*M25</f>
        <v>96900</v>
      </c>
      <c r="P25" s="93">
        <f>ROUND(E25*L25*N25,0)</f>
        <v>90402</v>
      </c>
      <c r="Q25" s="104" t="inlineStr">
        <is>
          <t>推測</t>
        </is>
      </c>
      <c r="R25" s="93">
        <f>IF(H25="","",H25-O25)</f>
        <v>21300</v>
      </c>
      <c r="S25" s="101">
        <f>IF(OR(H25="",H25=0),"",R25/H25)</f>
        <v>0.1802030456852792</v>
      </c>
      <c r="T25" s="95" t="n"/>
      <c r="U25" s="102" t="n"/>
      <c r="V25" s="103" t="inlineStr">
        <is>
          <t>VP25 比例｜</t>
        </is>
      </c>
    </row>
    <row r="26" ht="18" customHeight="1">
      <c r="A26" s="122" t="inlineStr">
        <is>
          <t xml:space="preserve">　ドレン管 保温</t>
        </is>
      </c>
      <c r="B26" s="40" t="n"/>
      <c r="C26" s="123" t="inlineStr">
        <is>
          <t>GW保温筒20 ALGC</t>
        </is>
      </c>
      <c r="D26" s="40" t="n"/>
      <c r="E26" s="124" t="n">
        <v>150</v>
      </c>
      <c r="F26" s="125" t="inlineStr">
        <is>
          <t>m</t>
        </is>
      </c>
      <c r="G26" s="126">
        <f>IF(M26="","",ROUND(M26*N26,-1))</f>
        <v>2490</v>
      </c>
      <c r="H26" s="124">
        <f>IF(G26="","",ROUND(E26*G26,0))</f>
        <v>373500</v>
      </c>
      <c r="I26" s="127" t="inlineStr">
        <is>
          <t>想定数量（別紙条件書）</t>
        </is>
      </c>
      <c r="J26" s="97" t="n">
        <v>900</v>
      </c>
      <c r="K26" s="98" t="n">
        <v>0.06</v>
      </c>
      <c r="L26" s="95">
        <f>ROUND(K26*LABOR_DAY,0)</f>
        <v>1140</v>
      </c>
      <c r="M26" s="95">
        <f>J26+L26</f>
        <v>2040</v>
      </c>
      <c r="N26" s="99">
        <f>COEF</f>
        <v>1.22</v>
      </c>
      <c r="O26" s="93">
        <f>E26*M26</f>
        <v>306000</v>
      </c>
      <c r="P26" s="93">
        <f>ROUND(E26*L26*N26,0)</f>
        <v>208620</v>
      </c>
      <c r="Q26" s="104" t="inlineStr">
        <is>
          <t>推測</t>
        </is>
      </c>
      <c r="R26" s="93">
        <f>IF(H26="","",H26-O26)</f>
        <v>67500</v>
      </c>
      <c r="S26" s="101">
        <f>IF(OR(H26="",H26=0),"",R26/H26)</f>
        <v>0.18072289156626506</v>
      </c>
      <c r="T26" s="95" t="n"/>
      <c r="U26" s="102" t="n"/>
      <c r="V26" s="103" t="inlineStr">
        <is>
          <t>GW保温筒20 ALGC（参考実績なし）｜</t>
        </is>
      </c>
    </row>
    <row r="27" ht="18" customHeight="1">
      <c r="A27" s="122" t="inlineStr">
        <is>
          <t xml:space="preserve">　気密試験・真空引き・冷媒追加充填 作業</t>
        </is>
      </c>
      <c r="B27" s="40" t="n"/>
      <c r="C27" s="123" t="n"/>
      <c r="D27" s="40" t="n"/>
      <c r="E27" s="124" t="n">
        <v>5</v>
      </c>
      <c r="F27" s="125" t="inlineStr">
        <is>
          <t>系統</t>
        </is>
      </c>
      <c r="G27" s="126">
        <f>IF(M27="","",ROUND(M27*N27,-1))</f>
        <v>17570</v>
      </c>
      <c r="H27" s="124">
        <f>IF(G27="","",ROUND(E27*G27,0))</f>
        <v>87850</v>
      </c>
      <c r="I27" s="127" t="n"/>
      <c r="J27" s="97" t="n">
        <v>3000</v>
      </c>
      <c r="K27" s="98" t="n">
        <v>0.6</v>
      </c>
      <c r="L27" s="95">
        <f>ROUND(K27*LABOR_DAY,0)</f>
        <v>11400</v>
      </c>
      <c r="M27" s="95">
        <f>J27+L27</f>
        <v>14400</v>
      </c>
      <c r="N27" s="99">
        <f>COEF</f>
        <v>1.22</v>
      </c>
      <c r="O27" s="93">
        <f>E27*M27</f>
        <v>72000</v>
      </c>
      <c r="P27" s="93">
        <f>ROUND(E27*L27*N27,0)</f>
        <v>69540</v>
      </c>
      <c r="Q27" s="100" t="inlineStr">
        <is>
          <t>図面カウント</t>
        </is>
      </c>
      <c r="R27" s="93">
        <f>IF(H27="","",H27-O27)</f>
        <v>15850</v>
      </c>
      <c r="S27" s="101">
        <f>IF(OR(H27="",H27=0),"",R27/H27)</f>
        <v>0.18042117245304495</v>
      </c>
      <c r="T27" s="95" t="n">
        <v>20000</v>
      </c>
      <c r="U27" s="102">
        <f>IF(OR(T27="",T27=0),"",G27/T27)</f>
        <v>0.8785</v>
      </c>
      <c r="V27" s="103" t="inlineStr">
        <is>
          <t>気密テスト 15,000〜25,000/系統・真空引き 3,750〜5,640/系統（6330558/344-1/549）｜</t>
        </is>
      </c>
    </row>
    <row r="28" ht="18" customHeight="1">
      <c r="A28" s="122" t="inlineStr">
        <is>
          <t xml:space="preserve">　冷媒追加充填 (冷媒代)</t>
        </is>
      </c>
      <c r="B28" s="40" t="n"/>
      <c r="C28" s="123" t="n"/>
      <c r="D28" s="40" t="n"/>
      <c r="E28" s="124" t="n">
        <v>6</v>
      </c>
      <c r="F28" s="125" t="inlineStr">
        <is>
          <t>kg</t>
        </is>
      </c>
      <c r="G28" s="126">
        <f>IF(M28="","",ROUND(M28*N28,-1))</f>
        <v>4640</v>
      </c>
      <c r="H28" s="124">
        <f>IF(G28="","",ROUND(E28*G28,0))</f>
        <v>27840</v>
      </c>
      <c r="I28" s="127" t="inlineStr">
        <is>
          <t>想定数量（別紙条件書）</t>
        </is>
      </c>
      <c r="J28" s="97" t="n">
        <v>3800</v>
      </c>
      <c r="K28" s="98" t="n">
        <v>0</v>
      </c>
      <c r="L28" s="95">
        <f>ROUND(K28*LABOR_DAY,0)</f>
        <v>0</v>
      </c>
      <c r="M28" s="95">
        <f>J28+L28</f>
        <v>3800</v>
      </c>
      <c r="N28" s="99">
        <f>COEF</f>
        <v>1.22</v>
      </c>
      <c r="O28" s="93">
        <f>E28*M28</f>
        <v>22800</v>
      </c>
      <c r="P28" s="93">
        <f>ROUND(E28*L28*N28,0)</f>
        <v>0</v>
      </c>
      <c r="Q28" s="104" t="inlineStr">
        <is>
          <t>推測</t>
        </is>
      </c>
      <c r="R28" s="93">
        <f>IF(H28="","",H28-O28)</f>
        <v>5040</v>
      </c>
      <c r="S28" s="101">
        <f>IF(OR(H28="",H28=0),"",R28/H28)</f>
        <v>0.1810344827586207</v>
      </c>
      <c r="T28" s="95" t="n"/>
      <c r="U28" s="102" t="n"/>
      <c r="V28" s="103" t="inlineStr">
        <is>
          <t>R32 冷媒代（参考に単価行なし）｜</t>
        </is>
      </c>
    </row>
    <row r="29" ht="18" customHeight="1">
      <c r="A29" s="122" t="inlineStr">
        <is>
          <t xml:space="preserve">　リモコン線・内外連絡線 配線</t>
        </is>
      </c>
      <c r="B29" s="40" t="n"/>
      <c r="C29" s="123" t="inlineStr">
        <is>
          <t>ワイヤードリモコン 系統毎</t>
        </is>
      </c>
      <c r="D29" s="40" t="n"/>
      <c r="E29" s="124" t="n">
        <v>5</v>
      </c>
      <c r="F29" s="125" t="inlineStr">
        <is>
          <t>系統</t>
        </is>
      </c>
      <c r="G29" s="126">
        <f>IF(M29="","",ROUND(M29*N29,-1))</f>
        <v>8470</v>
      </c>
      <c r="H29" s="124">
        <f>IF(G29="","",ROUND(E29*G29,0))</f>
        <v>42350</v>
      </c>
      <c r="I29" s="127" t="n"/>
      <c r="J29" s="97" t="n">
        <v>2000</v>
      </c>
      <c r="K29" s="98" t="n">
        <v>0.26</v>
      </c>
      <c r="L29" s="95">
        <f>ROUND(K29*LABOR_DAY,0)</f>
        <v>4940</v>
      </c>
      <c r="M29" s="95">
        <f>J29+L29</f>
        <v>6940</v>
      </c>
      <c r="N29" s="99">
        <f>COEF</f>
        <v>1.22</v>
      </c>
      <c r="O29" s="93">
        <f>E29*M29</f>
        <v>34700</v>
      </c>
      <c r="P29" s="93">
        <f>ROUND(E29*L29*N29,0)</f>
        <v>30134</v>
      </c>
      <c r="Q29" s="100" t="inlineStr">
        <is>
          <t>図面カウント</t>
        </is>
      </c>
      <c r="R29" s="93">
        <f>IF(H29="","",H29-O29)</f>
        <v>7650</v>
      </c>
      <c r="S29" s="101">
        <f>IF(OR(H29="",H29=0),"",R29/H29)</f>
        <v>0.1806375442739079</v>
      </c>
      <c r="T29" s="95" t="n">
        <v>8436</v>
      </c>
      <c r="U29" s="102">
        <f>IF(OR(T29="",T29=0),"",G29/T29)</f>
        <v>1.0040303461356093</v>
      </c>
      <c r="V29" s="103" t="inlineStr">
        <is>
          <t>VVF2.0-3C 203/m＋電線材料施工費 約500/m（12m/系統 8,436）→ 原価 6,900｜子機3台渡り</t>
        </is>
      </c>
    </row>
    <row r="30" ht="18" customHeight="1">
      <c r="A30" s="122" t="inlineStr">
        <is>
          <t xml:space="preserve">　集中リモコン CR-1 制御配線 追加</t>
        </is>
      </c>
      <c r="B30" s="40" t="n"/>
      <c r="C30" s="123" t="inlineStr">
        <is>
          <t>S-LINK 5系統分</t>
        </is>
      </c>
      <c r="D30" s="40" t="n"/>
      <c r="E30" s="124" t="n">
        <v>1</v>
      </c>
      <c r="F30" s="125" t="inlineStr">
        <is>
          <t>式</t>
        </is>
      </c>
      <c r="G30" s="126">
        <f>IF(M30="","",ROUND(M30*N30,-1))</f>
        <v>26230</v>
      </c>
      <c r="H30" s="124">
        <f>IF(G30="","",ROUND(E30*G30,0))</f>
        <v>26230</v>
      </c>
      <c r="I30" s="127" t="inlineStr">
        <is>
          <t>想定数量（別紙条件書）</t>
        </is>
      </c>
      <c r="J30" s="97" t="n">
        <v>12000</v>
      </c>
      <c r="K30" s="98" t="n">
        <v>0.5</v>
      </c>
      <c r="L30" s="95">
        <f>ROUND(K30*LABOR_DAY,0)</f>
        <v>9500</v>
      </c>
      <c r="M30" s="95">
        <f>J30+L30</f>
        <v>21500</v>
      </c>
      <c r="N30" s="99">
        <f>COEF</f>
        <v>1.22</v>
      </c>
      <c r="O30" s="93">
        <f>E30*M30</f>
        <v>21500</v>
      </c>
      <c r="P30" s="93">
        <f>ROUND(E30*L30*N30,0)</f>
        <v>11590</v>
      </c>
      <c r="Q30" s="104" t="inlineStr">
        <is>
          <t>推測</t>
        </is>
      </c>
      <c r="R30" s="93">
        <f>IF(H30="","",H30-O30)</f>
        <v>4730</v>
      </c>
      <c r="S30" s="101">
        <f>IF(OR(H30="",H30=0),"",R30/H30)</f>
        <v>0.18032786885245902</v>
      </c>
      <c r="T30" s="95" t="n"/>
      <c r="U30" s="102" t="n"/>
      <c r="V30" s="103" t="inlineStr">
        <is>
          <t>集中リモコン制御線 200m 推定｜</t>
        </is>
      </c>
    </row>
    <row r="31" ht="18" customHeight="1">
      <c r="A31" s="122" t="inlineStr">
        <is>
          <t xml:space="preserve">　試運転調整</t>
        </is>
      </c>
      <c r="B31" s="40" t="n"/>
      <c r="C31" s="123" t="n"/>
      <c r="D31" s="40" t="n"/>
      <c r="E31" s="124" t="n">
        <v>5</v>
      </c>
      <c r="F31" s="125" t="inlineStr">
        <is>
          <t>系統</t>
        </is>
      </c>
      <c r="G31" s="126">
        <f>IF(M31="","",ROUND(M31*N31,-1))</f>
        <v>10980</v>
      </c>
      <c r="H31" s="124">
        <f>IF(G31="","",ROUND(E31*G31,0))</f>
        <v>54900</v>
      </c>
      <c r="I31" s="127" t="n"/>
      <c r="J31" s="97" t="n">
        <v>450</v>
      </c>
      <c r="K31" s="98" t="n">
        <v>0.45</v>
      </c>
      <c r="L31" s="95">
        <f>ROUND(K31*LABOR_DAY,0)</f>
        <v>8550</v>
      </c>
      <c r="M31" s="95">
        <f>J31+L31</f>
        <v>9000</v>
      </c>
      <c r="N31" s="99">
        <f>COEF</f>
        <v>1.22</v>
      </c>
      <c r="O31" s="93">
        <f>E31*M31</f>
        <v>45000</v>
      </c>
      <c r="P31" s="93">
        <f>ROUND(E31*L31*N31,0)</f>
        <v>52155</v>
      </c>
      <c r="Q31" s="100" t="inlineStr">
        <is>
          <t>図面カウント</t>
        </is>
      </c>
      <c r="R31" s="93">
        <f>IF(H31="","",H31-O31)</f>
        <v>9900</v>
      </c>
      <c r="S31" s="101">
        <f>IF(OR(H31="",H31=0),"",R31/H31)</f>
        <v>0.18032786885245902</v>
      </c>
      <c r="T31" s="95" t="n">
        <v>11000</v>
      </c>
      <c r="U31" s="102">
        <f>IF(OR(T31="",T31=0),"",G31/T31)</f>
        <v>0.9981818181818182</v>
      </c>
      <c r="V31" s="103" t="inlineStr">
        <is>
          <t>試運転調整費 10,000〜12,500/系統（6330344-1/549/476-3）｜</t>
        </is>
      </c>
    </row>
    <row r="32" ht="18" customHeight="1">
      <c r="A32" s="122" t="inlineStr">
        <is>
          <t xml:space="preserve">　機器搬入・揚重・養生 追加</t>
        </is>
      </c>
      <c r="B32" s="40" t="n"/>
      <c r="C32" s="123" t="n"/>
      <c r="D32" s="40" t="n"/>
      <c r="E32" s="124" t="n">
        <v>1</v>
      </c>
      <c r="F32" s="125" t="inlineStr">
        <is>
          <t>式</t>
        </is>
      </c>
      <c r="G32" s="126">
        <f>IF(M32="","",ROUND(M32*N32,-1))</f>
        <v>91500</v>
      </c>
      <c r="H32" s="124">
        <f>IF(G32="","",ROUND(E32*G32,0))</f>
        <v>91500</v>
      </c>
      <c r="I32" s="127" t="inlineStr">
        <is>
          <t>想定数量（別紙条件書）</t>
        </is>
      </c>
      <c r="J32" s="97" t="n">
        <v>75000</v>
      </c>
      <c r="K32" s="98" t="n">
        <v>0</v>
      </c>
      <c r="L32" s="95">
        <f>ROUND(K32*LABOR_DAY,0)</f>
        <v>0</v>
      </c>
      <c r="M32" s="95">
        <f>J32+L32</f>
        <v>75000</v>
      </c>
      <c r="N32" s="99">
        <f>COEF</f>
        <v>1.22</v>
      </c>
      <c r="O32" s="93">
        <f>E32*M32</f>
        <v>75000</v>
      </c>
      <c r="P32" s="93">
        <f>ROUND(E32*L32*N32,0)</f>
        <v>0</v>
      </c>
      <c r="Q32" s="104" t="inlineStr">
        <is>
          <t>推測</t>
        </is>
      </c>
      <c r="R32" s="93">
        <f>IF(H32="","",H32-O32)</f>
        <v>16500</v>
      </c>
      <c r="S32" s="101">
        <f>IF(OR(H32="",H32=0),"",R32/H32)</f>
        <v>0.18032786885245902</v>
      </c>
      <c r="T32" s="95" t="n">
        <v>93750</v>
      </c>
      <c r="U32" s="102">
        <f>IF(OR(T32="",T32=0),"",G32/T32)</f>
        <v>0.976</v>
      </c>
      <c r="V32" s="103" t="inlineStr">
        <is>
          <t>揚重工事費（レッカー）93,750/式（6330558）｜</t>
        </is>
      </c>
    </row>
    <row r="33" ht="18" customHeight="1">
      <c r="A33" s="106" t="n"/>
      <c r="B33" s="107" t="n"/>
      <c r="C33" s="107" t="n"/>
      <c r="D33" s="107" t="n"/>
      <c r="E33" s="107" t="n"/>
      <c r="F33" s="107" t="n"/>
      <c r="G33" s="107" t="n"/>
      <c r="H33" s="107" t="n"/>
      <c r="I33" s="108" t="n"/>
      <c r="J33" s="107" t="n"/>
      <c r="K33" s="107" t="n"/>
      <c r="L33" s="107" t="n"/>
      <c r="M33" s="107" t="n"/>
      <c r="N33" s="107" t="n"/>
      <c r="O33" s="107" t="n"/>
      <c r="P33" s="107" t="n"/>
      <c r="Q33" s="107" t="n"/>
      <c r="R33" s="107" t="n"/>
      <c r="S33" s="107" t="n"/>
      <c r="T33" s="107" t="n"/>
      <c r="U33" s="107" t="n"/>
      <c r="V33" s="107" t="n"/>
    </row>
    <row r="34" ht="22" customHeight="1">
      <c r="A34" s="128" t="inlineStr">
        <is>
          <t>【小　　計】</t>
        </is>
      </c>
      <c r="B34" s="110" t="n"/>
      <c r="C34" s="110" t="n"/>
      <c r="D34" s="110" t="n"/>
      <c r="E34" s="110" t="n"/>
      <c r="F34" s="110" t="n"/>
      <c r="G34" s="110" t="n"/>
      <c r="H34" s="129">
        <f>SUM(H6:H33)</f>
        <v>5660790</v>
      </c>
      <c r="I34" s="112" t="n"/>
      <c r="J34" s="113" t="n"/>
      <c r="K34" s="114">
        <f>SUMPRODUCT(E6:E33,K6:K33)</f>
        <v>125.57</v>
      </c>
      <c r="L34" s="113" t="n"/>
      <c r="M34" s="113" t="n"/>
      <c r="N34" s="113" t="n"/>
      <c r="O34" s="115">
        <f>SUM(O6:O33)</f>
        <v>4639680</v>
      </c>
      <c r="P34" s="115">
        <f>SUM(P6:P33)</f>
        <v>2910712</v>
      </c>
      <c r="Q34" s="113" t="n"/>
      <c r="R34" s="115">
        <f>H34-O34</f>
        <v>1021110</v>
      </c>
      <c r="S34" s="116">
        <f>IF(H34=0,"",R34/H34)</f>
        <v>0.18038295008293895</v>
      </c>
      <c r="T34" s="113" t="n"/>
      <c r="U34" s="113" t="n"/>
      <c r="V34" s="113" t="n"/>
    </row>
  </sheetData>
  <mergeCells count="63">
    <mergeCell ref="A31:B31"/>
    <mergeCell ref="A24:B24"/>
    <mergeCell ref="A30:B30"/>
    <mergeCell ref="A15:B15"/>
    <mergeCell ref="C24:D24"/>
    <mergeCell ref="C30:D30"/>
    <mergeCell ref="C15:D15"/>
    <mergeCell ref="C33:D33"/>
    <mergeCell ref="A11:B11"/>
    <mergeCell ref="C5:D5"/>
    <mergeCell ref="C14:D14"/>
    <mergeCell ref="C26:D26"/>
    <mergeCell ref="C20:D20"/>
    <mergeCell ref="A16:B16"/>
    <mergeCell ref="C29:D29"/>
    <mergeCell ref="C10:D10"/>
    <mergeCell ref="A7:B7"/>
    <mergeCell ref="C16:D16"/>
    <mergeCell ref="A25:B25"/>
    <mergeCell ref="A34:D34"/>
    <mergeCell ref="C25:D25"/>
    <mergeCell ref="C22:D22"/>
    <mergeCell ref="C9:D9"/>
    <mergeCell ref="A18:B18"/>
    <mergeCell ref="A27:B27"/>
    <mergeCell ref="A4:I4"/>
    <mergeCell ref="A3:B3"/>
    <mergeCell ref="C31:D31"/>
    <mergeCell ref="A12:B12"/>
    <mergeCell ref="J1:V1"/>
    <mergeCell ref="C12:D12"/>
    <mergeCell ref="A21:B21"/>
    <mergeCell ref="A26:B26"/>
    <mergeCell ref="C21:D21"/>
    <mergeCell ref="C11:D11"/>
    <mergeCell ref="A33:B33"/>
    <mergeCell ref="C27:D27"/>
    <mergeCell ref="A5:B5"/>
    <mergeCell ref="A32:B32"/>
    <mergeCell ref="A14:B14"/>
    <mergeCell ref="A17:B17"/>
    <mergeCell ref="A23:B23"/>
    <mergeCell ref="A8:B8"/>
    <mergeCell ref="C17:D17"/>
    <mergeCell ref="C23:D23"/>
    <mergeCell ref="C8:D8"/>
    <mergeCell ref="A22:B22"/>
    <mergeCell ref="A20:B20"/>
    <mergeCell ref="C32:D32"/>
    <mergeCell ref="C7:D7"/>
    <mergeCell ref="A29:B29"/>
    <mergeCell ref="A19:B19"/>
    <mergeCell ref="A10:B10"/>
    <mergeCell ref="C19:D19"/>
    <mergeCell ref="A1:I1"/>
    <mergeCell ref="A28:B28"/>
    <mergeCell ref="A13:B13"/>
    <mergeCell ref="C28:D28"/>
    <mergeCell ref="C13:D13"/>
    <mergeCell ref="A6:I6"/>
    <mergeCell ref="C18:D18"/>
    <mergeCell ref="A9:B9"/>
    <mergeCell ref="C3:D3"/>
  </mergeCells>
  <printOptions horizontalCentered="1" gridLines="0"/>
  <pageMargins left="0.4724409448818897" right="0.4724409448818897" top="0.5905511811023622" bottom="0.5905511811023622" header="0.3149606299212598" footer="0.2362204724409449"/>
  <pageSetup orientation="portrait" paperSize="9" fitToHeight="0" fitToWidth="1"/>
  <headerFooter>
    <oddHeader/>
    <oddFooter>&amp;C&amp;"ＭＳ Ｐゴシック,標準"&amp;9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1:G29"/>
  <sheetViews>
    <sheetView showGridLines="0" tabSelected="0" workbookViewId="0">
      <selection activeCell="A1" sqref="A1"/>
    </sheetView>
  </sheetViews>
  <sheetFormatPr baseColWidth="8" defaultRowHeight="15"/>
  <cols>
    <col width="2" customWidth="1" min="1" max="1"/>
    <col width="25" customWidth="1" min="2" max="2"/>
    <col width="9" customWidth="1" min="3" max="3"/>
    <col width="9" customWidth="1" min="4" max="4"/>
    <col width="14" customWidth="1" min="5" max="5"/>
    <col width="16" customWidth="1" min="6" max="6"/>
    <col width="31" customWidth="1" min="7" max="7"/>
  </cols>
  <sheetData>
    <row r="1" ht="26" customHeight="1">
      <c r="B1" s="130" t="inlineStr">
        <is>
          <t>法 定 福 利 費 内 訳 明 細 書</t>
        </is>
      </c>
    </row>
    <row r="2" ht="16" customHeight="1">
      <c r="B2" s="131" t="str">
        <f>"（御見積書 No."&amp;'表紙(工事)'!K3&amp;" の添付資料）"</f>
        <v>（御見積書 No. の添付資料）</v>
      </c>
    </row>
    <row r="3" ht="8" customHeight="1"/>
    <row r="4" ht="20" customHeight="1">
      <c r="B4" s="132" t="inlineStr">
        <is>
          <t>見積年月日</t>
        </is>
      </c>
      <c r="C4" s="133">
        <f>'表紙(工事)'!J4</f>
        <v>46301</v>
      </c>
      <c r="D4" s="36" t="n"/>
      <c r="E4" s="36" t="n"/>
      <c r="F4" s="132" t="inlineStr">
        <is>
          <t>見積No.</t>
        </is>
      </c>
      <c r="G4" s="134" t="str">
        <f>IF('表紙(工事)'!K3="","",'表紙(工事)'!K3)</f>
        <v/>
      </c>
    </row>
    <row r="5" ht="20" customHeight="1">
      <c r="B5" s="132" t="inlineStr">
        <is>
          <t>発注者名</t>
        </is>
      </c>
      <c r="C5" s="35" t="inlineStr">
        <is>
          <t>株式会社共栄店舗　御中</t>
        </is>
      </c>
      <c r="D5" s="36" t="n"/>
      <c r="E5" s="36" t="n"/>
      <c r="F5" s="36" t="n"/>
      <c r="G5" s="36" t="n"/>
    </row>
    <row r="6" ht="20" customHeight="1">
      <c r="B6" s="132" t="inlineStr">
        <is>
          <t>工事名</t>
        </is>
      </c>
      <c r="C6" s="35" t="inlineStr">
        <is>
          <t>（仮称）サンフレッチェ広島　三矢寮新築工事　空調設備工事</t>
        </is>
      </c>
      <c r="D6" s="36" t="n"/>
      <c r="E6" s="36" t="n"/>
      <c r="F6" s="36" t="n"/>
      <c r="G6" s="36" t="n"/>
    </row>
    <row r="7" ht="20" customHeight="1">
      <c r="B7" s="132" t="inlineStr">
        <is>
          <t>施工場所</t>
        </is>
      </c>
      <c r="C7" s="35" t="inlineStr">
        <is>
          <t>広島県安芸高田市吉田町西浦字日南山835-27</t>
        </is>
      </c>
      <c r="D7" s="36" t="n"/>
      <c r="E7" s="36" t="n"/>
      <c r="F7" s="36" t="n"/>
      <c r="G7" s="36" t="n"/>
    </row>
    <row r="8" ht="20" customHeight="1">
      <c r="B8" s="132" t="inlineStr">
        <is>
          <t>会社名</t>
        </is>
      </c>
      <c r="C8" s="134" t="inlineStr">
        <is>
          <t>宮地機工株式会社</t>
        </is>
      </c>
      <c r="D8" s="36" t="n"/>
      <c r="E8" s="36" t="n"/>
      <c r="F8" s="132" t="inlineStr">
        <is>
          <t>所在地</t>
        </is>
      </c>
      <c r="G8" s="134" t="inlineStr">
        <is>
          <t>広島県尾道市東尾道9-9</t>
        </is>
      </c>
    </row>
    <row r="9" ht="10" customHeight="1"/>
    <row r="10" ht="20" customHeight="1">
      <c r="B10" s="135" t="inlineStr">
        <is>
          <t>【1】　労務費の内訳（法定福利費の算定基礎）</t>
        </is>
      </c>
    </row>
    <row r="11" ht="28" customHeight="1">
      <c r="B11" s="136" t="inlineStr">
        <is>
          <t>※ 本見積の労務費は、内訳書各項目の材工共単価のうち労務費相当額（自社施工分）の合計です。機器は元請様手配のため含みません。</t>
        </is>
      </c>
    </row>
    <row r="12" ht="20" customHeight="1">
      <c r="B12" s="82" t="inlineStr">
        <is>
          <t>項　　目</t>
        </is>
      </c>
      <c r="C12" s="83" t="inlineStr">
        <is>
          <t>労務費（円）</t>
        </is>
      </c>
      <c r="D12" s="30" t="n"/>
      <c r="E12" s="83" t="inlineStr">
        <is>
          <t>摘　　要</t>
        </is>
      </c>
      <c r="F12" s="30" t="n"/>
      <c r="G12" s="137" t="n"/>
    </row>
    <row r="13" ht="20" customHeight="1">
      <c r="B13" s="138" t="inlineStr">
        <is>
          <t>空調工事 労務費</t>
        </is>
      </c>
      <c r="C13" s="42">
        <f>'内訳書(1.空調工事)'!P58</f>
        <v>6712464</v>
      </c>
      <c r="D13" s="36" t="n"/>
      <c r="E13" s="139" t="inlineStr">
        <is>
          <t>内訳書 No.1 各項目の労務費相当額の合計</t>
        </is>
      </c>
      <c r="F13" s="36" t="n"/>
      <c r="G13" s="37" t="n"/>
    </row>
    <row r="14" ht="20" customHeight="1">
      <c r="B14" s="140" t="inlineStr">
        <is>
          <t>空調追加 労務費</t>
        </is>
      </c>
      <c r="C14" s="141">
        <f>'内訳書(2.空調追加)'!P34</f>
        <v>2910712</v>
      </c>
      <c r="D14" s="59" t="n"/>
      <c r="E14" s="142" t="inlineStr">
        <is>
          <t>内訳書 No.2 各項目の労務費相当額の合計</t>
        </is>
      </c>
      <c r="F14" s="59" t="n"/>
      <c r="G14" s="143" t="n"/>
    </row>
    <row r="15" ht="20" customHeight="1">
      <c r="B15" s="144" t="inlineStr">
        <is>
          <t>労 務 費 合 計</t>
        </is>
      </c>
      <c r="C15" s="69">
        <f>SUM(C13:C14)</f>
        <v>9623176</v>
      </c>
      <c r="D15" s="68" t="n"/>
      <c r="E15" s="145" t="inlineStr">
        <is>
          <t>← 法定福利費の算定基礎額</t>
        </is>
      </c>
      <c r="F15" s="68" t="n"/>
      <c r="G15" s="146" t="n"/>
    </row>
    <row r="16" ht="10" customHeight="1"/>
    <row r="17" ht="20" customHeight="1">
      <c r="B17" s="135" t="inlineStr">
        <is>
          <t>【2】　法定福利費の算定</t>
        </is>
      </c>
    </row>
    <row r="18" ht="18" customHeight="1">
      <c r="B18" s="147" t="inlineStr">
        <is>
          <t>計算式：　法定福利費 ＝ 労務費 × 事業主負担料率　（保険ごとに円未満切捨て）</t>
        </is>
      </c>
    </row>
    <row r="19" ht="22" customHeight="1">
      <c r="B19" s="82" t="inlineStr">
        <is>
          <t>保険の種類</t>
        </is>
      </c>
      <c r="C19" s="148" t="inlineStr">
        <is>
          <t>対象労務費（円）</t>
        </is>
      </c>
      <c r="D19" s="30" t="n"/>
      <c r="E19" s="148" t="inlineStr">
        <is>
          <t>事業主負担料率</t>
        </is>
      </c>
      <c r="F19" s="148" t="inlineStr">
        <is>
          <t>法定福利費（円）</t>
        </is>
      </c>
      <c r="G19" s="84" t="inlineStr">
        <is>
          <t>算定根拠</t>
        </is>
      </c>
    </row>
    <row r="20" ht="27.5" customHeight="1">
      <c r="B20" s="138" t="inlineStr">
        <is>
          <t>健康保険料</t>
        </is>
      </c>
      <c r="C20" s="42">
        <f>$C$15</f>
        <v>9623176</v>
      </c>
      <c r="D20" s="36" t="n"/>
      <c r="E20" s="149" t="n">
        <v>0.0489</v>
      </c>
      <c r="F20" s="42">
        <f>ROUNDDOWN(C20*E20,0)</f>
        <v>470573</v>
      </c>
      <c r="G20" s="150" t="inlineStr">
        <is>
          <t>健康保険料率 9.780%（協会けんぽ 広島県 令和8年度）×1/2（労使折半）</t>
        </is>
      </c>
    </row>
    <row r="21" ht="27.5" customHeight="1">
      <c r="B21" s="138" t="inlineStr">
        <is>
          <t>介護保険料</t>
        </is>
      </c>
      <c r="C21" s="42">
        <f>$C$15</f>
        <v>9623176</v>
      </c>
      <c r="D21" s="36" t="n"/>
      <c r="E21" s="149" t="n">
        <v>0.0081</v>
      </c>
      <c r="F21" s="42">
        <f>ROUNDDOWN(C21*E21,0)</f>
        <v>77947</v>
      </c>
      <c r="G21" s="150" t="inlineStr">
        <is>
          <t>介護保険料率 1.620%（全国一律 令和8年度）×1/2（労使折半）</t>
        </is>
      </c>
    </row>
    <row r="22" ht="27.5" customHeight="1">
      <c r="B22" s="138" t="inlineStr">
        <is>
          <t>子ども・子育て支援金</t>
        </is>
      </c>
      <c r="C22" s="42">
        <f>$C$15</f>
        <v>9623176</v>
      </c>
      <c r="D22" s="36" t="n"/>
      <c r="E22" s="149" t="n">
        <v>0.00115</v>
      </c>
      <c r="F22" s="42">
        <f>ROUNDDOWN(C22*E22,0)</f>
        <v>11066</v>
      </c>
      <c r="G22" s="150" t="inlineStr">
        <is>
          <t>支援金率 0.230%（令和8年4月分〜）×1/2（労使折半）</t>
        </is>
      </c>
    </row>
    <row r="23" ht="27.5" customHeight="1">
      <c r="B23" s="138" t="inlineStr">
        <is>
          <t>厚生年金保険料</t>
        </is>
      </c>
      <c r="C23" s="42">
        <f>$C$15</f>
        <v>9623176</v>
      </c>
      <c r="D23" s="36" t="n"/>
      <c r="E23" s="149" t="n">
        <v>0.0915</v>
      </c>
      <c r="F23" s="42">
        <f>ROUNDDOWN(C23*E23,0)</f>
        <v>880520</v>
      </c>
      <c r="G23" s="150" t="inlineStr">
        <is>
          <t>厚生年金保険料率 18.300%（平成29年9月以降固定）×1/2（労使折半）</t>
        </is>
      </c>
    </row>
    <row r="24" ht="27.5" customHeight="1">
      <c r="B24" s="138" t="inlineStr">
        <is>
          <t>雇用保険料</t>
        </is>
      </c>
      <c r="C24" s="42">
        <f>$C$15</f>
        <v>9623176</v>
      </c>
      <c r="D24" s="36" t="n"/>
      <c r="E24" s="149" t="n">
        <v>0.0105</v>
      </c>
      <c r="F24" s="42">
        <f>ROUNDDOWN(C24*E24,0)</f>
        <v>101043</v>
      </c>
      <c r="G24" s="150" t="inlineStr">
        <is>
          <t>雇用保険料率（建設の事業）事業主負担分 1.050%</t>
        </is>
      </c>
    </row>
    <row r="25" ht="22" customHeight="1">
      <c r="B25" s="140" t="inlineStr">
        <is>
          <t>子ども・子育て拠出金</t>
        </is>
      </c>
      <c r="C25" s="141">
        <f>$C$15</f>
        <v>9623176</v>
      </c>
      <c r="D25" s="59" t="n"/>
      <c r="E25" s="151" t="n">
        <v>0.0036</v>
      </c>
      <c r="F25" s="141">
        <f>ROUNDDOWN(C25*E25,0)</f>
        <v>34643</v>
      </c>
      <c r="G25" s="152" t="inlineStr">
        <is>
          <t>拠出金率 0.360%（事業主全額負担）</t>
        </is>
      </c>
    </row>
    <row r="26" ht="24" customHeight="1">
      <c r="B26" s="144" t="inlineStr">
        <is>
          <t>合　　計</t>
        </is>
      </c>
      <c r="C26" s="68" t="n"/>
      <c r="D26" s="68" t="n"/>
      <c r="E26" s="153">
        <f>SUM(E20:E25)</f>
        <v>0.16375</v>
      </c>
      <c r="F26" s="69">
        <f>SUM(F20:F25)</f>
        <v>1575792</v>
      </c>
      <c r="G26" s="146" t="n"/>
    </row>
    <row r="27" ht="10" customHeight="1"/>
    <row r="28" ht="28" customHeight="1">
      <c r="B28" s="136" t="inlineStr">
        <is>
          <t>※ 料率は見積作成時点（令和8年度）の公表料率によります。料率が改定された場合は改定後の料率により精算させていただきます。</t>
        </is>
      </c>
    </row>
    <row r="29" ht="15.5" customHeight="1">
      <c r="B29" s="136" t="inlineStr">
        <is>
          <t>※ 法定福利費は御見積書の③に計上しています。</t>
        </is>
      </c>
    </row>
  </sheetData>
  <mergeCells count="27">
    <mergeCell ref="B2:G2"/>
    <mergeCell ref="E13:G13"/>
    <mergeCell ref="C24:D24"/>
    <mergeCell ref="C6:G6"/>
    <mergeCell ref="C15:D15"/>
    <mergeCell ref="B1:G1"/>
    <mergeCell ref="C5:G5"/>
    <mergeCell ref="C14:D14"/>
    <mergeCell ref="E15:G15"/>
    <mergeCell ref="C26:D26"/>
    <mergeCell ref="B29:G29"/>
    <mergeCell ref="C20:D20"/>
    <mergeCell ref="B28:G28"/>
    <mergeCell ref="C25:D25"/>
    <mergeCell ref="C8:E8"/>
    <mergeCell ref="C22:D22"/>
    <mergeCell ref="C12:D12"/>
    <mergeCell ref="C21:D21"/>
    <mergeCell ref="E12:G12"/>
    <mergeCell ref="C23:D23"/>
    <mergeCell ref="C7:G7"/>
    <mergeCell ref="E14:G14"/>
    <mergeCell ref="C19:D19"/>
    <mergeCell ref="C4:E4"/>
    <mergeCell ref="C13:D13"/>
    <mergeCell ref="B18:G18"/>
    <mergeCell ref="B11:G11"/>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5.xml><?xml version="1.0" encoding="utf-8"?>
<worksheet xmlns="http://schemas.openxmlformats.org/spreadsheetml/2006/main">
  <sheetPr>
    <outlinePr summaryBelow="1" summaryRight="1"/>
    <pageSetUpPr fitToPage="1"/>
  </sheetPr>
  <dimension ref="A1:F47"/>
  <sheetViews>
    <sheetView showGridLines="0" tabSelected="0" workbookViewId="0">
      <selection activeCell="A1" sqref="A1"/>
    </sheetView>
  </sheetViews>
  <sheetFormatPr baseColWidth="8" defaultRowHeight="15"/>
  <cols>
    <col width="5" customWidth="1" min="1" max="1"/>
    <col width="10" customWidth="1" min="2" max="2"/>
    <col width="25" customWidth="1" min="3" max="3"/>
    <col width="20" customWidth="1" min="4" max="4"/>
    <col width="16" customWidth="1" min="5" max="5"/>
    <col width="19" customWidth="1" min="6" max="6"/>
  </cols>
  <sheetData>
    <row r="1" ht="24" customHeight="1">
      <c r="A1" s="154" t="inlineStr">
        <is>
          <t>御見積条件・注意事項</t>
        </is>
      </c>
    </row>
    <row r="2" ht="16" customHeight="1">
      <c r="A2" s="147" t="inlineStr">
        <is>
          <t>（仮称）サンフレッチェ広島　三矢寮新築工事　空調設備工事　空調工事　御見積書 添付</t>
        </is>
      </c>
    </row>
    <row r="3" ht="8" customHeight="1"/>
    <row r="4" ht="22" customHeight="1">
      <c r="A4" s="19" t="inlineStr">
        <is>
          <t>【1】御見積条件・注意事項</t>
        </is>
      </c>
    </row>
    <row r="5" ht="63" customHeight="1">
      <c r="A5" s="155" t="inlineStr">
        <is>
          <t>1.</t>
        </is>
      </c>
      <c r="B5" s="156" t="inlineStr">
        <is>
          <t>本見積は機械設備図 06（特記仕様書・空調機器表・換気機器表・空調平面図・換気平面図・厨房廻り詳細図）に基づき当社にて拾い出した数量により積算しております。配管・ダクトの平面延長は図面（A3 1:300、厨房詳細 1:70）から計測し、立上り・立下り・機器接続部および図面に経路の記載がない部分は想定数量として計上しています（別紙【2】参照）。</t>
        </is>
      </c>
    </row>
    <row r="6" ht="63" customHeight="1">
      <c r="A6" s="155" t="inlineStr">
        <is>
          <t>2.</t>
        </is>
      </c>
      <c r="B6" s="156" t="inlineStr">
        <is>
          <t>空調機器・換気機器は元請様手配のため本見積には含みません（室内機・室外機・集中リモコン・換気扇・中間ファン・全熱交換器・パイプファン・有圧扇・屋外機架台（2段架台含む）・ドレンアップ・SUS製フード・ウェザーカバー等、機器表記載の本体および付属品）。本見積は上記機器の搬入・据付・取付費のみを計上しています。</t>
        </is>
      </c>
    </row>
    <row r="7" ht="35.5" customHeight="1">
      <c r="A7" s="155" t="inlineStr">
        <is>
          <t>3.</t>
        </is>
      </c>
      <c r="B7" s="156" t="inlineStr">
        <is>
          <t>追加空調（追AC1〜5 同時トリプル）の分岐管は機器付属品として元請様支給を想定し、取付費のみ計上しています。支給外の場合は別途申し受けます。</t>
        </is>
      </c>
    </row>
    <row r="8" ht="49.2" customHeight="1">
      <c r="A8" s="155" t="inlineStr">
        <is>
          <t>4.</t>
        </is>
      </c>
      <c r="B8" s="156" t="inlineStr">
        <is>
          <t>機器の電源供給（電源・動力配線、盤、接地、インバータ盤）は電気工事とし含みません。機器付属の制御盤およびリモコン制御の配管・配線（工事区分表「機械」）は本見積に計上しています。</t>
        </is>
      </c>
    </row>
    <row r="9" ht="49.2" customHeight="1">
      <c r="A9" s="155" t="inlineStr">
        <is>
          <t>5.</t>
        </is>
      </c>
      <c r="B9" s="156" t="inlineStr">
        <is>
          <t>基礎（室外機基礎）、躯体・外壁の穴明け、スリーブ・型枠の穴埋め、天井点検口、天井・壁の開口補強および仕上げ補修は建築工事とし含みません（工事区分表による）。外壁貫通スリーブ材のみ計上しています。</t>
        </is>
      </c>
    </row>
    <row r="10" ht="35.5" customHeight="1">
      <c r="A10" s="155" t="inlineStr">
        <is>
          <t>6.</t>
        </is>
      </c>
      <c r="B10" s="156" t="inlineStr">
        <is>
          <t>冷媒管は被覆銅管（製造者標準品）とし、露出部は化粧ケース仕上げとして計上しています。特記仕様書は脱酸銅管／被覆銅管とも未選択のため、管種凡例（被覆銅管）によっています。</t>
        </is>
      </c>
    </row>
    <row r="11" ht="35.5" customHeight="1">
      <c r="A11" s="155" t="inlineStr">
        <is>
          <t>7.</t>
        </is>
      </c>
      <c r="B11" s="156" t="inlineStr">
        <is>
          <t>ドレン管の保温は特記仕様書の保温表に記載がないため、公共建築工事標準仕様書に準じ天井内 GW保温筒20 ALGC として計上しています。不要の場合は減額いたします。</t>
        </is>
      </c>
    </row>
    <row r="12" ht="21.8" customHeight="1">
      <c r="A12" s="155" t="inlineStr">
        <is>
          <t>8.</t>
        </is>
      </c>
      <c r="B12" s="156" t="inlineStr">
        <is>
          <t>冷媒配管の追加充填ガスは想定量で計上しています。系統・配管長の確定後に精算いたします。</t>
        </is>
      </c>
    </row>
    <row r="13" ht="35.5" customHeight="1">
      <c r="A13" s="155" t="inlineStr">
        <is>
          <t>9.</t>
        </is>
      </c>
      <c r="B13" s="156" t="inlineStr">
        <is>
          <t>施工図・竣工図（完成図）の作成、風量測定・試験成績書の作成、官庁検査対応は含みません。必要な場合は別途お見積りいたします。</t>
        </is>
      </c>
    </row>
    <row r="14" ht="35.5" customHeight="1">
      <c r="A14" s="155" t="inlineStr">
        <is>
          <t>10.</t>
        </is>
      </c>
      <c r="B14" s="156" t="inlineStr">
        <is>
          <t>仮設（足場・高所作業車・仮設電気・水道・資材置場等）および産業廃棄物の処分費は元請様にてご負担願います（当社発生材は指定集積場所への分別搬出まで）。</t>
        </is>
      </c>
    </row>
    <row r="15" ht="49.2" customHeight="1">
      <c r="A15" s="155" t="inlineStr">
        <is>
          <t>11.</t>
        </is>
      </c>
      <c r="B15" s="156" t="inlineStr">
        <is>
          <t>工期は全体工程表（2026.8.18 共栄店舗）に基づく通常の日中作業を前提としております。夜間・休日作業、工程の大幅な変更や他工事との輻輳による手待ち、工期延長に伴う経費増は別途協議とさせていただきます。</t>
        </is>
      </c>
    </row>
    <row r="16" ht="35.5" customHeight="1">
      <c r="A16" s="155" t="inlineStr">
        <is>
          <t>12.</t>
        </is>
      </c>
      <c r="B16" s="156" t="inlineStr">
        <is>
          <t>本見積書に記載なき事項については別途とさせていただきます。工事に係る電気・水道は無償支給願います。</t>
        </is>
      </c>
    </row>
    <row r="17" ht="35.5" customHeight="1">
      <c r="A17" s="155" t="inlineStr">
        <is>
          <t>13.</t>
        </is>
      </c>
      <c r="B17" s="156" t="inlineStr">
        <is>
          <t>本見積金額には消費税は含まれておりません。労務費に係る法定福利費（事業主負担分）は別紙「法定福利費内訳明細書」のとおり計上しています。</t>
        </is>
      </c>
    </row>
    <row r="18" ht="10" customHeight="1"/>
    <row r="19" ht="22" customHeight="1">
      <c r="A19" s="19" t="inlineStr">
        <is>
          <t>【2】想定数量（推測）項目の前提</t>
        </is>
      </c>
    </row>
    <row r="20" ht="29" customHeight="1">
      <c r="A20" s="136" t="inlineStr">
        <is>
          <t>図面に数量・経路の記載がなく当社にて想定した項目です。「図面実測＋想定」は平面延長を図面計測し、立上り等を想定加算したものです。実数量確定後に精算させていただきます。</t>
        </is>
      </c>
    </row>
    <row r="21" ht="20" customHeight="1">
      <c r="A21" s="157" t="inlineStr">
        <is>
          <t>No.</t>
        </is>
      </c>
      <c r="B21" s="148" t="inlineStr">
        <is>
          <t>内訳書</t>
        </is>
      </c>
      <c r="C21" s="148" t="inlineStr">
        <is>
          <t>項　　目</t>
        </is>
      </c>
      <c r="D21" s="148" t="inlineStr">
        <is>
          <t>前提・想定内容</t>
        </is>
      </c>
      <c r="E21" s="30" t="n"/>
      <c r="F21" s="158" t="inlineStr">
        <is>
          <t>数量（区分）</t>
        </is>
      </c>
    </row>
    <row r="22" ht="41.5" customHeight="1">
      <c r="A22" s="159" t="n">
        <v>1</v>
      </c>
      <c r="B22" s="160" t="inlineStr">
        <is>
          <t>No.1</t>
        </is>
      </c>
      <c r="C22" s="161" t="inlineStr">
        <is>
          <t>冷媒配管 ① 被覆銅管 9.52/6.35 (RAC-1,2 1F 及び RAC-3 2F)</t>
        </is>
      </c>
      <c r="D22" s="161" t="inlineStr">
        <is>
          <t>平面実測34.3m＋推測(RAC-3 66台×4m、来客室RAC-2 5台×4m、RAC-1補正8m、立上り10台×3m)</t>
        </is>
      </c>
      <c r="E22" s="36" t="n"/>
      <c r="F22" s="162" t="inlineStr">
        <is>
          <t>360 m（実測＋想定）</t>
        </is>
      </c>
    </row>
    <row r="23" ht="41.5" customHeight="1">
      <c r="A23" s="159" t="n">
        <v>2</v>
      </c>
      <c r="B23" s="160" t="inlineStr">
        <is>
          <t>No.1</t>
        </is>
      </c>
      <c r="C23" s="161" t="inlineStr">
        <is>
          <t>冷媒配管 ② 被覆銅管 12.7/6.35 (AC-5,7,8 AC-3枝 RAC-4)</t>
        </is>
      </c>
      <c r="D23" s="161" t="inlineStr">
        <is>
          <t>平面実測56m＋推測(立上り4系統×4m、RAC-4 5m)</t>
        </is>
      </c>
      <c r="E23" s="36" t="n"/>
      <c r="F23" s="162" t="inlineStr">
        <is>
          <t>77 m（実測＋想定）</t>
        </is>
      </c>
    </row>
    <row r="24" ht="41.5" customHeight="1">
      <c r="A24" s="159" t="n">
        <v>3</v>
      </c>
      <c r="B24" s="160" t="inlineStr">
        <is>
          <t>No.1</t>
        </is>
      </c>
      <c r="C24" s="161" t="inlineStr">
        <is>
          <t>冷媒配管 ③ 被覆銅管 15.88/9.52 (AC-1/2枝 AC-3主 AC-6,9,10)</t>
        </is>
      </c>
      <c r="D24" s="161" t="inlineStr">
        <is>
          <t>平面実測72.2m＋推測(立上り3系統×4m、AC-10 2F分3.5m＋立管8m)</t>
        </is>
      </c>
      <c r="E24" s="36" t="n"/>
      <c r="F24" s="162" t="inlineStr">
        <is>
          <t>96 m（実測＋想定）</t>
        </is>
      </c>
    </row>
    <row r="25" ht="29" customHeight="1">
      <c r="A25" s="159" t="n">
        <v>4</v>
      </c>
      <c r="B25" s="160" t="inlineStr">
        <is>
          <t>No.1</t>
        </is>
      </c>
      <c r="C25" s="161" t="inlineStr">
        <is>
          <t>冷媒配管 ⑥ 被覆銅管 25.4/9.52 (AC-2主管)</t>
        </is>
      </c>
      <c r="D25" s="161" t="inlineStr">
        <is>
          <t>平面実測5m＋立上り4m</t>
        </is>
      </c>
      <c r="E25" s="36" t="n"/>
      <c r="F25" s="162" t="inlineStr">
        <is>
          <t>9 m（実測＋想定）</t>
        </is>
      </c>
    </row>
    <row r="26" ht="41.5" customHeight="1">
      <c r="A26" s="159" t="n">
        <v>5</v>
      </c>
      <c r="B26" s="160" t="inlineStr">
        <is>
          <t>No.1</t>
        </is>
      </c>
      <c r="C26" s="161" t="inlineStr">
        <is>
          <t>冷媒配管 ⑦ 被覆銅管 25.4/12.7 (AC-1主管 4系統)</t>
        </is>
      </c>
      <c r="D26" s="161" t="inlineStr">
        <is>
          <t>平面実測41m＋立上り4系統×4m</t>
        </is>
      </c>
      <c r="E26" s="36" t="n"/>
      <c r="F26" s="162" t="inlineStr">
        <is>
          <t>57 m（実測＋想定）</t>
        </is>
      </c>
    </row>
    <row r="27" ht="54" customHeight="1">
      <c r="A27" s="159" t="n">
        <v>6</v>
      </c>
      <c r="B27" s="160" t="inlineStr">
        <is>
          <t>No.1</t>
        </is>
      </c>
      <c r="C27" s="161" t="inlineStr">
        <is>
          <t>冷媒配管 化粧ケース 屋外・屋内露出部 (管種凡例: 露出管は化粧ケース仕上)</t>
        </is>
      </c>
      <c r="D27" s="161" t="inlineStr">
        <is>
          <t>PAC13+RAC1F10箇所×2.5m、RAC-3/4 67台×1.0m</t>
        </is>
      </c>
      <c r="E27" s="36" t="n"/>
      <c r="F27" s="162" t="inlineStr">
        <is>
          <t>125 m（想定）</t>
        </is>
      </c>
    </row>
    <row r="28" ht="41.5" customHeight="1">
      <c r="A28" s="159" t="n">
        <v>7</v>
      </c>
      <c r="B28" s="160" t="inlineStr">
        <is>
          <t>No.1</t>
        </is>
      </c>
      <c r="C28" s="161" t="inlineStr">
        <is>
          <t>外壁貫通スリーブ材 VP100 冷媒・ドレン用 (穴明けは建築工事)</t>
        </is>
      </c>
      <c r="D28" s="161" t="inlineStr">
        <is>
          <t>RAC77＋PAC13</t>
        </is>
      </c>
      <c r="E28" s="36" t="n"/>
      <c r="F28" s="162" t="inlineStr">
        <is>
          <t>90 箇所（想定）</t>
        </is>
      </c>
    </row>
    <row r="29" ht="29" customHeight="1">
      <c r="A29" s="159" t="n">
        <v>8</v>
      </c>
      <c r="B29" s="160" t="inlineStr">
        <is>
          <t>No.1</t>
        </is>
      </c>
      <c r="C29" s="161" t="inlineStr">
        <is>
          <t>冷媒追加充填 (冷媒代) R32/R410A</t>
        </is>
      </c>
      <c r="D29" s="161" t="inlineStr">
        <is>
          <t>配管延長より約20g/m換算</t>
        </is>
      </c>
      <c r="E29" s="36" t="n"/>
      <c r="F29" s="162" t="inlineStr">
        <is>
          <t>8 kg（想定）</t>
        </is>
      </c>
    </row>
    <row r="30" ht="29" customHeight="1">
      <c r="A30" s="159" t="n">
        <v>9</v>
      </c>
      <c r="B30" s="160" t="inlineStr">
        <is>
          <t>No.1</t>
        </is>
      </c>
      <c r="C30" s="161" t="inlineStr">
        <is>
          <t>ドレン管 VP20 硬質塩化ビニル管 継手・支持共</t>
        </is>
      </c>
      <c r="D30" s="161" t="inlineStr">
        <is>
          <t>平面実測7m＋推測(RAC-1/2 ドレンアップ吐出→屋外 10台×3m)</t>
        </is>
      </c>
      <c r="E30" s="36" t="n"/>
      <c r="F30" s="162" t="inlineStr">
        <is>
          <t>37 m（実測＋想定）</t>
        </is>
      </c>
    </row>
    <row r="31" ht="29" customHeight="1">
      <c r="A31" s="159" t="n">
        <v>10</v>
      </c>
      <c r="B31" s="160" t="inlineStr">
        <is>
          <t>No.1</t>
        </is>
      </c>
      <c r="C31" s="161" t="inlineStr">
        <is>
          <t>ドレン管 VP25 硬質塩化ビニル管 継手・支持共</t>
        </is>
      </c>
      <c r="D31" s="161" t="inlineStr">
        <is>
          <t>平面実測1F 87.3m・2F 6.1m(未判読分比例配分含む)</t>
        </is>
      </c>
      <c r="E31" s="36" t="n"/>
      <c r="F31" s="162" t="inlineStr">
        <is>
          <t>94 m（実測＋想定）</t>
        </is>
      </c>
    </row>
    <row r="32" ht="29" customHeight="1">
      <c r="A32" s="159" t="n">
        <v>11</v>
      </c>
      <c r="B32" s="160" t="inlineStr">
        <is>
          <t>No.1</t>
        </is>
      </c>
      <c r="C32" s="161" t="inlineStr">
        <is>
          <t>ドレン管 VP40 硬質塩化ビニル管 継手・支持共</t>
        </is>
      </c>
      <c r="D32" s="161" t="inlineStr">
        <is>
          <t>平面実測50.2m＋推測(立下り・屋外放流部12箇所×1.5m)</t>
        </is>
      </c>
      <c r="E32" s="36" t="n"/>
      <c r="F32" s="162" t="inlineStr">
        <is>
          <t>68 m（実測＋想定）</t>
        </is>
      </c>
    </row>
    <row r="33" ht="66.5" customHeight="1">
      <c r="A33" s="159" t="n">
        <v>12</v>
      </c>
      <c r="B33" s="160" t="inlineStr">
        <is>
          <t>No.1</t>
        </is>
      </c>
      <c r="C33" s="161" t="inlineStr">
        <is>
          <t>ドレン管 保温 GW保温筒20 ALGC 天井内 (特記仕様書 保温表は空欄・標準仕様に準じ計上 要確認)</t>
        </is>
      </c>
      <c r="D33" s="161" t="inlineStr">
        <is>
          <t>VP25・VP40 天井内相当分</t>
        </is>
      </c>
      <c r="E33" s="36" t="n"/>
      <c r="F33" s="162" t="inlineStr">
        <is>
          <t>143 m（想定）</t>
        </is>
      </c>
    </row>
    <row r="34" ht="41.5" customHeight="1">
      <c r="A34" s="159" t="n">
        <v>13</v>
      </c>
      <c r="B34" s="160" t="inlineStr">
        <is>
          <t>No.1</t>
        </is>
      </c>
      <c r="C34" s="161" t="inlineStr">
        <is>
          <t>ドレン管 区画貫通処理 耐火二層管／フィブロック</t>
        </is>
      </c>
      <c r="D34" s="161" t="inlineStr">
        <is>
          <t>冷媒管と同位置</t>
        </is>
      </c>
      <c r="E34" s="36" t="n"/>
      <c r="F34" s="162" t="inlineStr">
        <is>
          <t>2 箇所（想定）</t>
        </is>
      </c>
    </row>
    <row r="35" ht="54" customHeight="1">
      <c r="A35" s="159" t="n">
        <v>14</v>
      </c>
      <c r="B35" s="160" t="inlineStr">
        <is>
          <t>No.1</t>
        </is>
      </c>
      <c r="C35" s="161" t="inlineStr">
        <is>
          <t>AC-8 ビルトインダクト用 ダクト・制気口 吹出口・吸込口・チャンバー・フレキ 一式</t>
        </is>
      </c>
      <c r="D35" s="161" t="inlineStr">
        <is>
          <t>図面に系統詳細なし</t>
        </is>
      </c>
      <c r="E35" s="36" t="n"/>
      <c r="F35" s="162" t="inlineStr">
        <is>
          <t>1 式（想定）</t>
        </is>
      </c>
    </row>
    <row r="36" ht="54" customHeight="1">
      <c r="A36" s="159" t="n">
        <v>15</v>
      </c>
      <c r="B36" s="160" t="inlineStr">
        <is>
          <t>No.2</t>
        </is>
      </c>
      <c r="C36" s="161" t="inlineStr">
        <is>
          <t>分岐管(トリプル用) 取付 各系統2組 ※機器付属として元請支給想定・未支給なら別途</t>
        </is>
      </c>
      <c r="D36" s="161" t="inlineStr">
        <is>
          <t>取付費のみ</t>
        </is>
      </c>
      <c r="E36" s="36" t="n"/>
      <c r="F36" s="162" t="inlineStr">
        <is>
          <t>10 組（想定）</t>
        </is>
      </c>
    </row>
    <row r="37" ht="29" customHeight="1">
      <c r="A37" s="159" t="n">
        <v>16</v>
      </c>
      <c r="B37" s="160" t="inlineStr">
        <is>
          <t>No.2</t>
        </is>
      </c>
      <c r="C37" s="161" t="inlineStr">
        <is>
          <t>冷媒配管 ① 被覆銅管 9.52/6.35 追AC1 枝管</t>
        </is>
      </c>
      <c r="D37" s="161" t="inlineStr">
        <is>
          <t>配管経路図示なし 室内外機位置より推定</t>
        </is>
      </c>
      <c r="E37" s="36" t="n"/>
      <c r="F37" s="162" t="inlineStr">
        <is>
          <t>35 m（想定）</t>
        </is>
      </c>
    </row>
    <row r="38" ht="41.5" customHeight="1">
      <c r="A38" s="159" t="n">
        <v>17</v>
      </c>
      <c r="B38" s="160" t="inlineStr">
        <is>
          <t>No.2</t>
        </is>
      </c>
      <c r="C38" s="161" t="inlineStr">
        <is>
          <t>冷媒配管 ③ 被覆銅管 15.88/9.52 追AC1主管16m・追AC2～5 枝管168m</t>
        </is>
      </c>
      <c r="D38" s="161" t="inlineStr">
        <is>
          <t>同上</t>
        </is>
      </c>
      <c r="E38" s="36" t="n"/>
      <c r="F38" s="162" t="inlineStr">
        <is>
          <t>184 m（想定）</t>
        </is>
      </c>
    </row>
    <row r="39" ht="41.5" customHeight="1">
      <c r="A39" s="159" t="n">
        <v>18</v>
      </c>
      <c r="B39" s="160" t="inlineStr">
        <is>
          <t>No.2</t>
        </is>
      </c>
      <c r="C39" s="161" t="inlineStr">
        <is>
          <t>冷媒配管 ⑥ 被覆銅管 25.4/9.52 追AC2～5 主管 (立管2F→1F含む)</t>
        </is>
      </c>
      <c r="D39" s="161" t="inlineStr">
        <is>
          <t>追AC2 12・AC3 14・AC4 31・AC5 16</t>
        </is>
      </c>
      <c r="E39" s="36" t="n"/>
      <c r="F39" s="162" t="inlineStr">
        <is>
          <t>73 m（想定）</t>
        </is>
      </c>
    </row>
    <row r="40" ht="29" customHeight="1">
      <c r="A40" s="159" t="n">
        <v>19</v>
      </c>
      <c r="B40" s="160" t="inlineStr">
        <is>
          <t>No.2</t>
        </is>
      </c>
      <c r="C40" s="161" t="inlineStr">
        <is>
          <t>冷媒配管 化粧ケース 屋外露出部</t>
        </is>
      </c>
      <c r="D40" s="161" t="inlineStr">
        <is>
          <t>5系統×2.5m</t>
        </is>
      </c>
      <c r="E40" s="36" t="n"/>
      <c r="F40" s="162" t="inlineStr">
        <is>
          <t>13 m（想定）</t>
        </is>
      </c>
    </row>
    <row r="41" ht="41.5" customHeight="1">
      <c r="A41" s="163" t="n">
        <v>20</v>
      </c>
      <c r="B41" s="164" t="inlineStr">
        <is>
          <t>No.2</t>
        </is>
      </c>
      <c r="C41" s="165" t="inlineStr">
        <is>
          <t>区画貫通処理 冷媒管・ドレン管 フィブロック 廊下区画壁</t>
        </is>
      </c>
      <c r="D41" s="165" t="inlineStr">
        <is>
          <t>各系統1箇所と仮定</t>
        </is>
      </c>
      <c r="E41" s="166" t="n"/>
      <c r="F41" s="167" t="inlineStr">
        <is>
          <t>5 箇所（想定）</t>
        </is>
      </c>
    </row>
    <row r="42" ht="10" customHeight="1"/>
    <row r="43" ht="22" customHeight="1">
      <c r="A43" s="19" t="inlineStr">
        <is>
          <t>【3】図面読み取りに関する確認事項</t>
        </is>
      </c>
    </row>
    <row r="44" ht="35.5" customHeight="1">
      <c r="A44" s="155" t="inlineStr">
        <is>
          <t>1.</t>
        </is>
      </c>
      <c r="B44" s="156" t="inlineStr">
        <is>
          <t>宛名は元請様を株式会社共栄店舗（詳細工程表作成者）と想定して記載しています。ご指定があれば修正します。</t>
        </is>
      </c>
    </row>
    <row r="45" ht="35.5" customHeight="1">
      <c r="A45" s="155" t="inlineStr">
        <is>
          <t>2.</t>
        </is>
      </c>
      <c r="B45" s="156" t="inlineStr">
        <is>
          <t>2F 寮室のルームエアコン（RAC-3 66台）は図面に配管線の記載がなく、壁掛機→バルコニー屋外機 4m/台 の想定です。</t>
        </is>
      </c>
    </row>
    <row r="46" ht="35.5" customHeight="1">
      <c r="A46" s="155" t="inlineStr">
        <is>
          <t>3.</t>
        </is>
      </c>
      <c r="B46" s="156" t="inlineStr">
        <is>
          <t>追AC1〜5 は図面08に配管経路の記載がなく、室内機・室外機の位置から経路長を推定しています（別紙【2】）。</t>
        </is>
      </c>
    </row>
    <row r="47" ht="35.5" customHeight="1">
      <c r="A47" s="155" t="inlineStr">
        <is>
          <t>4.</t>
        </is>
      </c>
      <c r="B47" s="156" t="inlineStr">
        <is>
          <t>区画貫通処理は空調平面図1Fの区画貫通部記号（●）2箇所と、追加空調の廊下区画壁 各系統1箇所の想定です。</t>
        </is>
      </c>
    </row>
  </sheetData>
  <mergeCells count="39">
    <mergeCell ref="B7:F7"/>
    <mergeCell ref="B47:F47"/>
    <mergeCell ref="B16:F16"/>
    <mergeCell ref="D34:E34"/>
    <mergeCell ref="B46:F46"/>
    <mergeCell ref="D22:E22"/>
    <mergeCell ref="D40:E40"/>
    <mergeCell ref="D36:E36"/>
    <mergeCell ref="D31:E31"/>
    <mergeCell ref="D21:E21"/>
    <mergeCell ref="B12:F12"/>
    <mergeCell ref="B11:F11"/>
    <mergeCell ref="D27:E27"/>
    <mergeCell ref="D32:E32"/>
    <mergeCell ref="B14:F14"/>
    <mergeCell ref="B8:F8"/>
    <mergeCell ref="A20:F20"/>
    <mergeCell ref="D41:E41"/>
    <mergeCell ref="B17:F17"/>
    <mergeCell ref="B13:F13"/>
    <mergeCell ref="B44:F44"/>
    <mergeCell ref="B10:F10"/>
    <mergeCell ref="D37:E37"/>
    <mergeCell ref="D28:E28"/>
    <mergeCell ref="B9:F9"/>
    <mergeCell ref="D39:E39"/>
    <mergeCell ref="D25:E25"/>
    <mergeCell ref="B6:F6"/>
    <mergeCell ref="D24:E24"/>
    <mergeCell ref="D30:E30"/>
    <mergeCell ref="B15:F15"/>
    <mergeCell ref="D33:E33"/>
    <mergeCell ref="D29:E29"/>
    <mergeCell ref="B5:F5"/>
    <mergeCell ref="D23:E23"/>
    <mergeCell ref="D38:E38"/>
    <mergeCell ref="B45:F45"/>
    <mergeCell ref="D26:E26"/>
    <mergeCell ref="D35:E35"/>
  </mergeCells>
  <printOptions horizontalCentered="1" gridLines="0"/>
  <pageMargins left="0.4724409448818897" right="0.4724409448818897" top="0.5905511811023622" bottom="0.5905511811023622" header="0.3149606299212598" footer="0.2362204724409449"/>
  <pageSetup orientation="portrait" paperSize="9" fitToHeight="0" fitToWidth="1"/>
  <rowBreaks count="1" manualBreakCount="1">
    <brk id="18" min="0" max="16383" man="1"/>
  </rowBreaks>
</worksheet>
</file>

<file path=xl/worksheets/sheet6.xml><?xml version="1.0" encoding="utf-8"?>
<worksheet xmlns="http://schemas.openxmlformats.org/spreadsheetml/2006/main">
  <sheetPr>
    <outlinePr summaryBelow="1" summaryRight="1"/>
    <pageSetUpPr fitToPage="1"/>
  </sheetPr>
  <dimension ref="A1:F45"/>
  <sheetViews>
    <sheetView showGridLines="0" tabSelected="0" workbookViewId="0">
      <selection activeCell="A1" sqref="A1"/>
    </sheetView>
  </sheetViews>
  <sheetFormatPr baseColWidth="8" defaultRowHeight="15"/>
  <cols>
    <col width="36" customWidth="1" min="1" max="1"/>
    <col width="18" customWidth="1" min="2" max="2"/>
    <col width="12" customWidth="1" min="3" max="3"/>
    <col width="12" customWidth="1" min="4" max="4"/>
    <col width="12" customWidth="1" min="5" max="5"/>
    <col width="12" customWidth="1" min="6" max="6"/>
    <col width="12" customWidth="1" min="7" max="7"/>
    <col width="60" customWidth="1" min="8" max="8"/>
  </cols>
  <sheetData>
    <row r="1">
      <c r="A1" s="168" t="inlineStr">
        <is>
          <t>数量拾い根拠（内部用）　※計測方法: PDF図面(A3 1:300、厨房詳細 1:70)のベクトル線分を色・線幅で分離し延長を集計。「実測」=図面線分の平面延長、「推測」=図面に無い部分の推定</t>
        </is>
      </c>
    </row>
    <row r="3">
      <c r="A3" s="169" t="inlineStr">
        <is>
          <t>1. 冷媒配管（ベース06）系統別</t>
        </is>
      </c>
    </row>
    <row r="4">
      <c r="A4" s="170" t="inlineStr">
        <is>
          <t>系統</t>
        </is>
      </c>
      <c r="B4" s="170" t="inlineStr">
        <is>
          <t>口径記号</t>
        </is>
      </c>
      <c r="C4" s="170" t="inlineStr">
        <is>
          <t>平面実測(m)</t>
        </is>
      </c>
      <c r="D4" s="170" t="inlineStr">
        <is>
          <t>推測加算(m)</t>
        </is>
      </c>
      <c r="E4" s="170" t="inlineStr">
        <is>
          <t>合計(m)</t>
        </is>
      </c>
      <c r="F4" s="170" t="inlineStr">
        <is>
          <t>推測内容</t>
        </is>
      </c>
    </row>
    <row r="5">
      <c r="A5" s="171" t="inlineStr">
        <is>
          <t>RAC-2×3 和室・洋室・DK</t>
        </is>
      </c>
      <c r="B5" s="171" t="inlineStr">
        <is>
          <t>①</t>
        </is>
      </c>
      <c r="C5" s="172" t="n">
        <v>28.1</v>
      </c>
      <c r="D5" s="172" t="n">
        <v>9</v>
      </c>
      <c r="E5" s="172" t="n">
        <v>37.1</v>
      </c>
      <c r="F5" s="171" t="inlineStr">
        <is>
          <t>屋外機→屋内機 立上り 3台×3m</t>
        </is>
      </c>
    </row>
    <row r="6">
      <c r="A6" s="171" t="inlineStr">
        <is>
          <t>AC-7 面談室</t>
        </is>
      </c>
      <c r="B6" s="171" t="inlineStr">
        <is>
          <t>②</t>
        </is>
      </c>
      <c r="C6" s="172" t="n">
        <v>13</v>
      </c>
      <c r="D6" s="172" t="n">
        <v>4</v>
      </c>
      <c r="E6" s="172" t="n">
        <v>17</v>
      </c>
      <c r="F6" s="171" t="inlineStr">
        <is>
          <t>北西ゾーン実測60.3mを3系統に配分。立上り4m</t>
        </is>
      </c>
    </row>
    <row r="7">
      <c r="A7" s="171" t="inlineStr">
        <is>
          <t>AC-5 管理人室</t>
        </is>
      </c>
      <c r="B7" s="171" t="inlineStr">
        <is>
          <t>②</t>
        </is>
      </c>
      <c r="C7" s="172" t="n">
        <v>18</v>
      </c>
      <c r="D7" s="172" t="n">
        <v>4</v>
      </c>
      <c r="E7" s="172" t="n">
        <v>22</v>
      </c>
      <c r="F7" s="171" t="inlineStr">
        <is>
          <t>同上</t>
        </is>
      </c>
    </row>
    <row r="8">
      <c r="A8" s="171" t="inlineStr">
        <is>
          <t>AC-1 ホール(ツイン)</t>
        </is>
      </c>
      <c r="B8" s="171" t="inlineStr">
        <is>
          <t>⑦主/③枝</t>
        </is>
      </c>
      <c r="C8" s="172" t="n">
        <v>29</v>
      </c>
      <c r="D8" s="172" t="n">
        <v>4</v>
      </c>
      <c r="E8" s="172" t="n">
        <v>33</v>
      </c>
      <c r="F8" s="171" t="inlineStr">
        <is>
          <t>主管17m・枝管12m。立上り4m(⑦)</t>
        </is>
      </c>
    </row>
    <row r="9">
      <c r="A9" s="171" t="inlineStr">
        <is>
          <t>AC-6/AC-8/AC-9/RAC-1×2 厨房ブロック</t>
        </is>
      </c>
      <c r="B9" s="171" t="inlineStr">
        <is>
          <t>③/②/③/①</t>
        </is>
      </c>
      <c r="C9" s="172" t="n">
        <v>22.2</v>
      </c>
      <c r="D9" s="172" t="n">
        <v>20</v>
      </c>
      <c r="E9" s="172" t="n">
        <v>42.2</v>
      </c>
      <c r="F9" s="171" t="inlineStr">
        <is>
          <t>重なり配管の未計測補正8m(RAC-1休憩室)・立上り4系統×3〜4m</t>
        </is>
      </c>
    </row>
    <row r="10">
      <c r="A10" s="171" t="inlineStr">
        <is>
          <t>AC-1 食堂・ミーティング(ツイン×2)</t>
        </is>
      </c>
      <c r="B10" s="171" t="inlineStr">
        <is>
          <t>⑦主/③枝</t>
        </is>
      </c>
      <c r="C10" s="172" t="n">
        <v>30.7</v>
      </c>
      <c r="D10" s="172" t="n">
        <v>8</v>
      </c>
      <c r="E10" s="172" t="n">
        <v>38.7</v>
      </c>
      <c r="F10" s="171" t="inlineStr">
        <is>
          <t>各系統 主管8m・枝管7.5m。立上り各4m</t>
        </is>
      </c>
    </row>
    <row r="11">
      <c r="A11" s="171" t="inlineStr">
        <is>
          <t>AC-10 多目的スペース(2F)</t>
        </is>
      </c>
      <c r="B11" s="171" t="inlineStr">
        <is>
          <t>③</t>
        </is>
      </c>
      <c r="C11" s="172" t="n">
        <v>10.2</v>
      </c>
      <c r="D11" s="172" t="n">
        <v>11.5</v>
      </c>
      <c r="E11" s="172" t="n">
        <v>21.7</v>
      </c>
      <c r="F11" s="171" t="inlineStr">
        <is>
          <t>2F平面3.5m・立管(1F地上→2F天井)8m</t>
        </is>
      </c>
    </row>
    <row r="12">
      <c r="A12" s="171" t="inlineStr">
        <is>
          <t>AC-2 コーチルーム(ツイン)</t>
        </is>
      </c>
      <c r="B12" s="171" t="inlineStr">
        <is>
          <t>⑥主/③枝</t>
        </is>
      </c>
      <c r="C12" s="172" t="n">
        <v>11.1</v>
      </c>
      <c r="D12" s="172" t="n">
        <v>4</v>
      </c>
      <c r="E12" s="172" t="n">
        <v>15.1</v>
      </c>
      <c r="F12" s="171" t="inlineStr">
        <is>
          <t>主管5m・枝管6m。立上り4m</t>
        </is>
      </c>
    </row>
    <row r="13">
      <c r="A13" s="171" t="inlineStr">
        <is>
          <t>AC-1 トレーニング(ツイン)＋AC-5 ケア室</t>
        </is>
      </c>
      <c r="B13" s="171" t="inlineStr">
        <is>
          <t>⑦/③ ・ ②</t>
        </is>
      </c>
      <c r="C13" s="172" t="n">
        <v>32</v>
      </c>
      <c r="D13" s="172" t="n">
        <v>8</v>
      </c>
      <c r="E13" s="172" t="n">
        <v>40</v>
      </c>
      <c r="F13" s="171" t="inlineStr">
        <is>
          <t>AC-1 主8m枝12m・AC-5 12m。立上り各4m</t>
        </is>
      </c>
    </row>
    <row r="14">
      <c r="A14" s="171" t="inlineStr">
        <is>
          <t>AC-3 脱衣室(ツイン)</t>
        </is>
      </c>
      <c r="B14" s="171" t="inlineStr">
        <is>
          <t>③主/②枝</t>
        </is>
      </c>
      <c r="C14" s="172" t="n">
        <v>13.9</v>
      </c>
      <c r="D14" s="172" t="n">
        <v>4</v>
      </c>
      <c r="E14" s="172" t="n">
        <v>17.9</v>
      </c>
      <c r="F14" s="171" t="inlineStr">
        <is>
          <t>主管7m・枝管7m。立上り4m</t>
        </is>
      </c>
    </row>
    <row r="15">
      <c r="A15" s="171" t="inlineStr">
        <is>
          <t>RAC-2×5 来客室</t>
        </is>
      </c>
      <c r="B15" s="171" t="inlineStr">
        <is>
          <t>①</t>
        </is>
      </c>
      <c r="C15" s="172" t="n">
        <v>2.7</v>
      </c>
      <c r="D15" s="172" t="n">
        <v>18</v>
      </c>
      <c r="E15" s="172" t="n">
        <v>20.7</v>
      </c>
      <c r="F15" s="171" t="inlineStr">
        <is>
          <t>屋外機が各室直近。1台4m×5台</t>
        </is>
      </c>
    </row>
    <row r="16">
      <c r="A16" s="171" t="inlineStr">
        <is>
          <t>RAC-3×66 2F寮室等</t>
        </is>
      </c>
      <c r="B16" s="171" t="inlineStr">
        <is>
          <t>①</t>
        </is>
      </c>
      <c r="C16" s="172" t="n">
        <v>0</v>
      </c>
      <c r="D16" s="172" t="n">
        <v>264</v>
      </c>
      <c r="E16" s="172" t="n">
        <v>264</v>
      </c>
      <c r="F16" s="171" t="inlineStr">
        <is>
          <t>図面に配管線なし。壁掛機→バルコニー屋外機 4m/台</t>
        </is>
      </c>
    </row>
    <row r="17">
      <c r="A17" s="171" t="inlineStr">
        <is>
          <t>RAC-4 寮務スタッフ室</t>
        </is>
      </c>
      <c r="B17" s="171" t="inlineStr">
        <is>
          <t>②</t>
        </is>
      </c>
      <c r="C17" s="172" t="n">
        <v>0</v>
      </c>
      <c r="D17" s="172" t="n">
        <v>5</v>
      </c>
      <c r="E17" s="172" t="n">
        <v>5</v>
      </c>
      <c r="F17" s="171" t="inlineStr">
        <is>
          <t>同上 5m</t>
        </is>
      </c>
    </row>
    <row r="18">
      <c r="A18" s="173" t="inlineStr">
        <is>
          <t>合計</t>
        </is>
      </c>
      <c r="B18" s="173" t="inlineStr"/>
      <c r="C18" s="174" t="n">
        <v>211</v>
      </c>
      <c r="D18" s="174" t="n">
        <v>363.5</v>
      </c>
      <c r="E18" s="174" t="n">
        <v>574.5</v>
      </c>
      <c r="F18" s="173" t="inlineStr">
        <is>
          <t>口径別: ①360 ②77 ③96 ⑥9 ⑦57 (m・端数調整後)</t>
        </is>
      </c>
    </row>
    <row r="20">
      <c r="A20" s="169" t="inlineStr">
        <is>
          <t>2. ドレン配管（ベース06）</t>
        </is>
      </c>
    </row>
    <row r="21">
      <c r="A21" s="170" t="inlineStr">
        <is>
          <t>区分</t>
        </is>
      </c>
      <c r="B21" s="170" t="inlineStr">
        <is>
          <t>口径</t>
        </is>
      </c>
      <c r="C21" s="170" t="inlineStr">
        <is>
          <t>平面実測(m)</t>
        </is>
      </c>
      <c r="D21" s="170" t="inlineStr">
        <is>
          <t>推測加算(m)</t>
        </is>
      </c>
      <c r="E21" s="170" t="inlineStr">
        <is>
          <t>合計(m)</t>
        </is>
      </c>
      <c r="F21" s="170" t="inlineStr">
        <is>
          <t>備考</t>
        </is>
      </c>
    </row>
    <row r="22">
      <c r="A22" s="171" t="inlineStr">
        <is>
          <t>1F 空調平面図 青線(D)</t>
        </is>
      </c>
      <c r="B22" s="171" t="inlineStr">
        <is>
          <t>VP20</t>
        </is>
      </c>
      <c r="C22" s="172" t="n">
        <v>6.6</v>
      </c>
      <c r="D22" s="172" t="n">
        <v>30</v>
      </c>
      <c r="E22" s="172" t="n">
        <v>36.6</v>
      </c>
      <c r="F22" s="171" t="inlineStr">
        <is>
          <t>RAC-1/2 ドレンアップ吐出→屋外 10台×3m</t>
        </is>
      </c>
    </row>
    <row r="23">
      <c r="A23" s="171" t="inlineStr">
        <is>
          <t>1F 空調平面図 青線(D)</t>
        </is>
      </c>
      <c r="B23" s="171" t="inlineStr">
        <is>
          <t>VP25</t>
        </is>
      </c>
      <c r="C23" s="172" t="n">
        <v>87.3</v>
      </c>
      <c r="D23" s="172" t="n">
        <v>0</v>
      </c>
      <c r="E23" s="172" t="n">
        <v>87.3</v>
      </c>
      <c r="F23" s="171" t="inlineStr">
        <is>
          <t>口径ラベル未割当31.3mを25/40へ比例配分済</t>
        </is>
      </c>
    </row>
    <row r="24">
      <c r="A24" s="171" t="inlineStr">
        <is>
          <t>1F 空調平面図 青線(D)</t>
        </is>
      </c>
      <c r="B24" s="171" t="inlineStr">
        <is>
          <t>VP40</t>
        </is>
      </c>
      <c r="C24" s="172" t="n">
        <v>50.2</v>
      </c>
      <c r="D24" s="172" t="n">
        <v>18</v>
      </c>
      <c r="E24" s="172" t="n">
        <v>68.2</v>
      </c>
      <c r="F24" s="171" t="inlineStr">
        <is>
          <t>立下り・屋外放流部 12箇所×1.5m</t>
        </is>
      </c>
    </row>
    <row r="25">
      <c r="A25" s="171" t="inlineStr">
        <is>
          <t>2F 空調平面図 青線(D) AC-10</t>
        </is>
      </c>
      <c r="B25" s="171" t="inlineStr">
        <is>
          <t>VP25</t>
        </is>
      </c>
      <c r="C25" s="172" t="n">
        <v>6.1</v>
      </c>
      <c r="D25" s="172" t="n">
        <v>0</v>
      </c>
      <c r="E25" s="172" t="n">
        <v>6.1</v>
      </c>
      <c r="F25" s="171" t="inlineStr"/>
    </row>
    <row r="26">
      <c r="A26" s="173" t="inlineStr">
        <is>
          <t>合計</t>
        </is>
      </c>
      <c r="B26" s="173" t="inlineStr"/>
      <c r="C26" s="174" t="n">
        <v>150.2</v>
      </c>
      <c r="D26" s="174" t="n">
        <v>48</v>
      </c>
      <c r="E26" s="174" t="n">
        <v>198.2</v>
      </c>
      <c r="F26" s="173" t="inlineStr"/>
    </row>
    <row r="28">
      <c r="A28" s="169" t="inlineStr">
        <is>
          <t>3. 冷媒配管（図面08 追加空調・すべて推測）</t>
        </is>
      </c>
    </row>
    <row r="29">
      <c r="A29" s="170" t="inlineStr">
        <is>
          <t>系統</t>
        </is>
      </c>
      <c r="B29" s="170" t="inlineStr">
        <is>
          <t>口径記号</t>
        </is>
      </c>
      <c r="C29" s="170" t="inlineStr">
        <is>
          <t>平面実測(m)</t>
        </is>
      </c>
      <c r="D29" s="170" t="inlineStr">
        <is>
          <t>推測(m)</t>
        </is>
      </c>
      <c r="E29" s="170" t="inlineStr">
        <is>
          <t>合計(m)</t>
        </is>
      </c>
      <c r="F29" s="170" t="inlineStr">
        <is>
          <t>推定根拠</t>
        </is>
      </c>
    </row>
    <row r="30">
      <c r="A30" s="171" t="inlineStr">
        <is>
          <t>追AC1 PA-P140U7GTNB トリプル</t>
        </is>
      </c>
      <c r="B30" s="171" t="inlineStr">
        <is>
          <t>③主/①枝</t>
        </is>
      </c>
      <c r="C30" s="175" t="n">
        <v>0</v>
      </c>
      <c r="D30" s="175" t="n">
        <v>51</v>
      </c>
      <c r="E30" s="175" t="n">
        <v>51</v>
      </c>
      <c r="F30" s="171" t="inlineStr">
        <is>
          <t>室外機:物干場側(AC-3隣) 室内機:ホール・洗濯室前廊下・階段ホール</t>
        </is>
      </c>
    </row>
    <row r="31">
      <c r="A31" s="171" t="inlineStr">
        <is>
          <t>追AC2 PA-P224L7HTNB トリプル</t>
        </is>
      </c>
      <c r="B31" s="171" t="inlineStr">
        <is>
          <t>⑥主/③枝</t>
        </is>
      </c>
      <c r="C31" s="175" t="n">
        <v>0</v>
      </c>
      <c r="D31" s="175" t="n">
        <v>57</v>
      </c>
      <c r="E31" s="175" t="n">
        <v>57</v>
      </c>
      <c r="F31" s="171" t="inlineStr">
        <is>
          <t>室外機:南側(AC-1/5隣) 室内機:1F南廊下3箇所</t>
        </is>
      </c>
    </row>
    <row r="32">
      <c r="A32" s="171" t="inlineStr">
        <is>
          <t>追AC3 PA-P224L7HTNB トリプル</t>
        </is>
      </c>
      <c r="B32" s="171" t="inlineStr">
        <is>
          <t>⑥主/③枝</t>
        </is>
      </c>
      <c r="C32" s="175" t="n">
        <v>0</v>
      </c>
      <c r="D32" s="175" t="n">
        <v>64</v>
      </c>
      <c r="E32" s="175" t="n">
        <v>64</v>
      </c>
      <c r="F32" s="171" t="inlineStr">
        <is>
          <t>室外機:東側地上 室内機:2F北廊下3箇所</t>
        </is>
      </c>
    </row>
    <row r="33">
      <c r="A33" s="171" t="inlineStr">
        <is>
          <t>追AC4 PA-P224L7HTNB トリプル</t>
        </is>
      </c>
      <c r="B33" s="171" t="inlineStr">
        <is>
          <t>⑥主/③枝</t>
        </is>
      </c>
      <c r="C33" s="175" t="n">
        <v>0</v>
      </c>
      <c r="D33" s="175" t="n">
        <v>51</v>
      </c>
      <c r="E33" s="175" t="n">
        <v>51</v>
      </c>
      <c r="F33" s="171" t="inlineStr">
        <is>
          <t>室外機:東側地上(倉庫2東) 室内機:階段ホール2・南廊下1</t>
        </is>
      </c>
    </row>
    <row r="34">
      <c r="A34" s="171" t="inlineStr">
        <is>
          <t>追AC5 PA-P224L7HTNB トリプル</t>
        </is>
      </c>
      <c r="B34" s="171" t="inlineStr">
        <is>
          <t>⑥主/③枝</t>
        </is>
      </c>
      <c r="C34" s="175" t="n">
        <v>0</v>
      </c>
      <c r="D34" s="175" t="n">
        <v>69</v>
      </c>
      <c r="E34" s="175" t="n">
        <v>69</v>
      </c>
      <c r="F34" s="171" t="inlineStr">
        <is>
          <t>室外機:東側地上 室内機:2F南廊下3箇所</t>
        </is>
      </c>
    </row>
    <row r="35">
      <c r="A35" s="173" t="inlineStr">
        <is>
          <t>合計</t>
        </is>
      </c>
      <c r="B35" s="173" t="inlineStr"/>
      <c r="C35" s="176" t="n">
        <v>0</v>
      </c>
      <c r="D35" s="176" t="n">
        <v>292</v>
      </c>
      <c r="E35" s="176" t="n">
        <v>292</v>
      </c>
      <c r="F35" s="173" t="inlineStr">
        <is>
          <t>口径別: ①35 ③184 ⑥73</t>
        </is>
      </c>
    </row>
    <row r="37">
      <c r="A37" s="169" t="inlineStr">
        <is>
          <t>5. 機器台数（図面カウント）</t>
        </is>
      </c>
    </row>
    <row r="38">
      <c r="A38" s="170" t="inlineStr">
        <is>
          <t>記号</t>
        </is>
      </c>
      <c r="B38" s="170" t="inlineStr">
        <is>
          <t>台数</t>
        </is>
      </c>
      <c r="C38" s="170" t="inlineStr">
        <is>
          <t>備考</t>
        </is>
      </c>
    </row>
    <row r="39">
      <c r="A39" s="171" t="inlineStr">
        <is>
          <t>AC-1 (ツイン) 室内8/室外4</t>
        </is>
      </c>
      <c r="B39" s="171" t="inlineStr">
        <is>
          <t>4系統</t>
        </is>
      </c>
      <c r="C39" s="171" t="inlineStr">
        <is>
          <t>空調機器表・平面図</t>
        </is>
      </c>
    </row>
    <row r="40">
      <c r="A40" s="171" t="inlineStr">
        <is>
          <t>AC-2,3 (ツイン) 室内各2/室外各1</t>
        </is>
      </c>
      <c r="B40" s="171" t="inlineStr">
        <is>
          <t>2系統</t>
        </is>
      </c>
      <c r="C40" s="171" t="inlineStr"/>
    </row>
    <row r="41">
      <c r="A41" s="171" t="inlineStr">
        <is>
          <t>AC-5,6,7,8,9,10 室内各1/室外各1</t>
        </is>
      </c>
      <c r="B41" s="171" t="inlineStr">
        <is>
          <t>7台</t>
        </is>
      </c>
      <c r="C41" s="171" t="inlineStr">
        <is>
          <t>AC-5は2台</t>
        </is>
      </c>
    </row>
    <row r="42">
      <c r="A42" s="171" t="inlineStr">
        <is>
          <t>RAC-1/2/3/4</t>
        </is>
      </c>
      <c r="B42" s="171" t="inlineStr">
        <is>
          <t>2/8/66/1</t>
        </is>
      </c>
      <c r="C42" s="171" t="inlineStr">
        <is>
          <t>2F寮室×16+×3+×11+×8+×4+×24=66</t>
        </is>
      </c>
    </row>
    <row r="43">
      <c r="A43" s="171" t="inlineStr">
        <is>
          <t>追AC1 室内3/室外1、追AC2〜5 室内各3/室外各1</t>
        </is>
      </c>
      <c r="B43" s="171" t="inlineStr">
        <is>
          <t>5系統</t>
        </is>
      </c>
      <c r="C43" s="171" t="inlineStr">
        <is>
          <t>図面08 p19・p20 朱書き □ 位置より</t>
        </is>
      </c>
    </row>
    <row r="44">
      <c r="A44" s="171" t="inlineStr">
        <is>
          <t>区画貫通部 ●</t>
        </is>
      </c>
      <c r="B44" s="171" t="inlineStr">
        <is>
          <t>1F 2箇所</t>
        </is>
      </c>
      <c r="C44" s="171" t="inlineStr">
        <is>
          <t>空調平面図1F 凡例</t>
        </is>
      </c>
    </row>
    <row r="45">
      <c r="A45" s="173" t="inlineStr">
        <is>
          <t>VD</t>
        </is>
      </c>
      <c r="B45" s="173" t="inlineStr">
        <is>
          <t>1F 9・2F 4</t>
        </is>
      </c>
      <c r="C45" s="173" t="inlineStr">
        <is>
          <t>換気平面図ラベル数</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66"/>
  <sheetViews>
    <sheetView showGridLines="0" tabSelected="0" workbookViewId="0">
      <selection activeCell="A1" sqref="A1"/>
    </sheetView>
  </sheetViews>
  <sheetFormatPr baseColWidth="8" defaultRowHeight="15"/>
  <cols>
    <col width="14" customWidth="1" min="1" max="1"/>
    <col width="12" customWidth="1" min="2" max="2"/>
    <col width="9" customWidth="1" min="3" max="3"/>
    <col width="12" customWidth="1" min="4" max="4"/>
    <col width="12" customWidth="1" min="5" max="5"/>
    <col width="14" customWidth="1" min="6" max="6"/>
    <col width="14" customWidth="1" min="7" max="7"/>
    <col width="10" customWidth="1" min="8" max="8"/>
    <col width="70" customWidth="1" min="9" max="9"/>
  </cols>
  <sheetData>
    <row r="1">
      <c r="A1" s="168" t="inlineStr">
        <is>
          <t>単価マスタ（内部）　原価＝材料原価＋人工×労務原価日額、提出（定価ベース）＝原価×提出係数。参考列は宮地機工 参考見積8件（2025.11〜2026.10）から整理</t>
        </is>
      </c>
    </row>
    <row r="2">
      <c r="A2" s="177" t="inlineStr">
        <is>
          <t>労務原価日額 19,000 円/人工　参考見積の人工単価 23,225 円/人工（6330476-3 配管工費 40人工 929,000）　提出係数 1.22　材料係数 ×1.85（継手30%＋消耗15%＋支持金物40%）</t>
        </is>
      </c>
    </row>
    <row r="4">
      <c r="A4" s="170" t="inlineStr">
        <is>
          <t>キー</t>
        </is>
      </c>
      <c r="B4" s="170" t="inlineStr">
        <is>
          <t>材料原価</t>
        </is>
      </c>
      <c r="C4" s="170" t="inlineStr">
        <is>
          <t>人工</t>
        </is>
      </c>
      <c r="D4" s="170" t="inlineStr">
        <is>
          <t>労務原価</t>
        </is>
      </c>
      <c r="E4" s="170" t="inlineStr">
        <is>
          <t>原価</t>
        </is>
      </c>
      <c r="F4" s="170" t="inlineStr">
        <is>
          <t>提出(定価ベース)</t>
        </is>
      </c>
      <c r="G4" s="170" t="inlineStr">
        <is>
          <t>参考定価ベース</t>
        </is>
      </c>
      <c r="H4" s="170" t="inlineStr">
        <is>
          <t>当社/参考</t>
        </is>
      </c>
      <c r="I4" s="170" t="inlineStr">
        <is>
          <t>出典・根拠</t>
        </is>
      </c>
    </row>
    <row r="5">
      <c r="A5" s="46" t="inlineStr">
        <is>
          <t>REF_①</t>
        </is>
      </c>
      <c r="B5" s="95" t="n">
        <v>2200</v>
      </c>
      <c r="C5" s="178" t="n">
        <v>0.2</v>
      </c>
      <c r="D5" s="95">
        <f>ROUND(C5*LABOR_DAY,0)</f>
        <v>3800</v>
      </c>
      <c r="E5" s="95">
        <f>IF(B5="","",B5+D5)</f>
        <v>6000</v>
      </c>
      <c r="F5" s="95">
        <f>IF(E5="","",ROUND(E5*COEF,-1))</f>
        <v>7320</v>
      </c>
      <c r="G5" s="95" t="n">
        <v>7328</v>
      </c>
      <c r="H5" s="102">
        <f>IF(OR(G5="",F5=""),"",F5/G5)</f>
        <v>0.9989082969432315</v>
      </c>
      <c r="I5" s="103" t="inlineStr">
        <is>
          <t>6330539 ペアコイル6.35+9.52 988/m・2分3分級は1,450/m想定、5 m/人工</t>
        </is>
      </c>
    </row>
    <row r="6">
      <c r="A6" s="46" t="inlineStr">
        <is>
          <t>REF_②</t>
        </is>
      </c>
      <c r="B6" s="95" t="n">
        <v>2960</v>
      </c>
      <c r="C6" s="178" t="n">
        <v>0.21</v>
      </c>
      <c r="D6" s="95">
        <f>ROUND(C6*LABOR_DAY,0)</f>
        <v>3990</v>
      </c>
      <c r="E6" s="95">
        <f>IF(B6="","",B6+D6)</f>
        <v>6950</v>
      </c>
      <c r="F6" s="95">
        <f>IF(E6="","",ROUND(E6*COEF,-1))</f>
        <v>8480</v>
      </c>
      <c r="G6" s="95" t="n">
        <v>8485</v>
      </c>
      <c r="H6" s="102">
        <f>IF(OR(G6="",F6=""),"",F6/G6)</f>
        <v>0.9994107248084856</v>
      </c>
      <c r="I6" s="103" t="inlineStr">
        <is>
          <t>補間（9.52+15.88 4,025 と 6.35+9.52 の間）</t>
        </is>
      </c>
    </row>
    <row r="7">
      <c r="A7" s="46" t="inlineStr">
        <is>
          <t>REF_③</t>
        </is>
      </c>
      <c r="B7" s="95" t="n">
        <v>6100</v>
      </c>
      <c r="C7" s="178" t="n">
        <v>0.22</v>
      </c>
      <c r="D7" s="95">
        <f>ROUND(C7*LABOR_DAY,0)</f>
        <v>4180</v>
      </c>
      <c r="E7" s="95">
        <f>IF(B7="","",B7+D7)</f>
        <v>10280</v>
      </c>
      <c r="F7" s="95">
        <f>IF(E7="","",ROUND(E7*COEF,-1))</f>
        <v>12540</v>
      </c>
      <c r="G7" s="95" t="n">
        <v>12556</v>
      </c>
      <c r="H7" s="102">
        <f>IF(OR(G7="",F7=""),"",F7/G7)</f>
        <v>0.9987257088244664</v>
      </c>
      <c r="I7" s="103" t="inlineStr">
        <is>
          <t>6330476-3 / 6330344-1 9.52+15.88 4,025/m、4.6 m/人工</t>
        </is>
      </c>
    </row>
    <row r="8">
      <c r="A8" s="46" t="inlineStr">
        <is>
          <t>REF_⑥</t>
        </is>
      </c>
      <c r="B8" s="95" t="n">
        <v>8300</v>
      </c>
      <c r="C8" s="178" t="n">
        <v>0.28</v>
      </c>
      <c r="D8" s="95">
        <f>ROUND(C8*LABOR_DAY,0)</f>
        <v>5320</v>
      </c>
      <c r="E8" s="95">
        <f>IF(B8="","",B8+D8)</f>
        <v>13620</v>
      </c>
      <c r="F8" s="95">
        <f>IF(E8="","",ROUND(E8*COEF,-1))</f>
        <v>16620</v>
      </c>
      <c r="G8" s="95" t="n">
        <v>16632</v>
      </c>
      <c r="H8" s="102">
        <f>IF(OR(G8="",F8=""),"",F8/G8)</f>
        <v>0.9992784992784993</v>
      </c>
      <c r="I8" s="103" t="inlineStr">
        <is>
          <t>6330476-3 9.52+25.40 5,475/m、3.5 m/人工</t>
        </is>
      </c>
    </row>
    <row r="9">
      <c r="A9" s="46" t="inlineStr">
        <is>
          <t>REF_⑦</t>
        </is>
      </c>
      <c r="B9" s="95" t="n">
        <v>8610</v>
      </c>
      <c r="C9" s="178" t="n">
        <v>0.3</v>
      </c>
      <c r="D9" s="95">
        <f>ROUND(C9*LABOR_DAY,0)</f>
        <v>5700</v>
      </c>
      <c r="E9" s="95">
        <f>IF(B9="","",B9+D9)</f>
        <v>14310</v>
      </c>
      <c r="F9" s="95">
        <f>IF(E9="","",ROUND(E9*COEF,-1))</f>
        <v>17460</v>
      </c>
      <c r="G9" s="95" t="n">
        <v>17466</v>
      </c>
      <c r="H9" s="102">
        <f>IF(OR(G9="",F9=""),"",F9/G9)</f>
        <v>0.9996564754379939</v>
      </c>
      <c r="I9" s="103" t="inlineStr">
        <is>
          <t>6330476-3 12.70+25.40 5,675/m、3.3 m/人工</t>
        </is>
      </c>
    </row>
    <row r="10">
      <c r="A10" s="46" t="inlineStr">
        <is>
          <t>REF_CASE</t>
        </is>
      </c>
      <c r="B10" s="95" t="n">
        <v>1500</v>
      </c>
      <c r="C10" s="178" t="n">
        <v>0.1</v>
      </c>
      <c r="D10" s="95">
        <f>ROUND(C10*LABOR_DAY,0)</f>
        <v>1900</v>
      </c>
      <c r="E10" s="95">
        <f>IF(B10="","",B10+D10)</f>
        <v>3400</v>
      </c>
      <c r="F10" s="95">
        <f>IF(E10="","",ROUND(E10*COEF,-1))</f>
        <v>4150</v>
      </c>
      <c r="G10" s="95" t="n">
        <v>3516</v>
      </c>
      <c r="H10" s="102">
        <f>IF(OR(G10="",F10=""),"",F10/G10)</f>
        <v>1.1803185437997725</v>
      </c>
      <c r="I10" s="103" t="inlineStr">
        <is>
          <t>配管保温工事費 1,194/m（6330476-3）＋化粧ケース材</t>
        </is>
      </c>
    </row>
    <row r="11">
      <c r="A11" s="46" t="inlineStr">
        <is>
          <t>SLEEVE</t>
        </is>
      </c>
      <c r="B11" s="95" t="n">
        <v>900</v>
      </c>
      <c r="C11" s="178" t="n">
        <v>0.06</v>
      </c>
      <c r="D11" s="95">
        <f>ROUND(C11*LABOR_DAY,0)</f>
        <v>1140</v>
      </c>
      <c r="E11" s="95">
        <f>IF(B11="","",B11+D11)</f>
        <v>2040</v>
      </c>
      <c r="F11" s="95">
        <f>IF(E11="","",ROUND(E11*COEF,-1))</f>
        <v>2490</v>
      </c>
      <c r="G11" s="95" t="n"/>
      <c r="H11" s="102" t="n"/>
      <c r="I11" s="103" t="inlineStr">
        <is>
          <t>VP100 スリーブ材＋取付（参考実績なし）</t>
        </is>
      </c>
    </row>
    <row r="12">
      <c r="A12" s="46" t="inlineStr">
        <is>
          <t>FIRESTOP</t>
        </is>
      </c>
      <c r="B12" s="95" t="n">
        <v>4500</v>
      </c>
      <c r="C12" s="178" t="n">
        <v>0.4</v>
      </c>
      <c r="D12" s="95">
        <f>ROUND(C12*LABOR_DAY,0)</f>
        <v>7600</v>
      </c>
      <c r="E12" s="95">
        <f>IF(B12="","",B12+D12)</f>
        <v>12100</v>
      </c>
      <c r="F12" s="95">
        <f>IF(E12="","",ROUND(E12*COEF,-1))</f>
        <v>14760</v>
      </c>
      <c r="G12" s="95" t="n"/>
      <c r="H12" s="102" t="n"/>
      <c r="I12" s="103" t="inlineStr">
        <is>
          <t>6330248-2 防火区画貫通 88,000/式（箇所数不明）</t>
        </is>
      </c>
    </row>
    <row r="13">
      <c r="A13" s="46" t="inlineStr">
        <is>
          <t>LEAK_TEST</t>
        </is>
      </c>
      <c r="B13" s="95" t="n">
        <v>3000</v>
      </c>
      <c r="C13" s="178" t="n">
        <v>0.6</v>
      </c>
      <c r="D13" s="95">
        <f>ROUND(C13*LABOR_DAY,0)</f>
        <v>11400</v>
      </c>
      <c r="E13" s="95">
        <f>IF(B13="","",B13+D13)</f>
        <v>14400</v>
      </c>
      <c r="F13" s="95">
        <f>IF(E13="","",ROUND(E13*COEF,-1))</f>
        <v>17570</v>
      </c>
      <c r="G13" s="95" t="n">
        <v>20000</v>
      </c>
      <c r="H13" s="102">
        <f>IF(OR(G13="",F13=""),"",F13/G13)</f>
        <v>0.8785</v>
      </c>
      <c r="I13" s="103" t="inlineStr">
        <is>
          <t>気密テスト 15,000〜25,000/系統・真空引き 3,750〜5,640/系統（6330558/344-1/549）</t>
        </is>
      </c>
    </row>
    <row r="14">
      <c r="A14" s="46" t="inlineStr">
        <is>
          <t>REFRIGERANT</t>
        </is>
      </c>
      <c r="B14" s="95" t="n">
        <v>3800</v>
      </c>
      <c r="C14" s="178" t="n">
        <v>0</v>
      </c>
      <c r="D14" s="95">
        <f>ROUND(C14*LABOR_DAY,0)</f>
        <v>0</v>
      </c>
      <c r="E14" s="95">
        <f>IF(B14="","",B14+D14)</f>
        <v>3800</v>
      </c>
      <c r="F14" s="95">
        <f>IF(E14="","",ROUND(E14*COEF,-1))</f>
        <v>4640</v>
      </c>
      <c r="G14" s="95" t="n"/>
      <c r="H14" s="102" t="n"/>
      <c r="I14" s="103" t="inlineStr">
        <is>
          <t>R32 冷媒代（参考に単価行なし）</t>
        </is>
      </c>
    </row>
    <row r="15">
      <c r="A15" s="46" t="inlineStr">
        <is>
          <t>VP20</t>
        </is>
      </c>
      <c r="B15" s="95" t="n">
        <v>380</v>
      </c>
      <c r="C15" s="178" t="n">
        <v>0.1</v>
      </c>
      <c r="D15" s="95">
        <f>ROUND(C15*LABOR_DAY,0)</f>
        <v>1900</v>
      </c>
      <c r="E15" s="95">
        <f>IF(B15="","",B15+D15)</f>
        <v>2280</v>
      </c>
      <c r="F15" s="95">
        <f>IF(E15="","",ROUND(E15*COEF,-1))</f>
        <v>2780</v>
      </c>
      <c r="G15" s="95" t="n">
        <v>2578</v>
      </c>
      <c r="H15" s="102">
        <f>IF(OR(G15="",F15=""),"",F15/G15)</f>
        <v>1.0783553141970519</v>
      </c>
      <c r="I15" s="103" t="inlineStr">
        <is>
          <t>6330539 VP13 138/m、塩ビ工費 9.3〜12 m/人工</t>
        </is>
      </c>
    </row>
    <row r="16">
      <c r="A16" s="46" t="inlineStr">
        <is>
          <t>VP25</t>
        </is>
      </c>
      <c r="B16" s="95" t="n">
        <v>475</v>
      </c>
      <c r="C16" s="178" t="n">
        <v>0.11</v>
      </c>
      <c r="D16" s="95">
        <f>ROUND(C16*LABOR_DAY,0)</f>
        <v>2090</v>
      </c>
      <c r="E16" s="95">
        <f>IF(B16="","",B16+D16)</f>
        <v>2565</v>
      </c>
      <c r="F16" s="95">
        <f>IF(E16="","",ROUND(E16*COEF,-1))</f>
        <v>3130</v>
      </c>
      <c r="G16" s="95" t="n">
        <v>3134</v>
      </c>
      <c r="H16" s="102">
        <f>IF(OR(G16="",F16=""),"",F16/G16)</f>
        <v>0.9987236758136566</v>
      </c>
      <c r="I16" s="103" t="inlineStr">
        <is>
          <t>6330344-1/476-3/248-2 VP25 313/m、工費 2,497/m</t>
        </is>
      </c>
    </row>
    <row r="17">
      <c r="A17" s="46" t="inlineStr">
        <is>
          <t>VP40</t>
        </is>
      </c>
      <c r="B17" s="95" t="n">
        <v>760</v>
      </c>
      <c r="C17" s="178" t="n">
        <v>0.13</v>
      </c>
      <c r="D17" s="95">
        <f>ROUND(C17*LABOR_DAY,0)</f>
        <v>2470</v>
      </c>
      <c r="E17" s="95">
        <f>IF(B17="","",B17+D17)</f>
        <v>3230</v>
      </c>
      <c r="F17" s="95">
        <f>IF(E17="","",ROUND(E17*COEF,-1))</f>
        <v>3940</v>
      </c>
      <c r="G17" s="95" t="n"/>
      <c r="H17" s="102" t="n"/>
      <c r="I17" s="103" t="inlineStr">
        <is>
          <t>VP25 比例</t>
        </is>
      </c>
    </row>
    <row r="18">
      <c r="A18" s="46" t="inlineStr">
        <is>
          <t>DRAIN_INS</t>
        </is>
      </c>
      <c r="B18" s="95" t="n">
        <v>900</v>
      </c>
      <c r="C18" s="178" t="n">
        <v>0.06</v>
      </c>
      <c r="D18" s="95">
        <f>ROUND(C18*LABOR_DAY,0)</f>
        <v>1140</v>
      </c>
      <c r="E18" s="95">
        <f>IF(B18="","",B18+D18)</f>
        <v>2040</v>
      </c>
      <c r="F18" s="95">
        <f>IF(E18="","",ROUND(E18*COEF,-1))</f>
        <v>2490</v>
      </c>
      <c r="G18" s="95" t="n"/>
      <c r="H18" s="102" t="n"/>
      <c r="I18" s="103" t="inlineStr">
        <is>
          <t>GW保温筒20 ALGC（参考実績なし）</t>
        </is>
      </c>
    </row>
    <row r="19">
      <c r="A19" s="46" t="inlineStr">
        <is>
          <t>DRAIN_HOSE</t>
        </is>
      </c>
      <c r="B19" s="95" t="n">
        <v>300</v>
      </c>
      <c r="C19" s="178" t="n">
        <v>0.05</v>
      </c>
      <c r="D19" s="95">
        <f>ROUND(C19*LABOR_DAY,0)</f>
        <v>950</v>
      </c>
      <c r="E19" s="95">
        <f>IF(B19="","",B19+D19)</f>
        <v>1250</v>
      </c>
      <c r="F19" s="95">
        <f>IF(E19="","",ROUND(E19*COEF,-1))</f>
        <v>1530</v>
      </c>
      <c r="G19" s="95" t="n"/>
      <c r="H19" s="102" t="n"/>
      <c r="I19" s="103" t="inlineStr">
        <is>
          <t>推定</t>
        </is>
      </c>
    </row>
    <row r="20">
      <c r="A20" s="46" t="inlineStr">
        <is>
          <t>PAC_IN</t>
        </is>
      </c>
      <c r="B20" s="95" t="n">
        <v>1600</v>
      </c>
      <c r="C20" s="178" t="n">
        <v>0.85</v>
      </c>
      <c r="D20" s="95">
        <f>ROUND(C20*LABOR_DAY,0)</f>
        <v>16150</v>
      </c>
      <c r="E20" s="95">
        <f>IF(B20="","",B20+D20)</f>
        <v>17750</v>
      </c>
      <c r="F20" s="95">
        <f>IF(E20="","",ROUND(E20*COEF,-1))</f>
        <v>21660</v>
      </c>
      <c r="G20" s="95" t="n">
        <v>21700</v>
      </c>
      <c r="H20" s="102">
        <f>IF(OR(G20="",F20=""),"",F20/G20)</f>
        <v>0.9981566820276497</v>
      </c>
      <c r="I20" s="103" t="inlineStr">
        <is>
          <t>6330476-3 搬入据付 238,750/11台≒21,700/台、6330284-1 25,000/台</t>
        </is>
      </c>
    </row>
    <row r="21">
      <c r="A21" s="46" t="inlineStr">
        <is>
          <t>PAC_IN_BIG</t>
        </is>
      </c>
      <c r="B21" s="95" t="n">
        <v>2000</v>
      </c>
      <c r="C21" s="178" t="n">
        <v>1</v>
      </c>
      <c r="D21" s="95">
        <f>ROUND(C21*LABOR_DAY,0)</f>
        <v>19000</v>
      </c>
      <c r="E21" s="95">
        <f>IF(B21="","",B21+D21)</f>
        <v>21000</v>
      </c>
      <c r="F21" s="95">
        <f>IF(E21="","",ROUND(E21*COEF,-1))</f>
        <v>25620</v>
      </c>
      <c r="G21" s="95" t="n">
        <v>27860</v>
      </c>
      <c r="H21" s="102">
        <f>IF(OR(G21="",F21=""),"",F21/G21)</f>
        <v>0.9195979899497487</v>
      </c>
      <c r="I21" s="103" t="inlineStr">
        <is>
          <t>6330558 VRV 90クラス 27,860/台</t>
        </is>
      </c>
    </row>
    <row r="22">
      <c r="A22" s="46" t="inlineStr">
        <is>
          <t>PAC_OUT</t>
        </is>
      </c>
      <c r="B22" s="95" t="n">
        <v>3000</v>
      </c>
      <c r="C22" s="178" t="n">
        <v>0.8</v>
      </c>
      <c r="D22" s="95">
        <f>ROUND(C22*LABOR_DAY,0)</f>
        <v>15200</v>
      </c>
      <c r="E22" s="95">
        <f>IF(B22="","",B22+D22)</f>
        <v>18200</v>
      </c>
      <c r="F22" s="95">
        <f>IF(E22="","",ROUND(E22*COEF,-1))</f>
        <v>22200</v>
      </c>
      <c r="G22" s="95" t="n">
        <v>29200</v>
      </c>
      <c r="H22" s="102">
        <f>IF(OR(G22="",F22=""),"",F22/G22)</f>
        <v>0.7602739726027398</v>
      </c>
      <c r="I22" s="103" t="inlineStr">
        <is>
          <t>搬入据付＋基礎工事 5,800〜10,000/台（6330539/549/476-3）</t>
        </is>
      </c>
    </row>
    <row r="23">
      <c r="A23" s="46" t="inlineStr">
        <is>
          <t>PAC_OUT_BIG</t>
        </is>
      </c>
      <c r="B23" s="95" t="n">
        <v>4000</v>
      </c>
      <c r="C23" s="178" t="n">
        <v>1.1</v>
      </c>
      <c r="D23" s="95">
        <f>ROUND(C23*LABOR_DAY,0)</f>
        <v>20900</v>
      </c>
      <c r="E23" s="95">
        <f>IF(B23="","",B23+D23)</f>
        <v>24900</v>
      </c>
      <c r="F23" s="95">
        <f>IF(E23="","",ROUND(E23*COEF,-1))</f>
        <v>30380</v>
      </c>
      <c r="G23" s="95" t="n">
        <v>37860</v>
      </c>
      <c r="H23" s="102">
        <f>IF(OR(G23="",F23=""),"",F23/G23)</f>
        <v>0.8024300052826202</v>
      </c>
      <c r="I23" s="103" t="inlineStr">
        <is>
          <t>8〜10HP 室外機（防振ゴム・架台固定共）</t>
        </is>
      </c>
    </row>
    <row r="24">
      <c r="A24" s="46" t="inlineStr">
        <is>
          <t>RAC_SET</t>
        </is>
      </c>
      <c r="B24" s="95" t="n">
        <v>750</v>
      </c>
      <c r="C24" s="178" t="n">
        <v>0.5</v>
      </c>
      <c r="D24" s="95">
        <f>ROUND(C24*LABOR_DAY,0)</f>
        <v>9500</v>
      </c>
      <c r="E24" s="95">
        <f>IF(B24="","",B24+D24)</f>
        <v>10250</v>
      </c>
      <c r="F24" s="95">
        <f>IF(E24="","",ROUND(E24*COEF,-1))</f>
        <v>12510</v>
      </c>
      <c r="G24" s="95" t="n">
        <v>18300</v>
      </c>
      <c r="H24" s="102">
        <f>IF(OR(G24="",F24=""),"",F24/G24)</f>
        <v>0.6836065573770492</v>
      </c>
      <c r="I24" s="103" t="inlineStr">
        <is>
          <t>6330539 RA 搬入据付 12,500/組＋基礎 5,833/組</t>
        </is>
      </c>
    </row>
    <row r="25">
      <c r="A25" s="46" t="inlineStr">
        <is>
          <t>REMOTE_CTRL</t>
        </is>
      </c>
      <c r="B25" s="95" t="n">
        <v>1000</v>
      </c>
      <c r="C25" s="178" t="n">
        <v>0.4</v>
      </c>
      <c r="D25" s="95">
        <f>ROUND(C25*LABOR_DAY,0)</f>
        <v>7600</v>
      </c>
      <c r="E25" s="95">
        <f>IF(B25="","",B25+D25)</f>
        <v>8600</v>
      </c>
      <c r="F25" s="95">
        <f>IF(E25="","",ROUND(E25*COEF,-1))</f>
        <v>10490</v>
      </c>
      <c r="G25" s="95" t="n">
        <v>9630</v>
      </c>
      <c r="H25" s="102">
        <f>IF(OR(G25="",F25=""),"",F25/G25)</f>
        <v>1.0893042575285565</v>
      </c>
      <c r="I25" s="103" t="inlineStr">
        <is>
          <t>リモコン配線工事 9,630/系統（6330549/558/476-3）</t>
        </is>
      </c>
    </row>
    <row r="26">
      <c r="A26" s="46" t="inlineStr">
        <is>
          <t>CRANE</t>
        </is>
      </c>
      <c r="B26" s="95" t="n">
        <v>75000</v>
      </c>
      <c r="C26" s="178" t="n">
        <v>0</v>
      </c>
      <c r="D26" s="95">
        <f>ROUND(C26*LABOR_DAY,0)</f>
        <v>0</v>
      </c>
      <c r="E26" s="95">
        <f>IF(B26="","",B26+D26)</f>
        <v>75000</v>
      </c>
      <c r="F26" s="95">
        <f>IF(E26="","",ROUND(E26*COEF,-1))</f>
        <v>91500</v>
      </c>
      <c r="G26" s="95" t="n">
        <v>93750</v>
      </c>
      <c r="H26" s="102">
        <f>IF(OR(G26="",F26=""),"",F26/G26)</f>
        <v>0.976</v>
      </c>
      <c r="I26" s="103" t="inlineStr">
        <is>
          <t>揚重工事費（レッカー）93,750/式（6330558）</t>
        </is>
      </c>
    </row>
    <row r="27">
      <c r="A27" s="46" t="inlineStr">
        <is>
          <t>CARRY_IN</t>
        </is>
      </c>
      <c r="B27" s="95" t="n">
        <v>0</v>
      </c>
      <c r="C27" s="178" t="n">
        <v>1</v>
      </c>
      <c r="D27" s="95">
        <f>ROUND(C27*LABOR_DAY,0)</f>
        <v>19000</v>
      </c>
      <c r="E27" s="95">
        <f>IF(B27="","",B27+D27)</f>
        <v>19000</v>
      </c>
      <c r="F27" s="95">
        <f>IF(E27="","",ROUND(E27*COEF,-1))</f>
        <v>23180</v>
      </c>
      <c r="G27" s="95" t="n"/>
      <c r="H27" s="102" t="n"/>
      <c r="I27" s="103" t="inlineStr">
        <is>
          <t>搬入・小運搬 人工</t>
        </is>
      </c>
    </row>
    <row r="28">
      <c r="A28" s="46" t="inlineStr">
        <is>
          <t>TEST_RUN</t>
        </is>
      </c>
      <c r="B28" s="95" t="n">
        <v>450</v>
      </c>
      <c r="C28" s="178" t="n">
        <v>0.45</v>
      </c>
      <c r="D28" s="95">
        <f>ROUND(C28*LABOR_DAY,0)</f>
        <v>8550</v>
      </c>
      <c r="E28" s="95">
        <f>IF(B28="","",B28+D28)</f>
        <v>9000</v>
      </c>
      <c r="F28" s="95">
        <f>IF(E28="","",ROUND(E28*COEF,-1))</f>
        <v>10980</v>
      </c>
      <c r="G28" s="95" t="n">
        <v>11000</v>
      </c>
      <c r="H28" s="102">
        <f>IF(OR(G28="",F28=""),"",F28/G28)</f>
        <v>0.9981818181818182</v>
      </c>
      <c r="I28" s="103" t="inlineStr">
        <is>
          <t>試運転調整費 10,000〜12,500/系統（6330344-1/549/476-3）</t>
        </is>
      </c>
    </row>
    <row r="29">
      <c r="A29" s="46" t="inlineStr">
        <is>
          <t>TEST_RUN_RAC</t>
        </is>
      </c>
      <c r="B29" s="95" t="n">
        <v>0</v>
      </c>
      <c r="C29" s="178" t="n">
        <v>0.1</v>
      </c>
      <c r="D29" s="95">
        <f>ROUND(C29*LABOR_DAY,0)</f>
        <v>1900</v>
      </c>
      <c r="E29" s="95">
        <f>IF(B29="","",B29+D29)</f>
        <v>1900</v>
      </c>
      <c r="F29" s="95">
        <f>IF(E29="","",ROUND(E29*COEF,-1))</f>
        <v>2320</v>
      </c>
      <c r="G29" s="95" t="n">
        <v>2500</v>
      </c>
      <c r="H29" s="102">
        <f>IF(OR(G29="",F29=""),"",F29/G29)</f>
        <v>0.928</v>
      </c>
      <c r="I29" s="103" t="inlineStr">
        <is>
          <t>6330539 試運転 7,500/3台</t>
        </is>
      </c>
    </row>
    <row r="30">
      <c r="A30" s="46" t="inlineStr">
        <is>
          <t>DOCS</t>
        </is>
      </c>
      <c r="B30" s="95" t="n">
        <v>5000</v>
      </c>
      <c r="C30" s="178" t="n">
        <v>1</v>
      </c>
      <c r="D30" s="95">
        <f>ROUND(C30*LABOR_DAY,0)</f>
        <v>19000</v>
      </c>
      <c r="E30" s="95">
        <f>IF(B30="","",B30+D30)</f>
        <v>24000</v>
      </c>
      <c r="F30" s="95">
        <f>IF(E30="","",ROUND(E30*COEF,-1))</f>
        <v>29280</v>
      </c>
      <c r="G30" s="95" t="n"/>
      <c r="H30" s="102" t="n"/>
      <c r="I30" s="103" t="inlineStr">
        <is>
          <t>書類作成 人工</t>
        </is>
      </c>
    </row>
    <row r="31">
      <c r="A31" s="46" t="inlineStr">
        <is>
          <t>WIRE_PAC</t>
        </is>
      </c>
      <c r="B31" s="95" t="n">
        <v>2000</v>
      </c>
      <c r="C31" s="178" t="n">
        <v>0.26</v>
      </c>
      <c r="D31" s="95">
        <f>ROUND(C31*LABOR_DAY,0)</f>
        <v>4940</v>
      </c>
      <c r="E31" s="95">
        <f>IF(B31="","",B31+D31)</f>
        <v>6940</v>
      </c>
      <c r="F31" s="95">
        <f>IF(E31="","",ROUND(E31*COEF,-1))</f>
        <v>8470</v>
      </c>
      <c r="G31" s="95" t="n">
        <v>8436</v>
      </c>
      <c r="H31" s="102">
        <f>IF(OR(G31="",F31=""),"",F31/G31)</f>
        <v>1.0040303461356093</v>
      </c>
      <c r="I31" s="103" t="inlineStr">
        <is>
          <t>VVF2.0-3C 203/m＋電線材料施工費 約500/m（12m/系統 8,436）→ 原価 6,900</t>
        </is>
      </c>
    </row>
    <row r="32">
      <c r="A32" s="46" t="inlineStr">
        <is>
          <t>WIRE_RAC</t>
        </is>
      </c>
      <c r="B32" s="95" t="n">
        <v>1130</v>
      </c>
      <c r="C32" s="178" t="n">
        <v>0.12</v>
      </c>
      <c r="D32" s="95">
        <f>ROUND(C32*LABOR_DAY,0)</f>
        <v>2280</v>
      </c>
      <c r="E32" s="95">
        <f>IF(B32="","",B32+D32)</f>
        <v>3410</v>
      </c>
      <c r="F32" s="95">
        <f>IF(E32="","",ROUND(E32*COEF,-1))</f>
        <v>4160</v>
      </c>
      <c r="G32" s="95" t="n">
        <v>3515</v>
      </c>
      <c r="H32" s="102">
        <f>IF(OR(G32="",F32=""),"",F32/G32)</f>
        <v>1.1834992887624467</v>
      </c>
      <c r="I32" s="103" t="inlineStr">
        <is>
          <t>VVF2.0-3C 5m/台</t>
        </is>
      </c>
    </row>
    <row r="33">
      <c r="A33" s="46" t="inlineStr">
        <is>
          <t>SLINK</t>
        </is>
      </c>
      <c r="B33" s="95" t="n">
        <v>30000</v>
      </c>
      <c r="C33" s="178" t="n">
        <v>1.2</v>
      </c>
      <c r="D33" s="95">
        <f>ROUND(C33*LABOR_DAY,0)</f>
        <v>22800</v>
      </c>
      <c r="E33" s="95">
        <f>IF(B33="","",B33+D33)</f>
        <v>52800</v>
      </c>
      <c r="F33" s="95">
        <f>IF(E33="","",ROUND(E33*COEF,-1))</f>
        <v>64420</v>
      </c>
      <c r="G33" s="95" t="n"/>
      <c r="H33" s="102" t="n"/>
      <c r="I33" s="103" t="inlineStr">
        <is>
          <t>集中リモコン制御線 200m 推定</t>
        </is>
      </c>
    </row>
    <row r="34">
      <c r="A34" s="46" t="inlineStr">
        <is>
          <t>BRANCH</t>
        </is>
      </c>
      <c r="B34" s="95" t="n">
        <v>600</v>
      </c>
      <c r="C34" s="178" t="n">
        <v>0.25</v>
      </c>
      <c r="D34" s="95">
        <f>ROUND(C34*LABOR_DAY,0)</f>
        <v>4750</v>
      </c>
      <c r="E34" s="95">
        <f>IF(B34="","",B34+D34)</f>
        <v>5350</v>
      </c>
      <c r="F34" s="95">
        <f>IF(E34="","",ROUND(E34*COEF,-1))</f>
        <v>6530</v>
      </c>
      <c r="G34" s="95" t="n"/>
      <c r="H34" s="102" t="n"/>
      <c r="I34" s="103" t="inlineStr">
        <is>
          <t>分岐管取付（支給）</t>
        </is>
      </c>
    </row>
    <row r="35">
      <c r="A35" s="46" t="inlineStr">
        <is>
          <t>FAN_PIPE</t>
        </is>
      </c>
      <c r="B35" s="95" t="n">
        <v>300</v>
      </c>
      <c r="C35" s="178" t="n">
        <v>0.3</v>
      </c>
      <c r="D35" s="95">
        <f>ROUND(C35*LABOR_DAY,0)</f>
        <v>5700</v>
      </c>
      <c r="E35" s="95">
        <f>IF(B35="","",B35+D35)</f>
        <v>6000</v>
      </c>
      <c r="F35" s="95">
        <f>IF(E35="","",ROUND(E35*COEF,-1))</f>
        <v>7320</v>
      </c>
      <c r="G35" s="95" t="n"/>
      <c r="H35" s="102" t="n"/>
      <c r="I35" s="103" t="inlineStr">
        <is>
          <t>パイプファン取付（参考実績なし）</t>
        </is>
      </c>
    </row>
    <row r="36">
      <c r="A36" s="46" t="inlineStr">
        <is>
          <t>FAN_CEIL</t>
        </is>
      </c>
      <c r="B36" s="95" t="n">
        <v>500</v>
      </c>
      <c r="C36" s="178" t="n">
        <v>0.45</v>
      </c>
      <c r="D36" s="95">
        <f>ROUND(C36*LABOR_DAY,0)</f>
        <v>8550</v>
      </c>
      <c r="E36" s="95">
        <f>IF(B36="","",B36+D36)</f>
        <v>9050</v>
      </c>
      <c r="F36" s="95">
        <f>IF(E36="","",ROUND(E36*COEF,-1))</f>
        <v>11040</v>
      </c>
      <c r="G36" s="95" t="n"/>
      <c r="H36" s="102" t="n"/>
      <c r="I36" s="103" t="inlineStr">
        <is>
          <t>天井扇取付（参考実績なし）</t>
        </is>
      </c>
    </row>
    <row r="37">
      <c r="A37" s="46" t="inlineStr">
        <is>
          <t>FAN_DUCT</t>
        </is>
      </c>
      <c r="B37" s="95" t="n">
        <v>2000</v>
      </c>
      <c r="C37" s="178" t="n">
        <v>1.2</v>
      </c>
      <c r="D37" s="95">
        <f>ROUND(C37*LABOR_DAY,0)</f>
        <v>22800</v>
      </c>
      <c r="E37" s="95">
        <f>IF(B37="","",B37+D37)</f>
        <v>24800</v>
      </c>
      <c r="F37" s="95">
        <f>IF(E37="","",ROUND(E37*COEF,-1))</f>
        <v>30260</v>
      </c>
      <c r="G37" s="95" t="n"/>
      <c r="H37" s="102" t="n"/>
      <c r="I37" s="103" t="inlineStr">
        <is>
          <t>中間ファン（防振吊）取付</t>
        </is>
      </c>
    </row>
    <row r="38">
      <c r="A38" s="46" t="inlineStr">
        <is>
          <t>FAN_PRESS</t>
        </is>
      </c>
      <c r="B38" s="95" t="n">
        <v>1500</v>
      </c>
      <c r="C38" s="178" t="n">
        <v>0.9</v>
      </c>
      <c r="D38" s="95">
        <f>ROUND(C38*LABOR_DAY,0)</f>
        <v>17100</v>
      </c>
      <c r="E38" s="95">
        <f>IF(B38="","",B38+D38)</f>
        <v>18600</v>
      </c>
      <c r="F38" s="95">
        <f>IF(E38="","",ROUND(E38*COEF,-1))</f>
        <v>22690</v>
      </c>
      <c r="G38" s="95" t="n"/>
      <c r="H38" s="102" t="n"/>
      <c r="I38" s="103" t="inlineStr">
        <is>
          <t>有圧扇＋ウェザーカバー取付</t>
        </is>
      </c>
    </row>
    <row r="39">
      <c r="A39" s="46" t="inlineStr">
        <is>
          <t>HEX_CEIL</t>
        </is>
      </c>
      <c r="B39" s="95" t="n">
        <v>2500</v>
      </c>
      <c r="C39" s="178" t="n">
        <v>1.4</v>
      </c>
      <c r="D39" s="95">
        <f>ROUND(C39*LABOR_DAY,0)</f>
        <v>26600</v>
      </c>
      <c r="E39" s="95">
        <f>IF(B39="","",B39+D39)</f>
        <v>29100</v>
      </c>
      <c r="F39" s="95">
        <f>IF(E39="","",ROUND(E39*COEF,-1))</f>
        <v>35500</v>
      </c>
      <c r="G39" s="95" t="n"/>
      <c r="H39" s="102" t="n"/>
      <c r="I39" s="103" t="inlineStr">
        <is>
          <t>全熱交換器 天井埋込（ダクト接続別）</t>
        </is>
      </c>
    </row>
    <row r="40">
      <c r="A40" s="46" t="inlineStr">
        <is>
          <t>HEX_WALL</t>
        </is>
      </c>
      <c r="B40" s="95" t="n">
        <v>500</v>
      </c>
      <c r="C40" s="178" t="n">
        <v>0.45</v>
      </c>
      <c r="D40" s="95">
        <f>ROUND(C40*LABOR_DAY,0)</f>
        <v>8550</v>
      </c>
      <c r="E40" s="95">
        <f>IF(B40="","",B40+D40)</f>
        <v>9050</v>
      </c>
      <c r="F40" s="95">
        <f>IF(E40="","",ROUND(E40*COEF,-1))</f>
        <v>11040</v>
      </c>
      <c r="G40" s="95" t="n"/>
      <c r="H40" s="102" t="n"/>
      <c r="I40" s="103" t="inlineStr">
        <is>
          <t>壁掛ロスナイ取付</t>
        </is>
      </c>
    </row>
    <row r="41">
      <c r="A41" s="46" t="inlineStr">
        <is>
          <t>CYCLE_FAN</t>
        </is>
      </c>
      <c r="B41" s="95" t="n">
        <v>300</v>
      </c>
      <c r="C41" s="178" t="n">
        <v>0.35</v>
      </c>
      <c r="D41" s="95">
        <f>ROUND(C41*LABOR_DAY,0)</f>
        <v>6650</v>
      </c>
      <c r="E41" s="95">
        <f>IF(B41="","",B41+D41)</f>
        <v>6950</v>
      </c>
      <c r="F41" s="95">
        <f>IF(E41="","",ROUND(E41*COEF,-1))</f>
        <v>8480</v>
      </c>
      <c r="G41" s="95" t="n"/>
      <c r="H41" s="102" t="n"/>
      <c r="I41" s="103" t="inlineStr">
        <is>
          <t>サイクル扇</t>
        </is>
      </c>
    </row>
    <row r="42">
      <c r="A42" s="46" t="inlineStr">
        <is>
          <t>HOOD_SUS</t>
        </is>
      </c>
      <c r="B42" s="95" t="n">
        <v>300</v>
      </c>
      <c r="C42" s="178" t="n">
        <v>0.15</v>
      </c>
      <c r="D42" s="95">
        <f>ROUND(C42*LABOR_DAY,0)</f>
        <v>2850</v>
      </c>
      <c r="E42" s="95">
        <f>IF(B42="","",B42+D42)</f>
        <v>3150</v>
      </c>
      <c r="F42" s="95">
        <f>IF(E42="","",ROUND(E42*COEF,-1))</f>
        <v>3840</v>
      </c>
      <c r="G42" s="95" t="n"/>
      <c r="H42" s="102" t="n"/>
      <c r="I42" s="103" t="inlineStr">
        <is>
          <t>SUS製フード取付（支給）</t>
        </is>
      </c>
    </row>
    <row r="43">
      <c r="A43" s="46" t="inlineStr">
        <is>
          <t>WCOVER</t>
        </is>
      </c>
      <c r="B43" s="95" t="n">
        <v>500</v>
      </c>
      <c r="C43" s="178" t="n">
        <v>0.2</v>
      </c>
      <c r="D43" s="95">
        <f>ROUND(C43*LABOR_DAY,0)</f>
        <v>3800</v>
      </c>
      <c r="E43" s="95">
        <f>IF(B43="","",B43+D43)</f>
        <v>4300</v>
      </c>
      <c r="F43" s="95">
        <f>IF(E43="","",ROUND(E43*COEF,-1))</f>
        <v>5250</v>
      </c>
      <c r="G43" s="95" t="n"/>
      <c r="H43" s="102" t="n"/>
      <c r="I43" s="103" t="inlineStr">
        <is>
          <t>ウェザーカバー取付（支給）</t>
        </is>
      </c>
    </row>
    <row r="44">
      <c r="A44" s="46" t="inlineStr">
        <is>
          <t>SD100</t>
        </is>
      </c>
      <c r="B44" s="95" t="n">
        <v>1000</v>
      </c>
      <c r="C44" s="178" t="n">
        <v>0.12</v>
      </c>
      <c r="D44" s="95">
        <f>ROUND(C44*LABOR_DAY,0)</f>
        <v>2280</v>
      </c>
      <c r="E44" s="95">
        <f>IF(B44="","",B44+D44)</f>
        <v>3280</v>
      </c>
      <c r="F44" s="95">
        <f>IF(E44="","",ROUND(E44*COEF,-1))</f>
        <v>4000</v>
      </c>
      <c r="G44" s="95" t="n"/>
      <c r="H44" s="102" t="n"/>
      <c r="I44" s="103" t="inlineStr">
        <is>
          <t>ダクト（参考実績なし・市況）</t>
        </is>
      </c>
    </row>
    <row r="45">
      <c r="A45" s="46" t="inlineStr">
        <is>
          <t>SD150</t>
        </is>
      </c>
      <c r="B45" s="95" t="n">
        <v>1400</v>
      </c>
      <c r="C45" s="178" t="n">
        <v>0.14</v>
      </c>
      <c r="D45" s="95">
        <f>ROUND(C45*LABOR_DAY,0)</f>
        <v>2660</v>
      </c>
      <c r="E45" s="95">
        <f>IF(B45="","",B45+D45)</f>
        <v>4060</v>
      </c>
      <c r="F45" s="95">
        <f>IF(E45="","",ROUND(E45*COEF,-1))</f>
        <v>4950</v>
      </c>
      <c r="G45" s="95" t="n"/>
      <c r="H45" s="102" t="n"/>
      <c r="I45" s="103" t="inlineStr"/>
    </row>
    <row r="46">
      <c r="A46" s="46" t="inlineStr">
        <is>
          <t>SD200</t>
        </is>
      </c>
      <c r="B46" s="95" t="n">
        <v>1900</v>
      </c>
      <c r="C46" s="178" t="n">
        <v>0.16</v>
      </c>
      <c r="D46" s="95">
        <f>ROUND(C46*LABOR_DAY,0)</f>
        <v>3040</v>
      </c>
      <c r="E46" s="95">
        <f>IF(B46="","",B46+D46)</f>
        <v>4940</v>
      </c>
      <c r="F46" s="95">
        <f>IF(E46="","",ROUND(E46*COEF,-1))</f>
        <v>6030</v>
      </c>
      <c r="G46" s="95" t="n"/>
      <c r="H46" s="102" t="n"/>
      <c r="I46" s="103" t="inlineStr"/>
    </row>
    <row r="47">
      <c r="A47" s="46" t="inlineStr">
        <is>
          <t>SD250</t>
        </is>
      </c>
      <c r="B47" s="95" t="n">
        <v>2600</v>
      </c>
      <c r="C47" s="178" t="n">
        <v>0.2</v>
      </c>
      <c r="D47" s="95">
        <f>ROUND(C47*LABOR_DAY,0)</f>
        <v>3800</v>
      </c>
      <c r="E47" s="95">
        <f>IF(B47="","",B47+D47)</f>
        <v>6400</v>
      </c>
      <c r="F47" s="95">
        <f>IF(E47="","",ROUND(E47*COEF,-1))</f>
        <v>7810</v>
      </c>
      <c r="G47" s="95" t="n"/>
      <c r="H47" s="102" t="n"/>
      <c r="I47" s="103" t="inlineStr"/>
    </row>
    <row r="48">
      <c r="A48" s="46" t="inlineStr">
        <is>
          <t>SD300</t>
        </is>
      </c>
      <c r="B48" s="95" t="n">
        <v>3300</v>
      </c>
      <c r="C48" s="178" t="n">
        <v>0.24</v>
      </c>
      <c r="D48" s="95">
        <f>ROUND(C48*LABOR_DAY,0)</f>
        <v>4560</v>
      </c>
      <c r="E48" s="95">
        <f>IF(B48="","",B48+D48)</f>
        <v>7860</v>
      </c>
      <c r="F48" s="95">
        <f>IF(E48="","",ROUND(E48*COEF,-1))</f>
        <v>9590</v>
      </c>
      <c r="G48" s="95" t="n"/>
      <c r="H48" s="102" t="n"/>
      <c r="I48" s="103" t="inlineStr"/>
    </row>
    <row r="49">
      <c r="A49" s="46" t="inlineStr">
        <is>
          <t>VD</t>
        </is>
      </c>
      <c r="B49" s="95" t="n">
        <v>4500</v>
      </c>
      <c r="C49" s="178" t="n">
        <v>0.25</v>
      </c>
      <c r="D49" s="95">
        <f>ROUND(C49*LABOR_DAY,0)</f>
        <v>4750</v>
      </c>
      <c r="E49" s="95">
        <f>IF(B49="","",B49+D49)</f>
        <v>9250</v>
      </c>
      <c r="F49" s="95">
        <f>IF(E49="","",ROUND(E49*COEF,-1))</f>
        <v>11290</v>
      </c>
      <c r="G49" s="95" t="n"/>
      <c r="H49" s="102" t="n"/>
      <c r="I49" s="103" t="inlineStr"/>
    </row>
    <row r="50">
      <c r="A50" s="46" t="inlineStr">
        <is>
          <t>DUCT_INS_GW</t>
        </is>
      </c>
      <c r="B50" s="95" t="n">
        <v>1100</v>
      </c>
      <c r="C50" s="178" t="n">
        <v>0.08</v>
      </c>
      <c r="D50" s="95">
        <f>ROUND(C50*LABOR_DAY,0)</f>
        <v>1520</v>
      </c>
      <c r="E50" s="95">
        <f>IF(B50="","",B50+D50)</f>
        <v>2620</v>
      </c>
      <c r="F50" s="95">
        <f>IF(E50="","",ROUND(E50*COEF,-1))</f>
        <v>3200</v>
      </c>
      <c r="G50" s="95" t="n"/>
      <c r="H50" s="102" t="n"/>
      <c r="I50" s="103" t="inlineStr">
        <is>
          <t>GW保温筒25 ALGC</t>
        </is>
      </c>
    </row>
    <row r="51">
      <c r="A51" s="46" t="inlineStr">
        <is>
          <t>DUCT_INS_RW</t>
        </is>
      </c>
      <c r="B51" s="95" t="n">
        <v>3200</v>
      </c>
      <c r="C51" s="178" t="n">
        <v>0.15</v>
      </c>
      <c r="D51" s="95">
        <f>ROUND(C51*LABOR_DAY,0)</f>
        <v>2850</v>
      </c>
      <c r="E51" s="95">
        <f>IF(B51="","",B51+D51)</f>
        <v>6050</v>
      </c>
      <c r="F51" s="95">
        <f>IF(E51="","",ROUND(E51*COEF,-1))</f>
        <v>7380</v>
      </c>
      <c r="G51" s="95" t="n"/>
      <c r="H51" s="102" t="n"/>
      <c r="I51" s="103" t="inlineStr">
        <is>
          <t>RW50＋アルミガラスクロス＋金網</t>
        </is>
      </c>
    </row>
    <row r="52">
      <c r="A52" s="46" t="inlineStr">
        <is>
          <t>GRILLE</t>
        </is>
      </c>
      <c r="B52" s="95" t="n"/>
      <c r="C52" s="178" t="n">
        <v>0.25</v>
      </c>
      <c r="D52" s="95">
        <f>ROUND(C52*LABOR_DAY,0)</f>
        <v>4750</v>
      </c>
      <c r="E52" s="95" t="str">
        <f>IF(B52="","",B52+D52)</f>
        <v/>
      </c>
      <c r="F52" s="95">
        <f>IF(E52="","",ROUND(E52*COEF,-1))</f>
        <v>0</v>
      </c>
      <c r="G52" s="95" t="n"/>
      <c r="H52" s="102" t="n"/>
      <c r="I52" s="103" t="inlineStr">
        <is>
          <t>制気口 材＋取付0.25人工</t>
        </is>
      </c>
    </row>
    <row r="53">
      <c r="A53" s="46" t="inlineStr">
        <is>
          <t>BOX</t>
        </is>
      </c>
      <c r="B53" s="95" t="n"/>
      <c r="C53" s="178" t="n">
        <v>0.3</v>
      </c>
      <c r="D53" s="95">
        <f>ROUND(C53*LABOR_DAY,0)</f>
        <v>5700</v>
      </c>
      <c r="E53" s="95" t="str">
        <f>IF(B53="","",B53+D53)</f>
        <v/>
      </c>
      <c r="F53" s="95">
        <f>IF(E53="","",ROUND(E53*COEF,-1))</f>
        <v>0</v>
      </c>
      <c r="G53" s="95" t="n">
        <v>40550</v>
      </c>
      <c r="H53" s="102">
        <f>IF(OR(G53="",F53=""),"",F53/G53)</f>
        <v>0</v>
      </c>
      <c r="I53" s="103" t="inlineStr">
        <is>
          <t>6330248-2 チャンバー700×500×500 GW内貼 40,550/個＋取付 8,100/個 → 表面積 1.9m² ≒ 17,500円/m²(原価)</t>
        </is>
      </c>
    </row>
    <row r="54">
      <c r="A54" s="46" t="inlineStr">
        <is>
          <t>FLEX</t>
        </is>
      </c>
      <c r="B54" s="95" t="n">
        <v>40000</v>
      </c>
      <c r="C54" s="178" t="n">
        <v>0.8</v>
      </c>
      <c r="D54" s="95">
        <f>ROUND(C54*LABOR_DAY,0)</f>
        <v>15200</v>
      </c>
      <c r="E54" s="95">
        <f>IF(B54="","",B54+D54)</f>
        <v>55200</v>
      </c>
      <c r="F54" s="95">
        <f>IF(E54="","",ROUND(E54*COEF,-1))</f>
        <v>67340</v>
      </c>
      <c r="G54" s="95" t="n"/>
      <c r="H54" s="102" t="n"/>
      <c r="I54" s="103" t="inlineStr"/>
    </row>
    <row r="55">
      <c r="A55" s="46" t="inlineStr">
        <is>
          <t>HOOD_KITCHEN</t>
        </is>
      </c>
      <c r="B55" s="95" t="n"/>
      <c r="C55" s="178" t="n">
        <v>2</v>
      </c>
      <c r="D55" s="95">
        <f>ROUND(C55*LABOR_DAY,0)</f>
        <v>38000</v>
      </c>
      <c r="E55" s="95" t="str">
        <f>IF(B55="","",B55+D55)</f>
        <v/>
      </c>
      <c r="F55" s="95">
        <f>IF(E55="","",ROUND(E55*COEF,-1))</f>
        <v>0</v>
      </c>
      <c r="G55" s="95" t="n"/>
      <c r="H55" s="102" t="n"/>
      <c r="I55" s="103" t="inlineStr">
        <is>
          <t>SUS厨房フード製作品（外注想定 原価=提出/1.22）</t>
        </is>
      </c>
    </row>
    <row r="56">
      <c r="A56" s="46" t="inlineStr">
        <is>
          <t>AIRFLOW_TEST</t>
        </is>
      </c>
      <c r="B56" s="95" t="n">
        <v>10000</v>
      </c>
      <c r="C56" s="178" t="n">
        <v>4</v>
      </c>
      <c r="D56" s="95">
        <f>ROUND(C56*LABOR_DAY,0)</f>
        <v>76000</v>
      </c>
      <c r="E56" s="95">
        <f>IF(B56="","",B56+D56)</f>
        <v>86000</v>
      </c>
      <c r="F56" s="95">
        <f>IF(E56="","",ROUND(E56*COEF,-1))</f>
        <v>104920</v>
      </c>
      <c r="G56" s="95" t="n"/>
      <c r="H56" s="102" t="n"/>
      <c r="I56" s="103" t="inlineStr">
        <is>
          <t>風量測定・試運転</t>
        </is>
      </c>
    </row>
    <row r="57">
      <c r="A57" s="179" t="inlineStr">
        <is>
          <t>INTAKE</t>
        </is>
      </c>
      <c r="B57" s="180" t="n">
        <v>3000</v>
      </c>
      <c r="C57" s="181" t="n">
        <v>0.1</v>
      </c>
      <c r="D57" s="180">
        <f>ROUND(C57*LABOR_DAY,0)</f>
        <v>1900</v>
      </c>
      <c r="E57" s="180">
        <f>IF(B57="","",B57+D57)</f>
        <v>4900</v>
      </c>
      <c r="F57" s="180">
        <f>IF(E57="","",ROUND(E57*COEF,-1))</f>
        <v>5980</v>
      </c>
      <c r="G57" s="180" t="n"/>
      <c r="H57" s="182" t="n"/>
      <c r="I57" s="183" t="inlineStr">
        <is>
          <t>吸気口 KS-8841PR3-SG 材＋取付</t>
        </is>
      </c>
    </row>
    <row r="59">
      <c r="A59" s="184" t="inlineStr">
        <is>
          <t>参考見積の経費構造</t>
        </is>
      </c>
    </row>
    <row r="60" ht="28" customHeight="1">
      <c r="A60" s="168" t="inlineStr">
        <is>
          <t>部門内経費</t>
        </is>
      </c>
      <c r="B60" s="185" t="inlineStr">
        <is>
          <t>消耗品及び雑材料 2.6%＋資材運搬交通費 3.5%＋現場経費 7.4% ＝ 15.7%（据付・撤去）／ 3.0%＋4.1%＋8.6% ＝ 19.0%（配管・ダクト・電気）</t>
        </is>
      </c>
    </row>
    <row r="61" ht="28" customHeight="1">
      <c r="A61" s="168" t="inlineStr">
        <is>
          <t>工事諸経費</t>
        </is>
      </c>
      <c r="B61" s="185" t="inlineStr">
        <is>
          <t>直接工事費の 5.0%</t>
        </is>
      </c>
    </row>
    <row r="62" ht="28" customHeight="1">
      <c r="A62" s="168" t="inlineStr">
        <is>
          <t>出精値引</t>
        </is>
      </c>
      <c r="B62" s="185" t="inlineStr">
        <is>
          <t>6330247-1 18.4%／6330248-2 35.1%／6330284-1 14.8%／6330539 26.8%／6330549 22.3%／6330558 12.0%／6330476-3 9.9%／6330344-1 24.9%</t>
        </is>
      </c>
    </row>
    <row r="63" ht="28" customHeight="1">
      <c r="A63" s="168" t="inlineStr">
        <is>
          <t>法定福利費</t>
        </is>
      </c>
      <c r="B63" s="185" t="inlineStr">
        <is>
          <t>労務費×16.04%（金額内含で注記）。当社は別項目で 16.375%（令和8年度）</t>
        </is>
      </c>
    </row>
    <row r="64" ht="28" customHeight="1">
      <c r="A64" s="168" t="inlineStr">
        <is>
          <t>据付単価</t>
        </is>
      </c>
      <c r="B64" s="185" t="inlineStr">
        <is>
          <t>搬入据付 21,700/台（6330476-3 11台）・27,860/台（6330558 VRV）・25,000/台（6330284-1 GHP 24台）・12,500/組（6330539 RA）・12,900/台（6330344-1 天吊）</t>
        </is>
      </c>
    </row>
    <row r="65" ht="28" customHeight="1">
      <c r="A65" s="168" t="inlineStr">
        <is>
          <t>配管</t>
        </is>
      </c>
      <c r="B65" s="185" t="inlineStr">
        <is>
          <t>冷媒 9.52+15.88 4,025/m・9.52+25.40 5,475・12.70+25.40 5,675（10t×2）、ペアコイル 6.35+9.52 988、VP25 313/m・VP13 138/m、配管工費 4.6〜5 m/人工（冷媒）・9〜12 m/人工（塩ビ）</t>
        </is>
      </c>
    </row>
    <row r="66" ht="28" customHeight="1">
      <c r="A66" s="168" t="inlineStr">
        <is>
          <t>その他</t>
        </is>
      </c>
      <c r="B66" s="185" t="inlineStr">
        <is>
          <t>リモコン配線 9,630/系統、試運転 10,000〜12,500/系統、気密 15,000〜25,000、真空引き 3,750〜5,640、揚重 93,750〜337,500/式、撤去 18,000〜19,500/台、冷媒回収 18,750〜31,250/式、VVF 203/m・電線施工 約500/m</t>
        </is>
      </c>
    </row>
  </sheetData>
  <mergeCells count="7">
    <mergeCell ref="B62:I62"/>
    <mergeCell ref="B64:I64"/>
    <mergeCell ref="B60:I60"/>
    <mergeCell ref="B66:I66"/>
    <mergeCell ref="B63:I63"/>
    <mergeCell ref="B61:I61"/>
    <mergeCell ref="B65:I65"/>
  </mergeCells>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宮地機工株式会社</dc:creator>
  <dc:title>御見積書 （仮称）サンフレッチェ広島　三矢寮新築工事　空調設備工事 空調工事</dc:title>
  <dcterms:created xsi:type="dcterms:W3CDTF">2026-10-06T04:20:34Z</dcterms:created>
  <dcterms:modified xsi:type="dcterms:W3CDTF">2026-10-06T04:20:35Z</dcterms:modified>
</cp:coreProperties>
</file>