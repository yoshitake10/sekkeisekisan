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条件" sheetId="1" state="visible" r:id="rId1"/>
    <sheet name="見積内訳書" sheetId="2" state="visible" r:id="rId2"/>
    <sheet name="明細" sheetId="3" state="visible" r:id="rId3"/>
    <sheet name="数量拾い根拠" sheetId="4" state="visible" r:id="rId4"/>
    <sheet name="単価仮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#,##0;[Red]-#,##0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</font>
    <font>
      <name val="Meiryo UI"/>
      <b val="1"/>
    </font>
    <font>
      <name val="Meiryo UI"/>
      <b val="1"/>
      <color rgb="00C00000"/>
    </font>
    <font>
      <name val="Meiryo UI"/>
      <color rgb="00C0000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165" fontId="3" fillId="2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4" fillId="2" borderId="1" pivotButton="0" quotePrefix="0" xfId="0"/>
    <xf numFmtId="165" fontId="4" fillId="2" borderId="1" pivotButton="0" quotePrefix="0" xfId="0"/>
    <xf numFmtId="0" fontId="5" fillId="0" borderId="1" pivotButton="0" quotePrefix="0" xfId="0"/>
    <xf numFmtId="165" fontId="5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3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5" fontId="3" fillId="4" borderId="1" pivotButton="0" quotePrefix="0" xfId="0"/>
    <xf numFmtId="0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4" fillId="4" borderId="1" pivotButton="0" quotePrefix="0" xfId="0"/>
    <xf numFmtId="0" fontId="2" fillId="0" borderId="1" applyAlignment="1" pivotButton="0" quotePrefix="0" xfId="0">
      <alignment horizontal="right" vertical="center"/>
    </xf>
    <xf numFmtId="0" fontId="4" fillId="2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3" fillId="3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1" ht="28" customHeight="1">
      <c r="B1" s="1" t="inlineStr">
        <is>
          <t>御 見 積 書</t>
        </is>
      </c>
      <c r="C1" s="2" t="inlineStr"/>
    </row>
    <row r="2">
      <c r="B2" s="3" t="inlineStr"/>
      <c r="C2" s="2" t="inlineStr"/>
    </row>
    <row r="3">
      <c r="B3" s="3" t="inlineStr">
        <is>
          <t>工事名称</t>
        </is>
      </c>
      <c r="C3" s="2" t="inlineStr">
        <is>
          <t>（仮称）サンフレッチェ広島 三矢寮新築工事</t>
        </is>
      </c>
    </row>
    <row r="4">
      <c r="B4" s="3" t="inlineStr">
        <is>
          <t>工事場所</t>
        </is>
      </c>
      <c r="C4" s="2" t="inlineStr">
        <is>
          <t>広島県安芸高田市吉田町西浦字日南山835-27</t>
        </is>
      </c>
    </row>
    <row r="5">
      <c r="B5" s="3" t="inlineStr">
        <is>
          <t>見積範囲</t>
        </is>
      </c>
      <c r="C5" s="2" t="inlineStr">
        <is>
          <t>機械設備工事のうち 空調設備工事（空気調和設備・換気設備）</t>
        </is>
      </c>
    </row>
    <row r="6">
      <c r="B6" s="3" t="inlineStr">
        <is>
          <t>設計図書</t>
        </is>
      </c>
      <c r="C6" s="2" t="inlineStr">
        <is>
          <t>ベース: 機械設備図 06（若本建築事務所 '26.1.31 図面No.機械1～36）／追加: 金額変更案検討図 08（No1～6のうち空調換気に係る No3・4 ロスナイ中止、No5・6 空調追加）</t>
        </is>
      </c>
    </row>
    <row r="7">
      <c r="B7" s="3" t="inlineStr">
        <is>
          <t>工期(参考)</t>
        </is>
      </c>
      <c r="C7" s="2" t="inlineStr">
        <is>
          <t>2026年5月1日～2027年2月15日（詳細工程表 2026.8.18 共栄店舗）</t>
        </is>
      </c>
    </row>
    <row r="8">
      <c r="B8" s="3" t="inlineStr">
        <is>
          <t>見積作成日</t>
        </is>
      </c>
      <c r="C8" s="2" t="inlineStr">
        <is>
          <t>2026年10月5日</t>
        </is>
      </c>
    </row>
    <row r="9">
      <c r="B9" s="3" t="inlineStr"/>
      <c r="C9" s="2" t="inlineStr"/>
    </row>
    <row r="10">
      <c r="B10" s="4" t="inlineStr">
        <is>
          <t>■ 前提条件</t>
        </is>
      </c>
      <c r="C10" s="2" t="inlineStr"/>
    </row>
    <row r="11">
      <c r="B11" s="3" t="inlineStr">
        <is>
          <t>1. 機器</t>
        </is>
      </c>
      <c r="C11" s="2" t="inlineStr">
        <is>
          <t>空調・換気機器（室内機・室外機・リモコン・換気扇・全熱交換器・屋外機架台・ドレンアップ等 機器表記載の本体および付属品）は元請支給とし、本見積には機器費を含みません。据付労務・据付用副資材・配管・ダクト・保温・試運転調整のみ計上しています。</t>
        </is>
      </c>
    </row>
    <row r="12">
      <c r="B12" s="3" t="inlineStr">
        <is>
          <t>2. 工事区分</t>
        </is>
      </c>
      <c r="C12" s="2" t="inlineStr">
        <is>
          <t>機器の電源供給（電源配線・接地）は電気工事。機器付属の制御盤およびリモコン制御の配管・配線（工事区分表「機械」）は本工事。基礎・躯体貫通穴明け・スリーブ穴埋め・天井点検口は建築工事（工事区分表による）。</t>
        </is>
      </c>
    </row>
    <row r="13">
      <c r="B13" s="3" t="inlineStr">
        <is>
          <t>3. 数量</t>
        </is>
      </c>
      <c r="C13" s="2" t="inlineStr">
        <is>
          <t>数量は図面から拾い出した値です。PDF図面のベクトルデータから配管・ダクト線の平面延長を機械的に計測した値を「実測」、図面に表記のない立上り・立下り・機器接続部・配管経路未記載部（追AC）を経験則で推定した値を「推測」として明細の「根拠」欄に区分しています。台数は「図面カウント」としています。</t>
        </is>
      </c>
    </row>
    <row r="14">
      <c r="B14" s="3" t="inlineStr">
        <is>
          <t>4. 朱書き</t>
        </is>
      </c>
      <c r="C14" s="2" t="inlineStr">
        <is>
          <t>図面08（金額変更案検討図）に基づく追加・変更項目は明細で赤字（区分「08」）で表示しています。ロスナイ中止はベース計上分の減額と代替機器の計上を併記しています。</t>
        </is>
      </c>
    </row>
    <row r="15">
      <c r="B15" s="3" t="inlineStr">
        <is>
          <t>5. 単価</t>
        </is>
      </c>
      <c r="C15" s="2" t="inlineStr">
        <is>
          <t>単価は本見積作成用の仮単価（材工共・税抜）です。「単価仮定」シートを参照のうえ、自社の複合単価・実勢価格に置き換えてご使用ください。</t>
        </is>
      </c>
    </row>
    <row r="16">
      <c r="B16" s="3" t="inlineStr">
        <is>
          <t>6. 除外</t>
        </is>
      </c>
      <c r="C16" s="2" t="inlineStr">
        <is>
          <t>電気工事（電源・接地・インバータ盤）、基礎・躯体工事、天井点検口、衛生・消火・ガス・浄化槽設備、自動制御設備（特記 ○）、共通仮設、産廃処分費（諸経費に含むものとする）。</t>
        </is>
      </c>
    </row>
    <row r="17">
      <c r="B17" s="3" t="inlineStr">
        <is>
          <t>7. 要確認事項</t>
        </is>
      </c>
      <c r="C17" s="2" t="inlineStr">
        <is>
          <t>①冷媒管 被覆銅管の仕様（特記仕様書は脱酸銅管/被覆銅管とも未選択、管種凡例は被覆銅管）。②ドレン管保温の要否（特記 保温表は空欄）。③厨房フード①～④の工事区分（機械図 フードリストに記載）。④追AC トリプル用分岐管の支給範囲。⑤ロスナイ中止後の OA 側ダクト・制気口の扱い（本見積では自然給気として図示どおり残置）。⑥吸気口 KS-8841PR3-SG の支給有無。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60" customWidth="1" min="4" max="4"/>
  </cols>
  <sheetData>
    <row r="1">
      <c r="A1" s="1" t="inlineStr">
        <is>
          <t>見 積 内 訳 書　（仮称）サンフレッチェ広島 三矢寮新築工事　空調設備工事（機器元請支給）</t>
        </is>
      </c>
    </row>
    <row r="3">
      <c r="A3" s="5" t="inlineStr">
        <is>
          <t>項目</t>
        </is>
      </c>
      <c r="B3" s="5" t="inlineStr">
        <is>
          <t>名称</t>
        </is>
      </c>
      <c r="C3" s="5" t="inlineStr">
        <is>
          <t>金額(円)</t>
        </is>
      </c>
      <c r="D3" s="5" t="inlineStr">
        <is>
          <t>備考</t>
        </is>
      </c>
    </row>
    <row r="4">
      <c r="A4" s="6" t="inlineStr">
        <is>
          <t>A</t>
        </is>
      </c>
      <c r="B4" s="6" t="inlineStr">
        <is>
          <t>空調設備工事（ベース図面06）</t>
        </is>
      </c>
      <c r="C4" s="7">
        <f>明細!H58</f>
        <v>9891800</v>
      </c>
      <c r="D4" s="6" t="inlineStr"/>
    </row>
    <row r="5">
      <c r="A5" s="8" t="inlineStr">
        <is>
          <t>A-1</t>
        </is>
      </c>
      <c r="B5" s="8" t="inlineStr">
        <is>
          <t xml:space="preserve">　空調機器据付（機器元請支給）</t>
        </is>
      </c>
      <c r="C5" s="9">
        <f>明細!H28</f>
        <v>3723000</v>
      </c>
      <c r="D5" s="8" t="n"/>
    </row>
    <row r="6">
      <c r="A6" s="8" t="inlineStr">
        <is>
          <t>A-2</t>
        </is>
      </c>
      <c r="B6" s="8" t="inlineStr">
        <is>
          <t xml:space="preserve">　冷媒配管</t>
        </is>
      </c>
      <c r="C6" s="9">
        <f>明細!H40</f>
        <v>4195400</v>
      </c>
      <c r="D6" s="8" t="n"/>
    </row>
    <row r="7">
      <c r="A7" s="8" t="inlineStr">
        <is>
          <t>A-3</t>
        </is>
      </c>
      <c r="B7" s="8" t="inlineStr">
        <is>
          <t xml:space="preserve">　ドレン配管</t>
        </is>
      </c>
      <c r="C7" s="9">
        <f>明細!H48</f>
        <v>1158400</v>
      </c>
      <c r="D7" s="8" t="n"/>
    </row>
    <row r="8">
      <c r="A8" s="8" t="inlineStr">
        <is>
          <t>A-4</t>
        </is>
      </c>
      <c r="B8" s="8" t="inlineStr">
        <is>
          <t xml:space="preserve">　付帯工事・試運転</t>
        </is>
      </c>
      <c r="C8" s="9">
        <f>明細!H57</f>
        <v>815000</v>
      </c>
      <c r="D8" s="8" t="n"/>
    </row>
    <row r="9">
      <c r="A9" s="6" t="inlineStr">
        <is>
          <t>B</t>
        </is>
      </c>
      <c r="B9" s="6" t="inlineStr">
        <is>
          <t>換気設備工事（ベース図面06）</t>
        </is>
      </c>
      <c r="C9" s="7">
        <f>明細!H152</f>
        <v>9065000</v>
      </c>
      <c r="D9" s="6" t="inlineStr"/>
    </row>
    <row r="10">
      <c r="A10" s="8" t="inlineStr">
        <is>
          <t>B-1</t>
        </is>
      </c>
      <c r="B10" s="8" t="inlineStr">
        <is>
          <t xml:space="preserve">　換気機器据付（機器元請支給）</t>
        </is>
      </c>
      <c r="C10" s="9">
        <f>明細!H101</f>
        <v>2247000</v>
      </c>
      <c r="D10" s="8" t="n"/>
    </row>
    <row r="11">
      <c r="A11" s="8" t="inlineStr">
        <is>
          <t>B-2</t>
        </is>
      </c>
      <c r="B11" s="8" t="inlineStr">
        <is>
          <t xml:space="preserve">　ダクト工事</t>
        </is>
      </c>
      <c r="C11" s="9">
        <f>明細!H116</f>
        <v>2732500</v>
      </c>
      <c r="D11" s="8" t="n"/>
    </row>
    <row r="12">
      <c r="A12" s="8" t="inlineStr">
        <is>
          <t>B-3</t>
        </is>
      </c>
      <c r="B12" s="8" t="inlineStr">
        <is>
          <t xml:space="preserve">　ダクト保温</t>
        </is>
      </c>
      <c r="C12" s="9">
        <f>明細!H120</f>
        <v>570500</v>
      </c>
      <c r="D12" s="8" t="n"/>
    </row>
    <row r="13">
      <c r="A13" s="8" t="inlineStr">
        <is>
          <t>B-4</t>
        </is>
      </c>
      <c r="B13" s="8" t="inlineStr">
        <is>
          <t xml:space="preserve">　制気口・ボックス</t>
        </is>
      </c>
      <c r="C13" s="9">
        <f>明細!H141</f>
        <v>1369000</v>
      </c>
      <c r="D13" s="8" t="n"/>
    </row>
    <row r="14">
      <c r="A14" s="8" t="inlineStr">
        <is>
          <t>B-5</t>
        </is>
      </c>
      <c r="B14" s="8" t="inlineStr">
        <is>
          <t xml:space="preserve">　フード類・その他</t>
        </is>
      </c>
      <c r="C14" s="9">
        <f>明細!H151</f>
        <v>2146000</v>
      </c>
      <c r="D14" s="8" t="n"/>
    </row>
    <row r="15">
      <c r="A15" s="10" t="inlineStr">
        <is>
          <t>C</t>
        </is>
      </c>
      <c r="B15" s="10" t="inlineStr">
        <is>
          <t>金額変更案（図面08 朱書き）</t>
        </is>
      </c>
      <c r="C15" s="11">
        <f>明細!H198</f>
        <v>4784500</v>
      </c>
      <c r="D15" s="10" t="inlineStr">
        <is>
          <t>図面08 金額変更案に基づく追加・減額（朱書き）</t>
        </is>
      </c>
    </row>
    <row r="16">
      <c r="A16" s="12" t="inlineStr">
        <is>
          <t>C-1</t>
        </is>
      </c>
      <c r="B16" s="12" t="inlineStr">
        <is>
          <t xml:space="preserve">　No3・4 ロスナイ中止（減額・代替）</t>
        </is>
      </c>
      <c r="C16" s="13">
        <f>明細!H169</f>
        <v>406000</v>
      </c>
      <c r="D16" s="12" t="n"/>
    </row>
    <row r="17">
      <c r="A17" s="12" t="inlineStr">
        <is>
          <t>C-2</t>
        </is>
      </c>
      <c r="B17" s="12" t="inlineStr">
        <is>
          <t xml:space="preserve">　No5・6 空調追加</t>
        </is>
      </c>
      <c r="C17" s="13">
        <f>明細!H197</f>
        <v>4378500</v>
      </c>
      <c r="D17" s="12" t="n"/>
    </row>
    <row r="19">
      <c r="A19" s="6" t="n"/>
      <c r="B19" s="6" t="inlineStr">
        <is>
          <t>直接工事費 計（A＋B＋C）</t>
        </is>
      </c>
      <c r="C19" s="7">
        <f>C4+C9+C15</f>
        <v>23741300</v>
      </c>
      <c r="D19" s="6" t="n"/>
    </row>
    <row r="20">
      <c r="A20" s="14" t="n"/>
      <c r="B20" s="14" t="inlineStr">
        <is>
          <t xml:space="preserve">　うち ベース（A＋B）</t>
        </is>
      </c>
      <c r="C20" s="15">
        <f>C4+C9</f>
        <v>18956800</v>
      </c>
      <c r="D20" s="14" t="n"/>
    </row>
    <row r="21">
      <c r="A21" s="14" t="n"/>
      <c r="B21" s="12" t="inlineStr">
        <is>
          <t xml:space="preserve">　うち 金額変更案（C）</t>
        </is>
      </c>
      <c r="C21" s="13">
        <f>C15</f>
        <v>4784500</v>
      </c>
      <c r="D21" s="14" t="n"/>
    </row>
    <row r="22">
      <c r="A22" s="14" t="n"/>
      <c r="B22" s="14" t="inlineStr">
        <is>
          <t>法定福利費（労務費率50%×16.3% と仮定）</t>
        </is>
      </c>
      <c r="C22" s="15">
        <f>ROUND(C19*0.5*0.163,0)</f>
        <v>1934916</v>
      </c>
      <c r="D22" s="14" t="inlineStr">
        <is>
          <t>仮定値。自社の算定方法に置換のこと</t>
        </is>
      </c>
    </row>
    <row r="23">
      <c r="A23" s="14" t="n"/>
      <c r="B23" s="14" t="inlineStr">
        <is>
          <t>諸経費（現場管理費・一般管理費 12% と仮定）</t>
        </is>
      </c>
      <c r="C23" s="15">
        <f>ROUND(C19*0.12,0)</f>
        <v>2848956</v>
      </c>
      <c r="D23" s="14" t="inlineStr">
        <is>
          <t>仮定値</t>
        </is>
      </c>
    </row>
    <row r="24">
      <c r="A24" s="6" t="n"/>
      <c r="B24" s="6" t="inlineStr">
        <is>
          <t>見積金額（税抜）</t>
        </is>
      </c>
      <c r="C24" s="7">
        <f>C19+C22+C23</f>
        <v>28525172</v>
      </c>
      <c r="D24" s="6" t="n"/>
    </row>
    <row r="25">
      <c r="A25" s="14" t="n"/>
      <c r="B25" s="14" t="inlineStr">
        <is>
          <t>消費税（10%）</t>
        </is>
      </c>
      <c r="C25" s="15">
        <f>ROUND(C24*0.1,0)</f>
        <v>2852517</v>
      </c>
      <c r="D25" s="14" t="n"/>
    </row>
    <row r="26">
      <c r="A26" s="6" t="n"/>
      <c r="B26" s="6" t="inlineStr">
        <is>
          <t>見積金額（税込）</t>
        </is>
      </c>
      <c r="C26" s="7">
        <f>C24+C25</f>
        <v>31377689</v>
      </c>
      <c r="D2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8" customWidth="1" min="3" max="3"/>
    <col width="60" customWidth="1" min="4" max="4"/>
    <col width="9" customWidth="1" min="5" max="5"/>
    <col width="6" customWidth="1" min="6" max="6"/>
    <col width="11" customWidth="1" min="7" max="7"/>
    <col width="14" customWidth="1" min="8" max="8"/>
    <col width="11" customWidth="1" min="9" max="9"/>
    <col width="50" customWidth="1" min="10" max="10"/>
  </cols>
  <sheetData>
    <row r="1">
      <c r="A1" s="5" t="inlineStr">
        <is>
          <t>区分</t>
        </is>
      </c>
      <c r="B1" s="5" t="inlineStr">
        <is>
          <t>項目</t>
        </is>
      </c>
      <c r="C1" s="5" t="inlineStr">
        <is>
          <t>名称</t>
        </is>
      </c>
      <c r="D1" s="5" t="inlineStr">
        <is>
          <t>規格・仕様</t>
        </is>
      </c>
      <c r="E1" s="5" t="inlineStr">
        <is>
          <t>数量</t>
        </is>
      </c>
      <c r="F1" s="5" t="inlineStr">
        <is>
          <t>単位</t>
        </is>
      </c>
      <c r="G1" s="5" t="inlineStr">
        <is>
          <t>単価(円)</t>
        </is>
      </c>
      <c r="H1" s="5" t="inlineStr">
        <is>
          <t>金額(円)</t>
        </is>
      </c>
      <c r="I1" s="5" t="inlineStr">
        <is>
          <t>根拠</t>
        </is>
      </c>
      <c r="J1" s="5" t="inlineStr">
        <is>
          <t>備考</t>
        </is>
      </c>
    </row>
    <row r="2">
      <c r="A2" s="6" t="inlineStr">
        <is>
          <t>A</t>
        </is>
      </c>
      <c r="B2" s="6" t="inlineStr"/>
      <c r="C2" s="6" t="inlineStr">
        <is>
          <t>空調設備工事（ベース図面06）</t>
        </is>
      </c>
      <c r="D2" s="6" t="n"/>
      <c r="E2" s="6" t="n"/>
      <c r="F2" s="6" t="n"/>
      <c r="G2" s="6" t="n"/>
      <c r="H2" s="6" t="n"/>
      <c r="I2" s="6" t="n"/>
      <c r="J2" s="6" t="n"/>
    </row>
    <row r="3">
      <c r="A3" s="16" t="n"/>
      <c r="B3" s="16" t="inlineStr">
        <is>
          <t>A-1</t>
        </is>
      </c>
      <c r="C3" s="16" t="inlineStr">
        <is>
          <t>空調機器据付（機器元請支給）</t>
        </is>
      </c>
      <c r="D3" s="16" t="n"/>
      <c r="E3" s="16" t="n"/>
      <c r="F3" s="16" t="n"/>
      <c r="G3" s="16" t="n"/>
      <c r="H3" s="16" t="n"/>
      <c r="I3" s="16" t="n"/>
      <c r="J3" s="16" t="n"/>
    </row>
    <row r="4">
      <c r="A4" s="17" t="inlineStr">
        <is>
          <t>06</t>
        </is>
      </c>
      <c r="B4" s="17" t="inlineStr"/>
      <c r="C4" s="18" t="inlineStr">
        <is>
          <t>AC-1 室内機 据付</t>
        </is>
      </c>
      <c r="D4" s="18" t="inlineStr">
        <is>
          <t>4方向天井カセット ツイン子機 PA-P280U7HDNB(10HP) 1F食堂・ﾐｰﾃｨﾝｸﾞ・ﾄﾚｰﾆﾝｸﾞ・ﾎｰﾙ</t>
        </is>
      </c>
      <c r="E4" s="19" t="n">
        <v>8</v>
      </c>
      <c r="F4" s="17" t="inlineStr">
        <is>
          <t>台</t>
        </is>
      </c>
      <c r="G4" s="20" t="n">
        <v>55000</v>
      </c>
      <c r="H4" s="21">
        <f>ROUND(E4*G4,0)</f>
        <v>440000</v>
      </c>
      <c r="I4" s="17" t="inlineStr">
        <is>
          <t>図面カウント</t>
        </is>
      </c>
      <c r="J4" s="18" t="inlineStr">
        <is>
          <t>4系統×2台 空調平面図1F</t>
        </is>
      </c>
    </row>
    <row r="5">
      <c r="A5" s="17" t="inlineStr">
        <is>
          <t>06</t>
        </is>
      </c>
      <c r="B5" s="17" t="inlineStr"/>
      <c r="C5" s="18" t="inlineStr">
        <is>
          <t>AC-1 室外機 据付</t>
        </is>
      </c>
      <c r="D5" s="18" t="inlineStr">
        <is>
          <t>10HP 屋外機架台(支給)上 1F地上</t>
        </is>
      </c>
      <c r="E5" s="19" t="n">
        <v>4</v>
      </c>
      <c r="F5" s="17" t="inlineStr">
        <is>
          <t>台</t>
        </is>
      </c>
      <c r="G5" s="20" t="n">
        <v>50000</v>
      </c>
      <c r="H5" s="21">
        <f>ROUND(E5*G5,0)</f>
        <v>200000</v>
      </c>
      <c r="I5" s="17" t="inlineStr">
        <is>
          <t>図面カウント</t>
        </is>
      </c>
      <c r="J5" s="18" t="inlineStr">
        <is>
          <t>基礎は建築工事</t>
        </is>
      </c>
    </row>
    <row r="6">
      <c r="A6" s="17" t="inlineStr">
        <is>
          <t>06</t>
        </is>
      </c>
      <c r="B6" s="17" t="inlineStr"/>
      <c r="C6" s="18" t="inlineStr">
        <is>
          <t>AC-2 室内機 据付</t>
        </is>
      </c>
      <c r="D6" s="18" t="inlineStr">
        <is>
          <t>4方向天井カセット ツイン子機 PA-P224U7HDNB(8HP) コーチルーム</t>
        </is>
      </c>
      <c r="E6" s="19" t="n">
        <v>2</v>
      </c>
      <c r="F6" s="17" t="inlineStr">
        <is>
          <t>台</t>
        </is>
      </c>
      <c r="G6" s="20" t="n">
        <v>55000</v>
      </c>
      <c r="H6" s="21">
        <f>ROUND(E6*G6,0)</f>
        <v>110000</v>
      </c>
      <c r="I6" s="17" t="inlineStr">
        <is>
          <t>図面カウント</t>
        </is>
      </c>
      <c r="J6" s="18" t="inlineStr"/>
    </row>
    <row r="7">
      <c r="A7" s="17" t="inlineStr">
        <is>
          <t>06</t>
        </is>
      </c>
      <c r="B7" s="17" t="inlineStr"/>
      <c r="C7" s="18" t="inlineStr">
        <is>
          <t>AC-2 室外機 据付</t>
        </is>
      </c>
      <c r="D7" s="18" t="inlineStr">
        <is>
          <t>8HP</t>
        </is>
      </c>
      <c r="E7" s="19" t="n">
        <v>1</v>
      </c>
      <c r="F7" s="17" t="inlineStr">
        <is>
          <t>台</t>
        </is>
      </c>
      <c r="G7" s="20" t="n">
        <v>50000</v>
      </c>
      <c r="H7" s="21">
        <f>ROUND(E7*G7,0)</f>
        <v>50000</v>
      </c>
      <c r="I7" s="17" t="inlineStr">
        <is>
          <t>図面カウント</t>
        </is>
      </c>
      <c r="J7" s="18" t="inlineStr"/>
    </row>
    <row r="8">
      <c r="A8" s="17" t="inlineStr">
        <is>
          <t>06</t>
        </is>
      </c>
      <c r="B8" s="17" t="inlineStr"/>
      <c r="C8" s="18" t="inlineStr">
        <is>
          <t>AC-3 室内機 据付</t>
        </is>
      </c>
      <c r="D8" s="18" t="inlineStr">
        <is>
          <t>4方向天井カセット ツイン子機 (4HP) 脱衣室</t>
        </is>
      </c>
      <c r="E8" s="19" t="n">
        <v>2</v>
      </c>
      <c r="F8" s="17" t="inlineStr">
        <is>
          <t>台</t>
        </is>
      </c>
      <c r="G8" s="20" t="n">
        <v>45000</v>
      </c>
      <c r="H8" s="21">
        <f>ROUND(E8*G8,0)</f>
        <v>90000</v>
      </c>
      <c r="I8" s="17" t="inlineStr">
        <is>
          <t>図面カウント</t>
        </is>
      </c>
      <c r="J8" s="18" t="inlineStr"/>
    </row>
    <row r="9">
      <c r="A9" s="17" t="inlineStr">
        <is>
          <t>06</t>
        </is>
      </c>
      <c r="B9" s="17" t="inlineStr"/>
      <c r="C9" s="18" t="inlineStr">
        <is>
          <t>AC-3 室外機 据付</t>
        </is>
      </c>
      <c r="D9" s="18" t="inlineStr">
        <is>
          <t>4HP 物干場側</t>
        </is>
      </c>
      <c r="E9" s="19" t="n">
        <v>1</v>
      </c>
      <c r="F9" s="17" t="inlineStr">
        <is>
          <t>台</t>
        </is>
      </c>
      <c r="G9" s="20" t="n">
        <v>35000</v>
      </c>
      <c r="H9" s="21">
        <f>ROUND(E9*G9,0)</f>
        <v>35000</v>
      </c>
      <c r="I9" s="17" t="inlineStr">
        <is>
          <t>図面カウント</t>
        </is>
      </c>
      <c r="J9" s="18" t="inlineStr"/>
    </row>
    <row r="10">
      <c r="A10" s="17" t="inlineStr">
        <is>
          <t>06</t>
        </is>
      </c>
      <c r="B10" s="17" t="inlineStr"/>
      <c r="C10" s="18" t="inlineStr">
        <is>
          <t>AC-5 室内機 据付</t>
        </is>
      </c>
      <c r="D10" s="18" t="inlineStr">
        <is>
          <t>4方向天井カセット PA-P56U7HNB(2HP) ケア室・管理人室</t>
        </is>
      </c>
      <c r="E10" s="19" t="n">
        <v>2</v>
      </c>
      <c r="F10" s="17" t="inlineStr">
        <is>
          <t>台</t>
        </is>
      </c>
      <c r="G10" s="20" t="n">
        <v>45000</v>
      </c>
      <c r="H10" s="21">
        <f>ROUND(E10*G10,0)</f>
        <v>90000</v>
      </c>
      <c r="I10" s="17" t="inlineStr">
        <is>
          <t>図面カウント</t>
        </is>
      </c>
      <c r="J10" s="18" t="inlineStr"/>
    </row>
    <row r="11">
      <c r="A11" s="17" t="inlineStr">
        <is>
          <t>06</t>
        </is>
      </c>
      <c r="B11" s="17" t="inlineStr"/>
      <c r="C11" s="18" t="inlineStr">
        <is>
          <t>AC-5 室外機 据付</t>
        </is>
      </c>
      <c r="D11" s="18" t="inlineStr">
        <is>
          <t>2HP</t>
        </is>
      </c>
      <c r="E11" s="19" t="n">
        <v>2</v>
      </c>
      <c r="F11" s="17" t="inlineStr">
        <is>
          <t>台</t>
        </is>
      </c>
      <c r="G11" s="20" t="n">
        <v>35000</v>
      </c>
      <c r="H11" s="21">
        <f>ROUND(E11*G11,0)</f>
        <v>70000</v>
      </c>
      <c r="I11" s="17" t="inlineStr">
        <is>
          <t>図面カウント</t>
        </is>
      </c>
      <c r="J11" s="18" t="inlineStr"/>
    </row>
    <row r="12">
      <c r="A12" s="17" t="inlineStr">
        <is>
          <t>06</t>
        </is>
      </c>
      <c r="B12" s="17" t="inlineStr"/>
      <c r="C12" s="18" t="inlineStr">
        <is>
          <t>AC-6 室内機 据付</t>
        </is>
      </c>
      <c r="D12" s="18" t="inlineStr">
        <is>
          <t>天吊形厨房用 PA-P140V7HNB(5HP) 厨房</t>
        </is>
      </c>
      <c r="E12" s="19" t="n">
        <v>1</v>
      </c>
      <c r="F12" s="17" t="inlineStr">
        <is>
          <t>台</t>
        </is>
      </c>
      <c r="G12" s="20" t="n">
        <v>50000</v>
      </c>
      <c r="H12" s="21">
        <f>ROUND(E12*G12,0)</f>
        <v>50000</v>
      </c>
      <c r="I12" s="17" t="inlineStr">
        <is>
          <t>図面カウント</t>
        </is>
      </c>
      <c r="J12" s="18" t="inlineStr"/>
    </row>
    <row r="13">
      <c r="A13" s="17" t="inlineStr">
        <is>
          <t>06</t>
        </is>
      </c>
      <c r="B13" s="17" t="inlineStr"/>
      <c r="C13" s="18" t="inlineStr">
        <is>
          <t>AC-6 室外機 据付</t>
        </is>
      </c>
      <c r="D13" s="18" t="inlineStr">
        <is>
          <t>5HP</t>
        </is>
      </c>
      <c r="E13" s="19" t="n">
        <v>1</v>
      </c>
      <c r="F13" s="17" t="inlineStr">
        <is>
          <t>台</t>
        </is>
      </c>
      <c r="G13" s="20" t="n">
        <v>35000</v>
      </c>
      <c r="H13" s="21">
        <f>ROUND(E13*G13,0)</f>
        <v>35000</v>
      </c>
      <c r="I13" s="17" t="inlineStr">
        <is>
          <t>図面カウント</t>
        </is>
      </c>
      <c r="J13" s="18" t="inlineStr"/>
    </row>
    <row r="14">
      <c r="A14" s="17" t="inlineStr">
        <is>
          <t>06</t>
        </is>
      </c>
      <c r="B14" s="17" t="inlineStr"/>
      <c r="C14" s="18" t="inlineStr">
        <is>
          <t>AC-7 室内機 据付</t>
        </is>
      </c>
      <c r="D14" s="18" t="inlineStr">
        <is>
          <t>2方向天井カセット PA-P50L7HNB(1.8HP) 面談室</t>
        </is>
      </c>
      <c r="E14" s="19" t="n">
        <v>1</v>
      </c>
      <c r="F14" s="17" t="inlineStr">
        <is>
          <t>台</t>
        </is>
      </c>
      <c r="G14" s="20" t="n">
        <v>45000</v>
      </c>
      <c r="H14" s="21">
        <f>ROUND(E14*G14,0)</f>
        <v>45000</v>
      </c>
      <c r="I14" s="17" t="inlineStr">
        <is>
          <t>図面カウント</t>
        </is>
      </c>
      <c r="J14" s="18" t="inlineStr"/>
    </row>
    <row r="15">
      <c r="A15" s="17" t="inlineStr">
        <is>
          <t>06</t>
        </is>
      </c>
      <c r="B15" s="17" t="inlineStr"/>
      <c r="C15" s="18" t="inlineStr">
        <is>
          <t>AC-7 室外機 据付</t>
        </is>
      </c>
      <c r="D15" s="18" t="inlineStr">
        <is>
          <t>1.8HP</t>
        </is>
      </c>
      <c r="E15" s="19" t="n">
        <v>1</v>
      </c>
      <c r="F15" s="17" t="inlineStr">
        <is>
          <t>台</t>
        </is>
      </c>
      <c r="G15" s="20" t="n">
        <v>35000</v>
      </c>
      <c r="H15" s="21">
        <f>ROUND(E15*G15,0)</f>
        <v>35000</v>
      </c>
      <c r="I15" s="17" t="inlineStr">
        <is>
          <t>図面カウント</t>
        </is>
      </c>
      <c r="J15" s="18" t="inlineStr"/>
    </row>
    <row r="16">
      <c r="A16" s="17" t="inlineStr">
        <is>
          <t>06</t>
        </is>
      </c>
      <c r="B16" s="17" t="inlineStr"/>
      <c r="C16" s="18" t="inlineStr">
        <is>
          <t>AC-8 室内機 据付</t>
        </is>
      </c>
      <c r="D16" s="18" t="inlineStr">
        <is>
          <t>ビルトインダクト PA-P56FE7HNBC(2HP) 厨房</t>
        </is>
      </c>
      <c r="E16" s="19" t="n">
        <v>1</v>
      </c>
      <c r="F16" s="17" t="inlineStr">
        <is>
          <t>台</t>
        </is>
      </c>
      <c r="G16" s="20" t="n">
        <v>50000</v>
      </c>
      <c r="H16" s="21">
        <f>ROUND(E16*G16,0)</f>
        <v>50000</v>
      </c>
      <c r="I16" s="17" t="inlineStr">
        <is>
          <t>図面カウント</t>
        </is>
      </c>
      <c r="J16" s="18" t="inlineStr">
        <is>
          <t>ダクト・制気口は A-4 に計上</t>
        </is>
      </c>
    </row>
    <row r="17">
      <c r="A17" s="17" t="inlineStr">
        <is>
          <t>06</t>
        </is>
      </c>
      <c r="B17" s="17" t="inlineStr"/>
      <c r="C17" s="18" t="inlineStr">
        <is>
          <t>AC-8 室外機 据付</t>
        </is>
      </c>
      <c r="D17" s="18" t="inlineStr">
        <is>
          <t>2HP</t>
        </is>
      </c>
      <c r="E17" s="19" t="n">
        <v>1</v>
      </c>
      <c r="F17" s="17" t="inlineStr">
        <is>
          <t>台</t>
        </is>
      </c>
      <c r="G17" s="20" t="n">
        <v>35000</v>
      </c>
      <c r="H17" s="21">
        <f>ROUND(E17*G17,0)</f>
        <v>35000</v>
      </c>
      <c r="I17" s="17" t="inlineStr">
        <is>
          <t>図面カウント</t>
        </is>
      </c>
      <c r="J17" s="18" t="inlineStr"/>
    </row>
    <row r="18">
      <c r="A18" s="17" t="inlineStr">
        <is>
          <t>06</t>
        </is>
      </c>
      <c r="B18" s="17" t="inlineStr"/>
      <c r="C18" s="18" t="inlineStr">
        <is>
          <t>AC-9 室内機 据付</t>
        </is>
      </c>
      <c r="D18" s="18" t="inlineStr">
        <is>
          <t>天吊形厨房用 PA-P80V7HNB(3HP) 弁当室</t>
        </is>
      </c>
      <c r="E18" s="19" t="n">
        <v>1</v>
      </c>
      <c r="F18" s="17" t="inlineStr">
        <is>
          <t>台</t>
        </is>
      </c>
      <c r="G18" s="20" t="n">
        <v>50000</v>
      </c>
      <c r="H18" s="21">
        <f>ROUND(E18*G18,0)</f>
        <v>50000</v>
      </c>
      <c r="I18" s="17" t="inlineStr">
        <is>
          <t>図面カウント</t>
        </is>
      </c>
      <c r="J18" s="18" t="inlineStr"/>
    </row>
    <row r="19">
      <c r="A19" s="17" t="inlineStr">
        <is>
          <t>06</t>
        </is>
      </c>
      <c r="B19" s="17" t="inlineStr"/>
      <c r="C19" s="18" t="inlineStr">
        <is>
          <t>AC-9 室外機 据付</t>
        </is>
      </c>
      <c r="D19" s="18" t="inlineStr">
        <is>
          <t>3HP</t>
        </is>
      </c>
      <c r="E19" s="19" t="n">
        <v>1</v>
      </c>
      <c r="F19" s="17" t="inlineStr">
        <is>
          <t>台</t>
        </is>
      </c>
      <c r="G19" s="20" t="n">
        <v>35000</v>
      </c>
      <c r="H19" s="21">
        <f>ROUND(E19*G19,0)</f>
        <v>35000</v>
      </c>
      <c r="I19" s="17" t="inlineStr">
        <is>
          <t>図面カウント</t>
        </is>
      </c>
      <c r="J19" s="18" t="inlineStr"/>
    </row>
    <row r="20">
      <c r="A20" s="17" t="inlineStr">
        <is>
          <t>06</t>
        </is>
      </c>
      <c r="B20" s="17" t="inlineStr"/>
      <c r="C20" s="18" t="inlineStr">
        <is>
          <t>AC-10 室内機 据付</t>
        </is>
      </c>
      <c r="D20" s="18" t="inlineStr">
        <is>
          <t>4方向天井カセット PA-P140U7HNB(5HP) 2F多目的スペース</t>
        </is>
      </c>
      <c r="E20" s="19" t="n">
        <v>1</v>
      </c>
      <c r="F20" s="17" t="inlineStr">
        <is>
          <t>台</t>
        </is>
      </c>
      <c r="G20" s="20" t="n">
        <v>45000</v>
      </c>
      <c r="H20" s="21">
        <f>ROUND(E20*G20,0)</f>
        <v>45000</v>
      </c>
      <c r="I20" s="17" t="inlineStr">
        <is>
          <t>図面カウント</t>
        </is>
      </c>
      <c r="J20" s="18" t="inlineStr"/>
    </row>
    <row r="21">
      <c r="A21" s="17" t="inlineStr">
        <is>
          <t>06</t>
        </is>
      </c>
      <c r="B21" s="17" t="inlineStr"/>
      <c r="C21" s="18" t="inlineStr">
        <is>
          <t>AC-10 室外機 据付</t>
        </is>
      </c>
      <c r="D21" s="18" t="inlineStr">
        <is>
          <t>5HP 1F地上(中庭2西側)</t>
        </is>
      </c>
      <c r="E21" s="19" t="n">
        <v>1</v>
      </c>
      <c r="F21" s="17" t="inlineStr">
        <is>
          <t>台</t>
        </is>
      </c>
      <c r="G21" s="20" t="n">
        <v>35000</v>
      </c>
      <c r="H21" s="21">
        <f>ROUND(E21*G21,0)</f>
        <v>35000</v>
      </c>
      <c r="I21" s="17" t="inlineStr">
        <is>
          <t>図面カウント</t>
        </is>
      </c>
      <c r="J21" s="18" t="inlineStr"/>
    </row>
    <row r="22">
      <c r="A22" s="17" t="inlineStr">
        <is>
          <t>06</t>
        </is>
      </c>
      <c r="B22" s="17" t="inlineStr"/>
      <c r="C22" s="18" t="inlineStr">
        <is>
          <t>RAC-1 据付</t>
        </is>
      </c>
      <c r="D22" s="18" t="inlineStr">
        <is>
          <t>壁掛ルームエアコン XCS-255DGX-W 内外機・ドレンアップ共 洗浄室・休憩室</t>
        </is>
      </c>
      <c r="E22" s="19" t="n">
        <v>2</v>
      </c>
      <c r="F22" s="17" t="inlineStr">
        <is>
          <t>組</t>
        </is>
      </c>
      <c r="G22" s="20" t="n">
        <v>28000</v>
      </c>
      <c r="H22" s="21">
        <f>ROUND(E22*G22,0)</f>
        <v>56000</v>
      </c>
      <c r="I22" s="17" t="inlineStr">
        <is>
          <t>図面カウント</t>
        </is>
      </c>
      <c r="J22" s="18" t="inlineStr">
        <is>
          <t>屋外機架台支給</t>
        </is>
      </c>
    </row>
    <row r="23">
      <c r="A23" s="17" t="inlineStr">
        <is>
          <t>06</t>
        </is>
      </c>
      <c r="B23" s="17" t="inlineStr"/>
      <c r="C23" s="18" t="inlineStr">
        <is>
          <t>RAC-2 据付</t>
        </is>
      </c>
      <c r="D23" s="18" t="inlineStr">
        <is>
          <t>壁掛ルームエアコン XCS-405DGX-W 内外機・ドレンアップ共 来客室・和室・洋室・DK</t>
        </is>
      </c>
      <c r="E23" s="19" t="n">
        <v>8</v>
      </c>
      <c r="F23" s="17" t="inlineStr">
        <is>
          <t>組</t>
        </is>
      </c>
      <c r="G23" s="20" t="n">
        <v>28000</v>
      </c>
      <c r="H23" s="21">
        <f>ROUND(E23*G23,0)</f>
        <v>224000</v>
      </c>
      <c r="I23" s="17" t="inlineStr">
        <is>
          <t>図面カウント</t>
        </is>
      </c>
      <c r="J23" s="18" t="inlineStr">
        <is>
          <t>屋外機架台(2段)支給</t>
        </is>
      </c>
    </row>
    <row r="24">
      <c r="A24" s="17" t="inlineStr">
        <is>
          <t>06</t>
        </is>
      </c>
      <c r="B24" s="17" t="inlineStr"/>
      <c r="C24" s="18" t="inlineStr">
        <is>
          <t>RAC-3 据付</t>
        </is>
      </c>
      <c r="D24" s="18" t="inlineStr">
        <is>
          <t>壁掛ルームエアコン XCS-405DGX2-W 内外機 2F寮室・予備室・コーチ宿泊室</t>
        </is>
      </c>
      <c r="E24" s="19" t="n">
        <v>66</v>
      </c>
      <c r="F24" s="17" t="inlineStr">
        <is>
          <t>組</t>
        </is>
      </c>
      <c r="G24" s="20" t="n">
        <v>25000</v>
      </c>
      <c r="H24" s="21">
        <f>ROUND(E24*G24,0)</f>
        <v>1650000</v>
      </c>
      <c r="I24" s="17" t="inlineStr">
        <is>
          <t>図面カウント</t>
        </is>
      </c>
      <c r="J24" s="18" t="inlineStr">
        <is>
          <t>屋外機はバルコニー2段架台(支給)</t>
        </is>
      </c>
    </row>
    <row r="25">
      <c r="A25" s="17" t="inlineStr">
        <is>
          <t>06</t>
        </is>
      </c>
      <c r="B25" s="17" t="inlineStr"/>
      <c r="C25" s="18" t="inlineStr">
        <is>
          <t>RAC-4 据付</t>
        </is>
      </c>
      <c r="D25" s="18" t="inlineStr">
        <is>
          <t>壁掛ルームエアコン XCS-635DGX2-W 内外機 2F寮務スタッフ室</t>
        </is>
      </c>
      <c r="E25" s="19" t="n">
        <v>1</v>
      </c>
      <c r="F25" s="17" t="inlineStr">
        <is>
          <t>組</t>
        </is>
      </c>
      <c r="G25" s="20" t="n">
        <v>28000</v>
      </c>
      <c r="H25" s="21">
        <f>ROUND(E25*G25,0)</f>
        <v>28000</v>
      </c>
      <c r="I25" s="17" t="inlineStr">
        <is>
          <t>図面カウント</t>
        </is>
      </c>
      <c r="J25" s="18" t="inlineStr"/>
    </row>
    <row r="26">
      <c r="A26" s="17" t="inlineStr">
        <is>
          <t>06</t>
        </is>
      </c>
      <c r="B26" s="17" t="inlineStr"/>
      <c r="C26" s="18" t="inlineStr">
        <is>
          <t>CR-1 集中リモコン 取付</t>
        </is>
      </c>
      <c r="D26" s="18" t="inlineStr">
        <is>
          <t>CZ-10ESM5・CZ-10ESW4 管理人室</t>
        </is>
      </c>
      <c r="E26" s="19" t="n">
        <v>1</v>
      </c>
      <c r="F26" s="17" t="inlineStr">
        <is>
          <t>台</t>
        </is>
      </c>
      <c r="G26" s="20" t="n">
        <v>15000</v>
      </c>
      <c r="H26" s="21">
        <f>ROUND(E26*G26,0)</f>
        <v>15000</v>
      </c>
      <c r="I26" s="17" t="inlineStr">
        <is>
          <t>図面カウント</t>
        </is>
      </c>
      <c r="J26" s="18" t="inlineStr">
        <is>
          <t>配線は A-4</t>
        </is>
      </c>
    </row>
    <row r="27">
      <c r="A27" s="17" t="inlineStr">
        <is>
          <t>06</t>
        </is>
      </c>
      <c r="B27" s="17" t="inlineStr"/>
      <c r="C27" s="18" t="inlineStr">
        <is>
          <t>機器搬入・揚重・養生</t>
        </is>
      </c>
      <c r="D27" s="18" t="inlineStr">
        <is>
          <t>PAC 32台・RAC 154台分</t>
        </is>
      </c>
      <c r="E27" s="19" t="n">
        <v>1</v>
      </c>
      <c r="F27" s="17" t="inlineStr">
        <is>
          <t>式</t>
        </is>
      </c>
      <c r="G27" s="20" t="n">
        <v>250000</v>
      </c>
      <c r="H27" s="21">
        <f>ROUND(E27*G27,0)</f>
        <v>250000</v>
      </c>
      <c r="I27" s="17" t="inlineStr">
        <is>
          <t>推測</t>
        </is>
      </c>
      <c r="J27" s="18" t="inlineStr"/>
    </row>
    <row r="28">
      <c r="A28" s="16" t="n"/>
      <c r="B28" s="16" t="n"/>
      <c r="C28" s="16" t="inlineStr">
        <is>
          <t>A-1 空調機器据付（機器元請支給） 小計</t>
        </is>
      </c>
      <c r="D28" s="16" t="n"/>
      <c r="E28" s="16" t="n"/>
      <c r="F28" s="16" t="n"/>
      <c r="G28" s="16" t="n"/>
      <c r="H28" s="22">
        <f>SUM(H4:H27)</f>
        <v>3723000</v>
      </c>
      <c r="I28" s="16" t="n"/>
      <c r="J28" s="16" t="n"/>
    </row>
    <row r="29">
      <c r="A29" s="16" t="n"/>
      <c r="B29" s="16" t="inlineStr">
        <is>
          <t>A-2</t>
        </is>
      </c>
      <c r="C29" s="16" t="inlineStr">
        <is>
          <t>冷媒配管</t>
        </is>
      </c>
      <c r="D29" s="16" t="n"/>
      <c r="E29" s="16" t="n"/>
      <c r="F29" s="16" t="n"/>
      <c r="G29" s="16" t="n"/>
      <c r="H29" s="16" t="n"/>
      <c r="I29" s="16" t="n"/>
      <c r="J29" s="16" t="n"/>
    </row>
    <row r="30">
      <c r="A30" s="17" t="inlineStr">
        <is>
          <t>06</t>
        </is>
      </c>
      <c r="B30" s="17" t="inlineStr"/>
      <c r="C30" s="18" t="inlineStr">
        <is>
          <t>冷媒配管 ①</t>
        </is>
      </c>
      <c r="D30" s="18" t="inlineStr">
        <is>
          <t>被覆銅管 9.52/6.35 (RAC-1,2 1F 及び RAC-3 2F)</t>
        </is>
      </c>
      <c r="E30" s="19" t="n">
        <v>360</v>
      </c>
      <c r="F30" s="17" t="inlineStr">
        <is>
          <t>m</t>
        </is>
      </c>
      <c r="G30" s="20" t="n">
        <v>4500</v>
      </c>
      <c r="H30" s="21">
        <f>ROUND(E30*G30,0)</f>
        <v>1620000</v>
      </c>
      <c r="I30" s="17" t="inlineStr">
        <is>
          <t>実測+推測</t>
        </is>
      </c>
      <c r="J30" s="18" t="inlineStr">
        <is>
          <t>平面実測34.3m＋推測(RAC-3 66台×4m、来客室RAC-2 5台×4m、RAC-1補正8m、立上り10台×3m)</t>
        </is>
      </c>
    </row>
    <row r="31">
      <c r="A31" s="17" t="inlineStr">
        <is>
          <t>06</t>
        </is>
      </c>
      <c r="B31" s="17" t="inlineStr"/>
      <c r="C31" s="18" t="inlineStr">
        <is>
          <t>冷媒配管 ②</t>
        </is>
      </c>
      <c r="D31" s="18" t="inlineStr">
        <is>
          <t>被覆銅管 12.7/6.35 (AC-5,7,8 AC-3枝 RAC-4)</t>
        </is>
      </c>
      <c r="E31" s="19" t="n">
        <v>77</v>
      </c>
      <c r="F31" s="17" t="inlineStr">
        <is>
          <t>m</t>
        </is>
      </c>
      <c r="G31" s="20" t="n">
        <v>5200</v>
      </c>
      <c r="H31" s="21">
        <f>ROUND(E31*G31,0)</f>
        <v>400400</v>
      </c>
      <c r="I31" s="17" t="inlineStr">
        <is>
          <t>実測+推測</t>
        </is>
      </c>
      <c r="J31" s="18" t="inlineStr">
        <is>
          <t>平面実測56m＋推測(立上り4系統×4m、RAC-4 5m)</t>
        </is>
      </c>
    </row>
    <row r="32">
      <c r="A32" s="17" t="inlineStr">
        <is>
          <t>06</t>
        </is>
      </c>
      <c r="B32" s="17" t="inlineStr"/>
      <c r="C32" s="18" t="inlineStr">
        <is>
          <t>冷媒配管 ③</t>
        </is>
      </c>
      <c r="D32" s="18" t="inlineStr">
        <is>
          <t>被覆銅管 15.88/9.52 (AC-1/2枝 AC-3主 AC-6,9,10)</t>
        </is>
      </c>
      <c r="E32" s="19" t="n">
        <v>96</v>
      </c>
      <c r="F32" s="17" t="inlineStr">
        <is>
          <t>m</t>
        </is>
      </c>
      <c r="G32" s="20" t="n">
        <v>6500</v>
      </c>
      <c r="H32" s="21">
        <f>ROUND(E32*G32,0)</f>
        <v>624000</v>
      </c>
      <c r="I32" s="17" t="inlineStr">
        <is>
          <t>実測+推測</t>
        </is>
      </c>
      <c r="J32" s="18" t="inlineStr">
        <is>
          <t>平面実測72.2m＋推測(立上り3系統×4m、AC-10 2F分3.5m＋立管8m)</t>
        </is>
      </c>
    </row>
    <row r="33">
      <c r="A33" s="17" t="inlineStr">
        <is>
          <t>06</t>
        </is>
      </c>
      <c r="B33" s="17" t="inlineStr"/>
      <c r="C33" s="18" t="inlineStr">
        <is>
          <t>冷媒配管 ⑥</t>
        </is>
      </c>
      <c r="D33" s="18" t="inlineStr">
        <is>
          <t>被覆銅管 25.4/9.52 (AC-2主管)</t>
        </is>
      </c>
      <c r="E33" s="19" t="n">
        <v>9</v>
      </c>
      <c r="F33" s="17" t="inlineStr">
        <is>
          <t>m</t>
        </is>
      </c>
      <c r="G33" s="20" t="n">
        <v>9500</v>
      </c>
      <c r="H33" s="21">
        <f>ROUND(E33*G33,0)</f>
        <v>85500</v>
      </c>
      <c r="I33" s="17" t="inlineStr">
        <is>
          <t>実測+推測</t>
        </is>
      </c>
      <c r="J33" s="18" t="inlineStr">
        <is>
          <t>平面実測5m＋立上り4m</t>
        </is>
      </c>
    </row>
    <row r="34">
      <c r="A34" s="17" t="inlineStr">
        <is>
          <t>06</t>
        </is>
      </c>
      <c r="B34" s="17" t="inlineStr"/>
      <c r="C34" s="18" t="inlineStr">
        <is>
          <t>冷媒配管 ⑦</t>
        </is>
      </c>
      <c r="D34" s="18" t="inlineStr">
        <is>
          <t>被覆銅管 25.4/12.7 (AC-1主管 4系統)</t>
        </is>
      </c>
      <c r="E34" s="19" t="n">
        <v>57</v>
      </c>
      <c r="F34" s="17" t="inlineStr">
        <is>
          <t>m</t>
        </is>
      </c>
      <c r="G34" s="20" t="n">
        <v>10500</v>
      </c>
      <c r="H34" s="21">
        <f>ROUND(E34*G34,0)</f>
        <v>598500</v>
      </c>
      <c r="I34" s="17" t="inlineStr">
        <is>
          <t>実測+推測</t>
        </is>
      </c>
      <c r="J34" s="18" t="inlineStr">
        <is>
          <t>平面実測41m＋立上り4系統×4m</t>
        </is>
      </c>
    </row>
    <row r="35">
      <c r="A35" s="17" t="inlineStr">
        <is>
          <t>06</t>
        </is>
      </c>
      <c r="B35" s="17" t="inlineStr"/>
      <c r="C35" s="18" t="inlineStr">
        <is>
          <t>冷媒配管 化粧ケース</t>
        </is>
      </c>
      <c r="D35" s="18" t="inlineStr">
        <is>
          <t>屋外・屋内露出部 (管種凡例: 露出管は化粧ケース仕上)</t>
        </is>
      </c>
      <c r="E35" s="19" t="n">
        <v>125</v>
      </c>
      <c r="F35" s="17" t="inlineStr">
        <is>
          <t>m</t>
        </is>
      </c>
      <c r="G35" s="20" t="n">
        <v>3000</v>
      </c>
      <c r="H35" s="21">
        <f>ROUND(E35*G35,0)</f>
        <v>375000</v>
      </c>
      <c r="I35" s="17" t="inlineStr">
        <is>
          <t>推測</t>
        </is>
      </c>
      <c r="J35" s="18" t="inlineStr">
        <is>
          <t>PAC13+RAC1F10箇所×2.5m、RAC-3/4 67台×1.0m</t>
        </is>
      </c>
    </row>
    <row r="36">
      <c r="A36" s="17" t="inlineStr">
        <is>
          <t>06</t>
        </is>
      </c>
      <c r="B36" s="17" t="inlineStr"/>
      <c r="C36" s="18" t="inlineStr">
        <is>
          <t>外壁貫通スリーブ材</t>
        </is>
      </c>
      <c r="D36" s="18" t="inlineStr">
        <is>
          <t>VP100 冷媒・ドレン用 (穴明けは建築工事)</t>
        </is>
      </c>
      <c r="E36" s="19" t="n">
        <v>90</v>
      </c>
      <c r="F36" s="17" t="inlineStr">
        <is>
          <t>箇所</t>
        </is>
      </c>
      <c r="G36" s="20" t="n">
        <v>2500</v>
      </c>
      <c r="H36" s="21">
        <f>ROUND(E36*G36,0)</f>
        <v>225000</v>
      </c>
      <c r="I36" s="17" t="inlineStr">
        <is>
          <t>推測</t>
        </is>
      </c>
      <c r="J36" s="18" t="inlineStr">
        <is>
          <t>RAC77＋PAC13</t>
        </is>
      </c>
    </row>
    <row r="37">
      <c r="A37" s="17" t="inlineStr">
        <is>
          <t>06</t>
        </is>
      </c>
      <c r="B37" s="17" t="inlineStr"/>
      <c r="C37" s="18" t="inlineStr">
        <is>
          <t>区画貫通処理</t>
        </is>
      </c>
      <c r="D37" s="18" t="inlineStr">
        <is>
          <t>冷媒管 フィブロック(認定工法)</t>
        </is>
      </c>
      <c r="E37" s="19" t="n">
        <v>2</v>
      </c>
      <c r="F37" s="17" t="inlineStr">
        <is>
          <t>箇所</t>
        </is>
      </c>
      <c r="G37" s="20" t="n">
        <v>12000</v>
      </c>
      <c r="H37" s="21">
        <f>ROUND(E37*G37,0)</f>
        <v>24000</v>
      </c>
      <c r="I37" s="17" t="inlineStr">
        <is>
          <t>実測</t>
        </is>
      </c>
      <c r="J37" s="18" t="inlineStr">
        <is>
          <t>空調平面図1F ●区画貫通部 2箇所</t>
        </is>
      </c>
    </row>
    <row r="38">
      <c r="A38" s="17" t="inlineStr">
        <is>
          <t>06</t>
        </is>
      </c>
      <c r="B38" s="17" t="inlineStr"/>
      <c r="C38" s="18" t="inlineStr">
        <is>
          <t>気密試験・真空引き・冷媒追加充填 作業</t>
        </is>
      </c>
      <c r="D38" s="18" t="inlineStr">
        <is>
          <t>PAC 系統毎</t>
        </is>
      </c>
      <c r="E38" s="19" t="n">
        <v>13</v>
      </c>
      <c r="F38" s="17" t="inlineStr">
        <is>
          <t>系統</t>
        </is>
      </c>
      <c r="G38" s="20" t="n">
        <v>15000</v>
      </c>
      <c r="H38" s="21">
        <f>ROUND(E38*G38,0)</f>
        <v>195000</v>
      </c>
      <c r="I38" s="17" t="inlineStr">
        <is>
          <t>図面カウント</t>
        </is>
      </c>
      <c r="J38" s="18" t="inlineStr"/>
    </row>
    <row r="39">
      <c r="A39" s="17" t="inlineStr">
        <is>
          <t>06</t>
        </is>
      </c>
      <c r="B39" s="17" t="inlineStr"/>
      <c r="C39" s="18" t="inlineStr">
        <is>
          <t>冷媒追加充填 (冷媒代)</t>
        </is>
      </c>
      <c r="D39" s="18" t="inlineStr">
        <is>
          <t>R32/R410A</t>
        </is>
      </c>
      <c r="E39" s="19" t="n">
        <v>8</v>
      </c>
      <c r="F39" s="17" t="inlineStr">
        <is>
          <t>kg</t>
        </is>
      </c>
      <c r="G39" s="20" t="n">
        <v>6000</v>
      </c>
      <c r="H39" s="21">
        <f>ROUND(E39*G39,0)</f>
        <v>48000</v>
      </c>
      <c r="I39" s="17" t="inlineStr">
        <is>
          <t>推測</t>
        </is>
      </c>
      <c r="J39" s="18" t="inlineStr">
        <is>
          <t>配管延長より約20g/m換算</t>
        </is>
      </c>
    </row>
    <row r="40">
      <c r="A40" s="16" t="n"/>
      <c r="B40" s="16" t="n"/>
      <c r="C40" s="16" t="inlineStr">
        <is>
          <t>A-2 冷媒配管 小計</t>
        </is>
      </c>
      <c r="D40" s="16" t="n"/>
      <c r="E40" s="16" t="n"/>
      <c r="F40" s="16" t="n"/>
      <c r="G40" s="16" t="n"/>
      <c r="H40" s="22">
        <f>SUM(H30:H39)</f>
        <v>4195400</v>
      </c>
      <c r="I40" s="16" t="n"/>
      <c r="J40" s="16" t="n"/>
    </row>
    <row r="41">
      <c r="A41" s="16" t="n"/>
      <c r="B41" s="16" t="inlineStr">
        <is>
          <t>A-3</t>
        </is>
      </c>
      <c r="C41" s="16" t="inlineStr">
        <is>
          <t>ドレン配管</t>
        </is>
      </c>
      <c r="D41" s="16" t="n"/>
      <c r="E41" s="16" t="n"/>
      <c r="F41" s="16" t="n"/>
      <c r="G41" s="16" t="n"/>
      <c r="H41" s="16" t="n"/>
      <c r="I41" s="16" t="n"/>
      <c r="J41" s="16" t="n"/>
    </row>
    <row r="42">
      <c r="A42" s="17" t="inlineStr">
        <is>
          <t>06</t>
        </is>
      </c>
      <c r="B42" s="17" t="inlineStr"/>
      <c r="C42" s="18" t="inlineStr">
        <is>
          <t>ドレン管 VP20</t>
        </is>
      </c>
      <c r="D42" s="18" t="inlineStr">
        <is>
          <t>硬質塩化ビニル管 継手・支持共</t>
        </is>
      </c>
      <c r="E42" s="19" t="n">
        <v>37</v>
      </c>
      <c r="F42" s="17" t="inlineStr">
        <is>
          <t>m</t>
        </is>
      </c>
      <c r="G42" s="20" t="n">
        <v>2800</v>
      </c>
      <c r="H42" s="21">
        <f>ROUND(E42*G42,0)</f>
        <v>103600</v>
      </c>
      <c r="I42" s="17" t="inlineStr">
        <is>
          <t>実測+推測</t>
        </is>
      </c>
      <c r="J42" s="18" t="inlineStr">
        <is>
          <t>平面実測7m＋推測(RAC-1/2 ドレンアップ吐出→屋外 10台×3m)</t>
        </is>
      </c>
    </row>
    <row r="43">
      <c r="A43" s="17" t="inlineStr">
        <is>
          <t>06</t>
        </is>
      </c>
      <c r="B43" s="17" t="inlineStr"/>
      <c r="C43" s="18" t="inlineStr">
        <is>
          <t>ドレン管 VP25</t>
        </is>
      </c>
      <c r="D43" s="18" t="inlineStr">
        <is>
          <t>硬質塩化ビニル管 継手・支持共</t>
        </is>
      </c>
      <c r="E43" s="19" t="n">
        <v>94</v>
      </c>
      <c r="F43" s="17" t="inlineStr">
        <is>
          <t>m</t>
        </is>
      </c>
      <c r="G43" s="20" t="n">
        <v>3200</v>
      </c>
      <c r="H43" s="21">
        <f>ROUND(E43*G43,0)</f>
        <v>300800</v>
      </c>
      <c r="I43" s="17" t="inlineStr">
        <is>
          <t>実測+推測</t>
        </is>
      </c>
      <c r="J43" s="18" t="inlineStr">
        <is>
          <t>平面実測1F 87.3m・2F 6.1m(未判読分比例配分含む)</t>
        </is>
      </c>
    </row>
    <row r="44">
      <c r="A44" s="17" t="inlineStr">
        <is>
          <t>06</t>
        </is>
      </c>
      <c r="B44" s="17" t="inlineStr"/>
      <c r="C44" s="18" t="inlineStr">
        <is>
          <t>ドレン管 VP40</t>
        </is>
      </c>
      <c r="D44" s="18" t="inlineStr">
        <is>
          <t>硬質塩化ビニル管 継手・支持共</t>
        </is>
      </c>
      <c r="E44" s="19" t="n">
        <v>68</v>
      </c>
      <c r="F44" s="17" t="inlineStr">
        <is>
          <t>m</t>
        </is>
      </c>
      <c r="G44" s="20" t="n">
        <v>4000</v>
      </c>
      <c r="H44" s="21">
        <f>ROUND(E44*G44,0)</f>
        <v>272000</v>
      </c>
      <c r="I44" s="17" t="inlineStr">
        <is>
          <t>実測+推測</t>
        </is>
      </c>
      <c r="J44" s="18" t="inlineStr">
        <is>
          <t>平面実測50.2m＋推測(立下り・屋外放流部12箇所×1.5m)</t>
        </is>
      </c>
    </row>
    <row r="45">
      <c r="A45" s="17" t="inlineStr">
        <is>
          <t>06</t>
        </is>
      </c>
      <c r="B45" s="17" t="inlineStr"/>
      <c r="C45" s="18" t="inlineStr">
        <is>
          <t>ドレン管 保温</t>
        </is>
      </c>
      <c r="D45" s="18" t="inlineStr">
        <is>
          <t>GW保温筒20 ALGC 天井内 (特記仕様書 保温表は空欄・標準仕様に準じ計上 要確認)</t>
        </is>
      </c>
      <c r="E45" s="19" t="n">
        <v>143</v>
      </c>
      <c r="F45" s="17" t="inlineStr">
        <is>
          <t>m</t>
        </is>
      </c>
      <c r="G45" s="20" t="n">
        <v>2500</v>
      </c>
      <c r="H45" s="21">
        <f>ROUND(E45*G45,0)</f>
        <v>357500</v>
      </c>
      <c r="I45" s="17" t="inlineStr">
        <is>
          <t>推測</t>
        </is>
      </c>
      <c r="J45" s="18" t="inlineStr">
        <is>
          <t>VP25・VP40 天井内相当分</t>
        </is>
      </c>
    </row>
    <row r="46">
      <c r="A46" s="17" t="inlineStr">
        <is>
          <t>06</t>
        </is>
      </c>
      <c r="B46" s="17" t="inlineStr"/>
      <c r="C46" s="18" t="inlineStr">
        <is>
          <t>ドレン管 区画貫通処理</t>
        </is>
      </c>
      <c r="D46" s="18" t="inlineStr">
        <is>
          <t>耐火二層管／フィブロック</t>
        </is>
      </c>
      <c r="E46" s="19" t="n">
        <v>2</v>
      </c>
      <c r="F46" s="17" t="inlineStr">
        <is>
          <t>箇所</t>
        </is>
      </c>
      <c r="G46" s="20" t="n">
        <v>12000</v>
      </c>
      <c r="H46" s="21">
        <f>ROUND(E46*G46,0)</f>
        <v>24000</v>
      </c>
      <c r="I46" s="17" t="inlineStr">
        <is>
          <t>推測</t>
        </is>
      </c>
      <c r="J46" s="18" t="inlineStr">
        <is>
          <t>冷媒管と同位置</t>
        </is>
      </c>
    </row>
    <row r="47">
      <c r="A47" s="17" t="inlineStr">
        <is>
          <t>06</t>
        </is>
      </c>
      <c r="B47" s="17" t="inlineStr"/>
      <c r="C47" s="18" t="inlineStr">
        <is>
          <t>RAC-3/4 ドレンホース 延長・共巻</t>
        </is>
      </c>
      <c r="D47" s="18" t="inlineStr">
        <is>
          <t>勾配確保の上 冷媒管共巻 (図示注記)</t>
        </is>
      </c>
      <c r="E47" s="19" t="n">
        <v>67</v>
      </c>
      <c r="F47" s="17" t="inlineStr">
        <is>
          <t>台</t>
        </is>
      </c>
      <c r="G47" s="20" t="n">
        <v>1500</v>
      </c>
      <c r="H47" s="21">
        <f>ROUND(E47*G47,0)</f>
        <v>100500</v>
      </c>
      <c r="I47" s="17" t="inlineStr">
        <is>
          <t>推測</t>
        </is>
      </c>
      <c r="J47" s="18" t="inlineStr"/>
    </row>
    <row r="48">
      <c r="A48" s="16" t="n"/>
      <c r="B48" s="16" t="n"/>
      <c r="C48" s="16" t="inlineStr">
        <is>
          <t>A-3 ドレン配管 小計</t>
        </is>
      </c>
      <c r="D48" s="16" t="n"/>
      <c r="E48" s="16" t="n"/>
      <c r="F48" s="16" t="n"/>
      <c r="G48" s="16" t="n"/>
      <c r="H48" s="22">
        <f>SUM(H42:H47)</f>
        <v>1158400</v>
      </c>
      <c r="I48" s="16" t="n"/>
      <c r="J48" s="16" t="n"/>
    </row>
    <row r="49">
      <c r="A49" s="16" t="n"/>
      <c r="B49" s="16" t="inlineStr">
        <is>
          <t>A-4</t>
        </is>
      </c>
      <c r="C49" s="16" t="inlineStr">
        <is>
          <t>付帯工事・試運転</t>
        </is>
      </c>
      <c r="D49" s="16" t="n"/>
      <c r="E49" s="16" t="n"/>
      <c r="F49" s="16" t="n"/>
      <c r="G49" s="16" t="n"/>
      <c r="H49" s="16" t="n"/>
      <c r="I49" s="16" t="n"/>
      <c r="J49" s="16" t="n"/>
    </row>
    <row r="50">
      <c r="A50" s="17" t="inlineStr">
        <is>
          <t>06</t>
        </is>
      </c>
      <c r="B50" s="17" t="inlineStr"/>
      <c r="C50" s="18" t="inlineStr">
        <is>
          <t>リモコン線・内外連絡線 配線</t>
        </is>
      </c>
      <c r="D50" s="18" t="inlineStr">
        <is>
          <t>PAC 系統毎 (ワイヤードリモコン線 0.75×2C、渡り線) 工事区分表: 機械</t>
        </is>
      </c>
      <c r="E50" s="19" t="n">
        <v>13</v>
      </c>
      <c r="F50" s="17" t="inlineStr">
        <is>
          <t>系統</t>
        </is>
      </c>
      <c r="G50" s="20" t="n">
        <v>12000</v>
      </c>
      <c r="H50" s="21">
        <f>ROUND(E50*G50,0)</f>
        <v>156000</v>
      </c>
      <c r="I50" s="17" t="inlineStr">
        <is>
          <t>図面カウント</t>
        </is>
      </c>
      <c r="J50" s="18" t="inlineStr">
        <is>
          <t>電源は電気工事</t>
        </is>
      </c>
    </row>
    <row r="51">
      <c r="A51" s="17" t="inlineStr">
        <is>
          <t>06</t>
        </is>
      </c>
      <c r="B51" s="17" t="inlineStr"/>
      <c r="C51" s="18" t="inlineStr">
        <is>
          <t>集中リモコン CR-1 制御配線</t>
        </is>
      </c>
      <c r="D51" s="18" t="inlineStr">
        <is>
          <t>S-LINK 13系統分 推定延長200m</t>
        </is>
      </c>
      <c r="E51" s="19" t="n">
        <v>1</v>
      </c>
      <c r="F51" s="17" t="inlineStr">
        <is>
          <t>式</t>
        </is>
      </c>
      <c r="G51" s="20" t="n">
        <v>60000</v>
      </c>
      <c r="H51" s="21">
        <f>ROUND(E51*G51,0)</f>
        <v>60000</v>
      </c>
      <c r="I51" s="17" t="inlineStr">
        <is>
          <t>推測</t>
        </is>
      </c>
      <c r="J51" s="18" t="inlineStr"/>
    </row>
    <row r="52">
      <c r="A52" s="17" t="inlineStr">
        <is>
          <t>06</t>
        </is>
      </c>
      <c r="B52" s="17" t="inlineStr"/>
      <c r="C52" s="18" t="inlineStr">
        <is>
          <t>RAC 内外連絡線 配線</t>
        </is>
      </c>
      <c r="D52" s="18" t="inlineStr">
        <is>
          <t>VVF2.0-3C 1台当り5m</t>
        </is>
      </c>
      <c r="E52" s="19" t="n">
        <v>77</v>
      </c>
      <c r="F52" s="17" t="inlineStr">
        <is>
          <t>台</t>
        </is>
      </c>
      <c r="G52" s="20" t="n">
        <v>3000</v>
      </c>
      <c r="H52" s="21">
        <f>ROUND(E52*G52,0)</f>
        <v>231000</v>
      </c>
      <c r="I52" s="17" t="inlineStr">
        <is>
          <t>推測</t>
        </is>
      </c>
      <c r="J52" s="18" t="inlineStr"/>
    </row>
    <row r="53">
      <c r="A53" s="17" t="inlineStr">
        <is>
          <t>06</t>
        </is>
      </c>
      <c r="B53" s="17" t="inlineStr"/>
      <c r="C53" s="18" t="inlineStr">
        <is>
          <t>AC-8 ビルトインダクト用 ダクト・制気口</t>
        </is>
      </c>
      <c r="D53" s="18" t="inlineStr">
        <is>
          <t>吹出口・吸込口・チャンバー・フレキ 一式</t>
        </is>
      </c>
      <c r="E53" s="19" t="n">
        <v>1</v>
      </c>
      <c r="F53" s="17" t="inlineStr">
        <is>
          <t>式</t>
        </is>
      </c>
      <c r="G53" s="20" t="n">
        <v>80000</v>
      </c>
      <c r="H53" s="21">
        <f>ROUND(E53*G53,0)</f>
        <v>80000</v>
      </c>
      <c r="I53" s="17" t="inlineStr">
        <is>
          <t>推測</t>
        </is>
      </c>
      <c r="J53" s="18" t="inlineStr">
        <is>
          <t>図面に系統詳細なし</t>
        </is>
      </c>
    </row>
    <row r="54">
      <c r="A54" s="17" t="inlineStr">
        <is>
          <t>06</t>
        </is>
      </c>
      <c r="B54" s="17" t="inlineStr"/>
      <c r="C54" s="18" t="inlineStr">
        <is>
          <t>試運転調整 PAC</t>
        </is>
      </c>
      <c r="D54" s="18" t="inlineStr">
        <is>
          <t>系統毎</t>
        </is>
      </c>
      <c r="E54" s="19" t="n">
        <v>13</v>
      </c>
      <c r="F54" s="17" t="inlineStr">
        <is>
          <t>系統</t>
        </is>
      </c>
      <c r="G54" s="20" t="n">
        <v>8000</v>
      </c>
      <c r="H54" s="21">
        <f>ROUND(E54*G54,0)</f>
        <v>104000</v>
      </c>
      <c r="I54" s="17" t="inlineStr">
        <is>
          <t>図面カウント</t>
        </is>
      </c>
      <c r="J54" s="18" t="inlineStr"/>
    </row>
    <row r="55">
      <c r="A55" s="17" t="inlineStr">
        <is>
          <t>06</t>
        </is>
      </c>
      <c r="B55" s="17" t="inlineStr"/>
      <c r="C55" s="18" t="inlineStr">
        <is>
          <t>試運転調整 RAC</t>
        </is>
      </c>
      <c r="D55" s="18" t="inlineStr">
        <is>
          <t>台毎</t>
        </is>
      </c>
      <c r="E55" s="19" t="n">
        <v>77</v>
      </c>
      <c r="F55" s="17" t="inlineStr">
        <is>
          <t>台</t>
        </is>
      </c>
      <c r="G55" s="20" t="n">
        <v>2000</v>
      </c>
      <c r="H55" s="21">
        <f>ROUND(E55*G55,0)</f>
        <v>154000</v>
      </c>
      <c r="I55" s="17" t="inlineStr">
        <is>
          <t>図面カウント</t>
        </is>
      </c>
      <c r="J55" s="18" t="inlineStr"/>
    </row>
    <row r="56">
      <c r="A56" s="17" t="inlineStr">
        <is>
          <t>06</t>
        </is>
      </c>
      <c r="B56" s="17" t="inlineStr"/>
      <c r="C56" s="18" t="inlineStr">
        <is>
          <t>法令・申請・書類</t>
        </is>
      </c>
      <c r="D56" s="18" t="inlineStr">
        <is>
          <t>試運転報告書・冷媒管理記録 等</t>
        </is>
      </c>
      <c r="E56" s="19" t="n">
        <v>1</v>
      </c>
      <c r="F56" s="17" t="inlineStr">
        <is>
          <t>式</t>
        </is>
      </c>
      <c r="G56" s="20" t="n">
        <v>30000</v>
      </c>
      <c r="H56" s="21">
        <f>ROUND(E56*G56,0)</f>
        <v>30000</v>
      </c>
      <c r="I56" s="17" t="inlineStr">
        <is>
          <t>推測</t>
        </is>
      </c>
      <c r="J56" s="18" t="inlineStr"/>
    </row>
    <row r="57">
      <c r="A57" s="16" t="n"/>
      <c r="B57" s="16" t="n"/>
      <c r="C57" s="16" t="inlineStr">
        <is>
          <t>A-4 付帯工事・試運転 小計</t>
        </is>
      </c>
      <c r="D57" s="16" t="n"/>
      <c r="E57" s="16" t="n"/>
      <c r="F57" s="16" t="n"/>
      <c r="G57" s="16" t="n"/>
      <c r="H57" s="22">
        <f>SUM(H50:H56)</f>
        <v>815000</v>
      </c>
      <c r="I57" s="16" t="n"/>
      <c r="J57" s="16" t="n"/>
    </row>
    <row r="58">
      <c r="A58" s="6" t="n"/>
      <c r="B58" s="6" t="n"/>
      <c r="C58" s="6" t="inlineStr">
        <is>
          <t>A 空調設備工事（ベース図面06） 計</t>
        </is>
      </c>
      <c r="D58" s="6" t="n"/>
      <c r="E58" s="6" t="n"/>
      <c r="F58" s="6" t="n"/>
      <c r="G58" s="6" t="n"/>
      <c r="H58" s="7">
        <f>H28+H40+H48+H57</f>
        <v>9891800</v>
      </c>
      <c r="I58" s="6" t="n"/>
      <c r="J58" s="6" t="n"/>
    </row>
    <row r="60">
      <c r="A60" s="6" t="inlineStr">
        <is>
          <t>B</t>
        </is>
      </c>
      <c r="B60" s="6" t="inlineStr"/>
      <c r="C60" s="6" t="inlineStr">
        <is>
          <t>換気設備工事（ベース図面06）</t>
        </is>
      </c>
      <c r="D60" s="6" t="n"/>
      <c r="E60" s="6" t="n"/>
      <c r="F60" s="6" t="n"/>
      <c r="G60" s="6" t="n"/>
      <c r="H60" s="6" t="n"/>
      <c r="I60" s="6" t="n"/>
      <c r="J60" s="6" t="n"/>
    </row>
    <row r="61">
      <c r="A61" s="16" t="n"/>
      <c r="B61" s="16" t="inlineStr">
        <is>
          <t>B-1</t>
        </is>
      </c>
      <c r="C61" s="16" t="inlineStr">
        <is>
          <t>換気機器据付（機器元請支給）</t>
        </is>
      </c>
      <c r="D61" s="16" t="n"/>
      <c r="E61" s="16" t="n"/>
      <c r="F61" s="16" t="n"/>
      <c r="G61" s="16" t="n"/>
      <c r="H61" s="16" t="n"/>
      <c r="I61" s="16" t="n"/>
      <c r="J61" s="16" t="n"/>
    </row>
    <row r="62">
      <c r="A62" s="17" t="inlineStr">
        <is>
          <t>06</t>
        </is>
      </c>
      <c r="B62" s="17" t="inlineStr"/>
      <c r="C62" s="18" t="inlineStr">
        <is>
          <t>FE-A1 パイプファン 据付</t>
        </is>
      </c>
      <c r="D62" s="18" t="inlineStr">
        <is>
          <t>V-12PS8 150φ ゴミ庫1・倉庫1</t>
        </is>
      </c>
      <c r="E62" s="19" t="n">
        <v>2</v>
      </c>
      <c r="F62" s="17" t="inlineStr">
        <is>
          <t>台</t>
        </is>
      </c>
      <c r="G62" s="20" t="n">
        <v>8000</v>
      </c>
      <c r="H62" s="21">
        <f>ROUND(E62*G62,0)</f>
        <v>16000</v>
      </c>
      <c r="I62" s="17" t="inlineStr">
        <is>
          <t>図面カウント</t>
        </is>
      </c>
      <c r="J62" s="18" t="inlineStr"/>
    </row>
    <row r="63">
      <c r="A63" s="17" t="inlineStr">
        <is>
          <t>06</t>
        </is>
      </c>
      <c r="B63" s="17" t="inlineStr"/>
      <c r="C63" s="18" t="inlineStr">
        <is>
          <t>FE-A2 天井扇 据付</t>
        </is>
      </c>
      <c r="D63" s="18" t="inlineStr">
        <is>
          <t>VD-15ZC14 100φ 管理人和室洋室クローク・面談室</t>
        </is>
      </c>
      <c r="E63" s="19" t="n">
        <v>2</v>
      </c>
      <c r="F63" s="17" t="inlineStr">
        <is>
          <t>台</t>
        </is>
      </c>
      <c r="G63" s="20" t="n">
        <v>12000</v>
      </c>
      <c r="H63" s="21">
        <f>ROUND(E63*G63,0)</f>
        <v>24000</v>
      </c>
      <c r="I63" s="17" t="inlineStr">
        <is>
          <t>図面カウント</t>
        </is>
      </c>
      <c r="J63" s="18" t="inlineStr"/>
    </row>
    <row r="64">
      <c r="A64" s="17" t="inlineStr">
        <is>
          <t>06</t>
        </is>
      </c>
      <c r="B64" s="17" t="inlineStr"/>
      <c r="C64" s="18" t="inlineStr">
        <is>
          <t>FE-A3 天井扇 据付</t>
        </is>
      </c>
      <c r="D64" s="18" t="inlineStr">
        <is>
          <t>VD-10ZC14 管理人WC</t>
        </is>
      </c>
      <c r="E64" s="19" t="n">
        <v>1</v>
      </c>
      <c r="F64" s="17" t="inlineStr">
        <is>
          <t>台</t>
        </is>
      </c>
      <c r="G64" s="20" t="n">
        <v>12000</v>
      </c>
      <c r="H64" s="21">
        <f>ROUND(E64*G64,0)</f>
        <v>12000</v>
      </c>
      <c r="I64" s="17" t="inlineStr">
        <is>
          <t>図面カウント</t>
        </is>
      </c>
      <c r="J64" s="18" t="inlineStr"/>
    </row>
    <row r="65">
      <c r="A65" s="17" t="inlineStr">
        <is>
          <t>06</t>
        </is>
      </c>
      <c r="B65" s="17" t="inlineStr"/>
      <c r="C65" s="18" t="inlineStr">
        <is>
          <t>FE-A4 親子扇 据付</t>
        </is>
      </c>
      <c r="D65" s="18" t="inlineStr">
        <is>
          <t>VD-10ZFC14 管理人洗面UB</t>
        </is>
      </c>
      <c r="E65" s="19" t="n">
        <v>1</v>
      </c>
      <c r="F65" s="17" t="inlineStr">
        <is>
          <t>台</t>
        </is>
      </c>
      <c r="G65" s="20" t="n">
        <v>14000</v>
      </c>
      <c r="H65" s="21">
        <f>ROUND(E65*G65,0)</f>
        <v>14000</v>
      </c>
      <c r="I65" s="17" t="inlineStr">
        <is>
          <t>図面カウント</t>
        </is>
      </c>
      <c r="J65" s="18" t="inlineStr"/>
    </row>
    <row r="66">
      <c r="A66" s="17" t="inlineStr">
        <is>
          <t>06</t>
        </is>
      </c>
      <c r="B66" s="17" t="inlineStr"/>
      <c r="C66" s="18" t="inlineStr">
        <is>
          <t>FE-A5 天井扇 据付</t>
        </is>
      </c>
      <c r="D66" s="18" t="inlineStr">
        <is>
          <t>VD-15ZC14 管理人室</t>
        </is>
      </c>
      <c r="E66" s="19" t="n">
        <v>2</v>
      </c>
      <c r="F66" s="17" t="inlineStr">
        <is>
          <t>台</t>
        </is>
      </c>
      <c r="G66" s="20" t="n">
        <v>12000</v>
      </c>
      <c r="H66" s="21">
        <f>ROUND(E66*G66,0)</f>
        <v>24000</v>
      </c>
      <c r="I66" s="17" t="inlineStr">
        <is>
          <t>図面カウント</t>
        </is>
      </c>
      <c r="J66" s="18" t="inlineStr"/>
    </row>
    <row r="67">
      <c r="A67" s="17" t="inlineStr">
        <is>
          <t>06</t>
        </is>
      </c>
      <c r="B67" s="17" t="inlineStr"/>
      <c r="C67" s="18" t="inlineStr">
        <is>
          <t>FE-A6 中間ファン 据付</t>
        </is>
      </c>
      <c r="D67" s="18" t="inlineStr">
        <is>
          <t>BFS-50SYA2 200φ 1階男性WC</t>
        </is>
      </c>
      <c r="E67" s="19" t="n">
        <v>1</v>
      </c>
      <c r="F67" s="17" t="inlineStr">
        <is>
          <t>台</t>
        </is>
      </c>
      <c r="G67" s="20" t="n">
        <v>35000</v>
      </c>
      <c r="H67" s="21">
        <f>ROUND(E67*G67,0)</f>
        <v>35000</v>
      </c>
      <c r="I67" s="17" t="inlineStr">
        <is>
          <t>図面カウント</t>
        </is>
      </c>
      <c r="J67" s="18" t="inlineStr">
        <is>
          <t>防振吊金具共</t>
        </is>
      </c>
    </row>
    <row r="68">
      <c r="A68" s="17" t="inlineStr">
        <is>
          <t>06</t>
        </is>
      </c>
      <c r="B68" s="17" t="inlineStr"/>
      <c r="C68" s="18" t="inlineStr">
        <is>
          <t>FE-A7 天井扇 据付</t>
        </is>
      </c>
      <c r="D68" s="18" t="inlineStr">
        <is>
          <t>VD-17ZSC14 1階多目的WC</t>
        </is>
      </c>
      <c r="E68" s="19" t="n">
        <v>1</v>
      </c>
      <c r="F68" s="17" t="inlineStr">
        <is>
          <t>台</t>
        </is>
      </c>
      <c r="G68" s="20" t="n">
        <v>12000</v>
      </c>
      <c r="H68" s="21">
        <f>ROUND(E68*G68,0)</f>
        <v>12000</v>
      </c>
      <c r="I68" s="17" t="inlineStr">
        <is>
          <t>図面カウント</t>
        </is>
      </c>
      <c r="J68" s="18" t="inlineStr"/>
    </row>
    <row r="69">
      <c r="A69" s="17" t="inlineStr">
        <is>
          <t>06</t>
        </is>
      </c>
      <c r="B69" s="17" t="inlineStr"/>
      <c r="C69" s="18" t="inlineStr">
        <is>
          <t>FE-B1 天井扇 据付</t>
        </is>
      </c>
      <c r="D69" s="18" t="inlineStr">
        <is>
          <t>VD-17ZSC14 シューズロッカー・洗い場</t>
        </is>
      </c>
      <c r="E69" s="19" t="n">
        <v>2</v>
      </c>
      <c r="F69" s="17" t="inlineStr">
        <is>
          <t>台</t>
        </is>
      </c>
      <c r="G69" s="20" t="n">
        <v>12000</v>
      </c>
      <c r="H69" s="21">
        <f>ROUND(E69*G69,0)</f>
        <v>24000</v>
      </c>
      <c r="I69" s="17" t="inlineStr">
        <is>
          <t>図面カウント</t>
        </is>
      </c>
      <c r="J69" s="18" t="inlineStr"/>
    </row>
    <row r="70">
      <c r="A70" s="17" t="inlineStr">
        <is>
          <t>06</t>
        </is>
      </c>
      <c r="B70" s="17" t="inlineStr"/>
      <c r="C70" s="18" t="inlineStr">
        <is>
          <t>FE-B2 天井扇 据付</t>
        </is>
      </c>
      <c r="D70" s="18" t="inlineStr">
        <is>
          <t>VD-23ZB13 洗濯室</t>
        </is>
      </c>
      <c r="E70" s="19" t="n">
        <v>2</v>
      </c>
      <c r="F70" s="17" t="inlineStr">
        <is>
          <t>台</t>
        </is>
      </c>
      <c r="G70" s="20" t="n">
        <v>14000</v>
      </c>
      <c r="H70" s="21">
        <f>ROUND(E70*G70,0)</f>
        <v>28000</v>
      </c>
      <c r="I70" s="17" t="inlineStr">
        <is>
          <t>図面カウント</t>
        </is>
      </c>
      <c r="J70" s="18" t="inlineStr"/>
    </row>
    <row r="71">
      <c r="A71" s="17" t="inlineStr">
        <is>
          <t>06</t>
        </is>
      </c>
      <c r="B71" s="17" t="inlineStr"/>
      <c r="C71" s="18" t="inlineStr">
        <is>
          <t>FE-B3 有圧扇 据付</t>
        </is>
      </c>
      <c r="D71" s="18" t="inlineStr">
        <is>
          <t>EF-25ASXC2 浴室 ウェザーカバー共</t>
        </is>
      </c>
      <c r="E71" s="19" t="n">
        <v>2</v>
      </c>
      <c r="F71" s="17" t="inlineStr">
        <is>
          <t>台</t>
        </is>
      </c>
      <c r="G71" s="20" t="n">
        <v>25000</v>
      </c>
      <c r="H71" s="21">
        <f>ROUND(E71*G71,0)</f>
        <v>50000</v>
      </c>
      <c r="I71" s="17" t="inlineStr">
        <is>
          <t>図面カウント</t>
        </is>
      </c>
      <c r="J71" s="18" t="inlineStr"/>
    </row>
    <row r="72">
      <c r="A72" s="17" t="inlineStr">
        <is>
          <t>06</t>
        </is>
      </c>
      <c r="B72" s="17" t="inlineStr"/>
      <c r="C72" s="18" t="inlineStr">
        <is>
          <t>FE-B4 中間ファン 据付</t>
        </is>
      </c>
      <c r="D72" s="18" t="inlineStr">
        <is>
          <t>BFS-50SYA2 脱衣室・前室</t>
        </is>
      </c>
      <c r="E72" s="19" t="n">
        <v>1</v>
      </c>
      <c r="F72" s="17" t="inlineStr">
        <is>
          <t>台</t>
        </is>
      </c>
      <c r="G72" s="20" t="n">
        <v>35000</v>
      </c>
      <c r="H72" s="21">
        <f>ROUND(E72*G72,0)</f>
        <v>35000</v>
      </c>
      <c r="I72" s="17" t="inlineStr">
        <is>
          <t>図面カウント</t>
        </is>
      </c>
      <c r="J72" s="18" t="inlineStr"/>
    </row>
    <row r="73">
      <c r="A73" s="17" t="inlineStr">
        <is>
          <t>06</t>
        </is>
      </c>
      <c r="B73" s="17" t="inlineStr"/>
      <c r="C73" s="18" t="inlineStr">
        <is>
          <t>FE-C1 パイプファン 据付</t>
        </is>
      </c>
      <c r="D73" s="18" t="inlineStr">
        <is>
          <t>V-08PPX8 厨房WC・休憩室・段ボール庫・ゴミ庫2</t>
        </is>
      </c>
      <c r="E73" s="19" t="n">
        <v>4</v>
      </c>
      <c r="F73" s="17" t="inlineStr">
        <is>
          <t>台</t>
        </is>
      </c>
      <c r="G73" s="20" t="n">
        <v>8000</v>
      </c>
      <c r="H73" s="21">
        <f>ROUND(E73*G73,0)</f>
        <v>32000</v>
      </c>
      <c r="I73" s="17" t="inlineStr">
        <is>
          <t>図面カウント</t>
        </is>
      </c>
      <c r="J73" s="18" t="inlineStr"/>
    </row>
    <row r="74">
      <c r="A74" s="17" t="inlineStr">
        <is>
          <t>06</t>
        </is>
      </c>
      <c r="B74" s="17" t="inlineStr"/>
      <c r="C74" s="18" t="inlineStr">
        <is>
          <t>FE-C2 パイプファン 据付</t>
        </is>
      </c>
      <c r="D74" s="18" t="inlineStr">
        <is>
          <t>V-08PP8 厨房前室</t>
        </is>
      </c>
      <c r="E74" s="19" t="n">
        <v>1</v>
      </c>
      <c r="F74" s="17" t="inlineStr">
        <is>
          <t>台</t>
        </is>
      </c>
      <c r="G74" s="20" t="n">
        <v>8000</v>
      </c>
      <c r="H74" s="21">
        <f>ROUND(E74*G74,0)</f>
        <v>8000</v>
      </c>
      <c r="I74" s="17" t="inlineStr">
        <is>
          <t>図面カウント</t>
        </is>
      </c>
      <c r="J74" s="18" t="inlineStr"/>
    </row>
    <row r="75">
      <c r="A75" s="17" t="inlineStr">
        <is>
          <t>06</t>
        </is>
      </c>
      <c r="B75" s="17" t="inlineStr"/>
      <c r="C75" s="18" t="inlineStr">
        <is>
          <t>FE-C3 天井扇 据付</t>
        </is>
      </c>
      <c r="D75" s="18" t="inlineStr">
        <is>
          <t>VD-15ZC14 冷蔵庫室</t>
        </is>
      </c>
      <c r="E75" s="19" t="n">
        <v>1</v>
      </c>
      <c r="F75" s="17" t="inlineStr">
        <is>
          <t>台</t>
        </is>
      </c>
      <c r="G75" s="20" t="n">
        <v>12000</v>
      </c>
      <c r="H75" s="21">
        <f>ROUND(E75*G75,0)</f>
        <v>12000</v>
      </c>
      <c r="I75" s="17" t="inlineStr">
        <is>
          <t>図面カウント</t>
        </is>
      </c>
      <c r="J75" s="18" t="inlineStr"/>
    </row>
    <row r="76">
      <c r="A76" s="17" t="inlineStr">
        <is>
          <t>06</t>
        </is>
      </c>
      <c r="B76" s="17" t="inlineStr"/>
      <c r="C76" s="18" t="inlineStr">
        <is>
          <t>FE-C4 天井扇 据付</t>
        </is>
      </c>
      <c r="D76" s="18" t="inlineStr">
        <is>
          <t>VD-17ZSC14 食品庫・弁当室</t>
        </is>
      </c>
      <c r="E76" s="19" t="n">
        <v>2</v>
      </c>
      <c r="F76" s="17" t="inlineStr">
        <is>
          <t>台</t>
        </is>
      </c>
      <c r="G76" s="20" t="n">
        <v>12000</v>
      </c>
      <c r="H76" s="21">
        <f>ROUND(E76*G76,0)</f>
        <v>24000</v>
      </c>
      <c r="I76" s="17" t="inlineStr">
        <is>
          <t>図面カウント</t>
        </is>
      </c>
      <c r="J76" s="18" t="inlineStr"/>
    </row>
    <row r="77">
      <c r="A77" s="17" t="inlineStr">
        <is>
          <t>06</t>
        </is>
      </c>
      <c r="B77" s="17" t="inlineStr"/>
      <c r="C77" s="18" t="inlineStr">
        <is>
          <t>FE-C5 天井扇 据付</t>
        </is>
      </c>
      <c r="D77" s="18" t="inlineStr">
        <is>
          <t>VD-13ZC14 厨房廊下</t>
        </is>
      </c>
      <c r="E77" s="19" t="n">
        <v>1</v>
      </c>
      <c r="F77" s="17" t="inlineStr">
        <is>
          <t>台</t>
        </is>
      </c>
      <c r="G77" s="20" t="n">
        <v>12000</v>
      </c>
      <c r="H77" s="21">
        <f>ROUND(E77*G77,0)</f>
        <v>12000</v>
      </c>
      <c r="I77" s="17" t="inlineStr">
        <is>
          <t>図面カウント</t>
        </is>
      </c>
      <c r="J77" s="18" t="inlineStr"/>
    </row>
    <row r="78">
      <c r="A78" s="17" t="inlineStr">
        <is>
          <t>06</t>
        </is>
      </c>
      <c r="B78" s="17" t="inlineStr"/>
      <c r="C78" s="18" t="inlineStr">
        <is>
          <t>FE-D1 親子扇 据付</t>
        </is>
      </c>
      <c r="D78" s="18" t="inlineStr">
        <is>
          <t>VD-10ZFC14 来客室UB</t>
        </is>
      </c>
      <c r="E78" s="19" t="n">
        <v>5</v>
      </c>
      <c r="F78" s="17" t="inlineStr">
        <is>
          <t>台</t>
        </is>
      </c>
      <c r="G78" s="20" t="n">
        <v>14000</v>
      </c>
      <c r="H78" s="21">
        <f>ROUND(E78*G78,0)</f>
        <v>70000</v>
      </c>
      <c r="I78" s="17" t="inlineStr">
        <is>
          <t>図面カウント</t>
        </is>
      </c>
      <c r="J78" s="18" t="inlineStr"/>
    </row>
    <row r="79">
      <c r="A79" s="17" t="inlineStr">
        <is>
          <t>06</t>
        </is>
      </c>
      <c r="B79" s="17" t="inlineStr"/>
      <c r="C79" s="18" t="inlineStr">
        <is>
          <t>FE-D2 有圧扇 据付</t>
        </is>
      </c>
      <c r="D79" s="18" t="inlineStr">
        <is>
          <t>ENF-20YSA2 倉庫2 ウェザーカバー共</t>
        </is>
      </c>
      <c r="E79" s="19" t="n">
        <v>1</v>
      </c>
      <c r="F79" s="17" t="inlineStr">
        <is>
          <t>台</t>
        </is>
      </c>
      <c r="G79" s="20" t="n">
        <v>25000</v>
      </c>
      <c r="H79" s="21">
        <f>ROUND(E79*G79,0)</f>
        <v>25000</v>
      </c>
      <c r="I79" s="17" t="inlineStr">
        <is>
          <t>図面カウント</t>
        </is>
      </c>
      <c r="J79" s="18" t="inlineStr"/>
    </row>
    <row r="80">
      <c r="A80" s="17" t="inlineStr">
        <is>
          <t>06</t>
        </is>
      </c>
      <c r="B80" s="17" t="inlineStr"/>
      <c r="C80" s="18" t="inlineStr">
        <is>
          <t>FE-D3 天井扇 据付</t>
        </is>
      </c>
      <c r="D80" s="18" t="inlineStr">
        <is>
          <t>VD-20ZC14 ケア室</t>
        </is>
      </c>
      <c r="E80" s="19" t="n">
        <v>1</v>
      </c>
      <c r="F80" s="17" t="inlineStr">
        <is>
          <t>台</t>
        </is>
      </c>
      <c r="G80" s="20" t="n">
        <v>12000</v>
      </c>
      <c r="H80" s="21">
        <f>ROUND(E80*G80,0)</f>
        <v>12000</v>
      </c>
      <c r="I80" s="17" t="inlineStr">
        <is>
          <t>図面カウント</t>
        </is>
      </c>
      <c r="J80" s="18" t="inlineStr"/>
    </row>
    <row r="81">
      <c r="A81" s="17" t="inlineStr">
        <is>
          <t>06</t>
        </is>
      </c>
      <c r="B81" s="17" t="inlineStr"/>
      <c r="C81" s="18" t="inlineStr">
        <is>
          <t>FE-D4 天井扇 据付</t>
        </is>
      </c>
      <c r="D81" s="18" t="inlineStr">
        <is>
          <t>VD-15ZC14 コーチルーム流し</t>
        </is>
      </c>
      <c r="E81" s="19" t="n">
        <v>1</v>
      </c>
      <c r="F81" s="17" t="inlineStr">
        <is>
          <t>台</t>
        </is>
      </c>
      <c r="G81" s="20" t="n">
        <v>12000</v>
      </c>
      <c r="H81" s="21">
        <f>ROUND(E81*G81,0)</f>
        <v>12000</v>
      </c>
      <c r="I81" s="17" t="inlineStr">
        <is>
          <t>図面カウント</t>
        </is>
      </c>
      <c r="J81" s="18" t="inlineStr"/>
    </row>
    <row r="82">
      <c r="A82" s="17" t="inlineStr">
        <is>
          <t>06</t>
        </is>
      </c>
      <c r="B82" s="17" t="inlineStr"/>
      <c r="C82" s="18" t="inlineStr">
        <is>
          <t>FE-E1 中間ファン 据付</t>
        </is>
      </c>
      <c r="D82" s="18" t="inlineStr">
        <is>
          <t>BFS-80SYA2 2階WC(北)</t>
        </is>
      </c>
      <c r="E82" s="19" t="n">
        <v>2</v>
      </c>
      <c r="F82" s="17" t="inlineStr">
        <is>
          <t>台</t>
        </is>
      </c>
      <c r="G82" s="20" t="n">
        <v>35000</v>
      </c>
      <c r="H82" s="21">
        <f>ROUND(E82*G82,0)</f>
        <v>70000</v>
      </c>
      <c r="I82" s="17" t="inlineStr">
        <is>
          <t>図面カウント</t>
        </is>
      </c>
      <c r="J82" s="18" t="inlineStr"/>
    </row>
    <row r="83">
      <c r="A83" s="17" t="inlineStr">
        <is>
          <t>06</t>
        </is>
      </c>
      <c r="B83" s="17" t="inlineStr"/>
      <c r="C83" s="18" t="inlineStr">
        <is>
          <t>FE-E2 天井扇 据付</t>
        </is>
      </c>
      <c r="D83" s="18" t="inlineStr">
        <is>
          <t>VD-20ZC14 2階洗面所(北)(南)</t>
        </is>
      </c>
      <c r="E83" s="19" t="n">
        <v>2</v>
      </c>
      <c r="F83" s="17" t="inlineStr">
        <is>
          <t>台</t>
        </is>
      </c>
      <c r="G83" s="20" t="n">
        <v>12000</v>
      </c>
      <c r="H83" s="21">
        <f>ROUND(E83*G83,0)</f>
        <v>24000</v>
      </c>
      <c r="I83" s="17" t="inlineStr">
        <is>
          <t>図面カウント</t>
        </is>
      </c>
      <c r="J83" s="18" t="inlineStr"/>
    </row>
    <row r="84">
      <c r="A84" s="17" t="inlineStr">
        <is>
          <t>06</t>
        </is>
      </c>
      <c r="B84" s="17" t="inlineStr"/>
      <c r="C84" s="18" t="inlineStr">
        <is>
          <t>FE-E3 天井扇 据付</t>
        </is>
      </c>
      <c r="D84" s="18" t="inlineStr">
        <is>
          <t>VD-20ZC14 2階階段ホール</t>
        </is>
      </c>
      <c r="E84" s="19" t="n">
        <v>2</v>
      </c>
      <c r="F84" s="17" t="inlineStr">
        <is>
          <t>台</t>
        </is>
      </c>
      <c r="G84" s="20" t="n">
        <v>12000</v>
      </c>
      <c r="H84" s="21">
        <f>ROUND(E84*G84,0)</f>
        <v>24000</v>
      </c>
      <c r="I84" s="17" t="inlineStr">
        <is>
          <t>図面カウント</t>
        </is>
      </c>
      <c r="J84" s="18" t="inlineStr"/>
    </row>
    <row r="85">
      <c r="A85" s="17" t="inlineStr">
        <is>
          <t>06</t>
        </is>
      </c>
      <c r="B85" s="17" t="inlineStr"/>
      <c r="C85" s="18" t="inlineStr">
        <is>
          <t>FE-E4 中間ファン 据付</t>
        </is>
      </c>
      <c r="D85" s="18" t="inlineStr">
        <is>
          <t>BFS-50SYA2 2階WC(南)</t>
        </is>
      </c>
      <c r="E85" s="19" t="n">
        <v>2</v>
      </c>
      <c r="F85" s="17" t="inlineStr">
        <is>
          <t>台</t>
        </is>
      </c>
      <c r="G85" s="20" t="n">
        <v>35000</v>
      </c>
      <c r="H85" s="21">
        <f>ROUND(E85*G85,0)</f>
        <v>70000</v>
      </c>
      <c r="I85" s="17" t="inlineStr">
        <is>
          <t>図面カウント</t>
        </is>
      </c>
      <c r="J85" s="18" t="inlineStr"/>
    </row>
    <row r="86">
      <c r="A86" s="17" t="inlineStr">
        <is>
          <t>06</t>
        </is>
      </c>
      <c r="B86" s="17" t="inlineStr"/>
      <c r="C86" s="18" t="inlineStr">
        <is>
          <t>FE-E5 天井扇 据付</t>
        </is>
      </c>
      <c r="D86" s="18" t="inlineStr">
        <is>
          <t>VD-15ZPC14 多目的スペース</t>
        </is>
      </c>
      <c r="E86" s="19" t="n">
        <v>1</v>
      </c>
      <c r="F86" s="17" t="inlineStr">
        <is>
          <t>台</t>
        </is>
      </c>
      <c r="G86" s="20" t="n">
        <v>12000</v>
      </c>
      <c r="H86" s="21">
        <f>ROUND(E86*G86,0)</f>
        <v>12000</v>
      </c>
      <c r="I86" s="17" t="inlineStr">
        <is>
          <t>図面カウント</t>
        </is>
      </c>
      <c r="J86" s="18" t="inlineStr"/>
    </row>
    <row r="87">
      <c r="A87" s="17" t="inlineStr">
        <is>
          <t>06</t>
        </is>
      </c>
      <c r="B87" s="17" t="inlineStr"/>
      <c r="C87" s="18" t="inlineStr">
        <is>
          <t>FE-E6 親子扇 据付</t>
        </is>
      </c>
      <c r="D87" s="18" t="inlineStr">
        <is>
          <t>VD-10ZFC14 寮務スタッフ室UB</t>
        </is>
      </c>
      <c r="E87" s="19" t="n">
        <v>1</v>
      </c>
      <c r="F87" s="17" t="inlineStr">
        <is>
          <t>台</t>
        </is>
      </c>
      <c r="G87" s="20" t="n">
        <v>14000</v>
      </c>
      <c r="H87" s="21">
        <f>ROUND(E87*G87,0)</f>
        <v>14000</v>
      </c>
      <c r="I87" s="17" t="inlineStr">
        <is>
          <t>図面カウント</t>
        </is>
      </c>
      <c r="J87" s="18" t="inlineStr"/>
    </row>
    <row r="88">
      <c r="A88" s="17" t="inlineStr">
        <is>
          <t>06</t>
        </is>
      </c>
      <c r="B88" s="17" t="inlineStr"/>
      <c r="C88" s="18" t="inlineStr">
        <is>
          <t>HEX-1 全熱交換器 据付</t>
        </is>
      </c>
      <c r="D88" s="18" t="inlineStr">
        <is>
          <t>LGH-N80RXV2 天井埋込 食堂 リモコン共</t>
        </is>
      </c>
      <c r="E88" s="19" t="n">
        <v>1</v>
      </c>
      <c r="F88" s="17" t="inlineStr">
        <is>
          <t>台</t>
        </is>
      </c>
      <c r="G88" s="20" t="n">
        <v>45000</v>
      </c>
      <c r="H88" s="21">
        <f>ROUND(E88*G88,0)</f>
        <v>45000</v>
      </c>
      <c r="I88" s="17" t="inlineStr">
        <is>
          <t>図面カウント</t>
        </is>
      </c>
      <c r="J88" s="18" t="inlineStr">
        <is>
          <t>08にて中止→C-1で減額</t>
        </is>
      </c>
    </row>
    <row r="89">
      <c r="A89" s="17" t="inlineStr">
        <is>
          <t>06</t>
        </is>
      </c>
      <c r="B89" s="17" t="inlineStr"/>
      <c r="C89" s="18" t="inlineStr">
        <is>
          <t>HEX-2 全熱交換器 据付</t>
        </is>
      </c>
      <c r="D89" s="18" t="inlineStr">
        <is>
          <t>LGH-N65RXW2 天井埋込 ミーティングルーム</t>
        </is>
      </c>
      <c r="E89" s="19" t="n">
        <v>1</v>
      </c>
      <c r="F89" s="17" t="inlineStr">
        <is>
          <t>台</t>
        </is>
      </c>
      <c r="G89" s="20" t="n">
        <v>45000</v>
      </c>
      <c r="H89" s="21">
        <f>ROUND(E89*G89,0)</f>
        <v>45000</v>
      </c>
      <c r="I89" s="17" t="inlineStr">
        <is>
          <t>図面カウント</t>
        </is>
      </c>
      <c r="J89" s="18" t="inlineStr">
        <is>
          <t>08にて中止→C-1で減額</t>
        </is>
      </c>
    </row>
    <row r="90">
      <c r="A90" s="17" t="inlineStr">
        <is>
          <t>06</t>
        </is>
      </c>
      <c r="B90" s="17" t="inlineStr"/>
      <c r="C90" s="18" t="inlineStr">
        <is>
          <t>HEX-3 全熱交換器 据付</t>
        </is>
      </c>
      <c r="D90" s="18" t="inlineStr">
        <is>
          <t>SKU-50AC 天井カセット コーチルーム・トレーニングルーム</t>
        </is>
      </c>
      <c r="E90" s="19" t="n">
        <v>4</v>
      </c>
      <c r="F90" s="17" t="inlineStr">
        <is>
          <t>台</t>
        </is>
      </c>
      <c r="G90" s="20" t="n">
        <v>40000</v>
      </c>
      <c r="H90" s="21">
        <f>ROUND(E90*G90,0)</f>
        <v>160000</v>
      </c>
      <c r="I90" s="17" t="inlineStr">
        <is>
          <t>図面カウント</t>
        </is>
      </c>
      <c r="J90" s="18" t="inlineStr">
        <is>
          <t>08にて中止→C-1で減額</t>
        </is>
      </c>
    </row>
    <row r="91">
      <c r="A91" s="17" t="inlineStr">
        <is>
          <t>06</t>
        </is>
      </c>
      <c r="B91" s="17" t="inlineStr"/>
      <c r="C91" s="18" t="inlineStr">
        <is>
          <t>HEX-4 壁掛ロスナイ 据付</t>
        </is>
      </c>
      <c r="D91" s="18" t="inlineStr">
        <is>
          <t>VL-10ES3 来客室・寮室(南)・寮務スタッフ室</t>
        </is>
      </c>
      <c r="E91" s="19" t="n">
        <v>46</v>
      </c>
      <c r="F91" s="17" t="inlineStr">
        <is>
          <t>台</t>
        </is>
      </c>
      <c r="G91" s="20" t="n">
        <v>12000</v>
      </c>
      <c r="H91" s="21">
        <f>ROUND(E91*G91,0)</f>
        <v>552000</v>
      </c>
      <c r="I91" s="17" t="inlineStr">
        <is>
          <t>図面カウント</t>
        </is>
      </c>
      <c r="J91" s="18" t="inlineStr">
        <is>
          <t>08にて中止→C-1で減額</t>
        </is>
      </c>
    </row>
    <row r="92">
      <c r="A92" s="17" t="inlineStr">
        <is>
          <t>06</t>
        </is>
      </c>
      <c r="B92" s="17" t="inlineStr"/>
      <c r="C92" s="18" t="inlineStr">
        <is>
          <t>HEX-5 壁掛ロスナイ 据付</t>
        </is>
      </c>
      <c r="D92" s="18" t="inlineStr">
        <is>
          <t>VL-12ESH3 寮室(北)</t>
        </is>
      </c>
      <c r="E92" s="19" t="n">
        <v>27</v>
      </c>
      <c r="F92" s="17" t="inlineStr">
        <is>
          <t>台</t>
        </is>
      </c>
      <c r="G92" s="20" t="n">
        <v>12000</v>
      </c>
      <c r="H92" s="21">
        <f>ROUND(E92*G92,0)</f>
        <v>324000</v>
      </c>
      <c r="I92" s="17" t="inlineStr">
        <is>
          <t>図面カウント</t>
        </is>
      </c>
      <c r="J92" s="18" t="inlineStr">
        <is>
          <t>08にて中止→C-1で減額</t>
        </is>
      </c>
    </row>
    <row r="93">
      <c r="A93" s="17" t="inlineStr">
        <is>
          <t>06</t>
        </is>
      </c>
      <c r="B93" s="17" t="inlineStr"/>
      <c r="C93" s="18" t="inlineStr">
        <is>
          <t>F-1 中間ファン 据付</t>
        </is>
      </c>
      <c r="D93" s="18" t="inlineStr">
        <is>
          <t>BFS-80SXA2 厨房用 洗浄室</t>
        </is>
      </c>
      <c r="E93" s="19" t="n">
        <v>1</v>
      </c>
      <c r="F93" s="17" t="inlineStr">
        <is>
          <t>台</t>
        </is>
      </c>
      <c r="G93" s="20" t="n">
        <v>35000</v>
      </c>
      <c r="H93" s="21">
        <f>ROUND(E93*G93,0)</f>
        <v>35000</v>
      </c>
      <c r="I93" s="17" t="inlineStr">
        <is>
          <t>図面カウント</t>
        </is>
      </c>
      <c r="J93" s="18" t="inlineStr"/>
    </row>
    <row r="94">
      <c r="A94" s="17" t="inlineStr">
        <is>
          <t>06</t>
        </is>
      </c>
      <c r="B94" s="17" t="inlineStr"/>
      <c r="C94" s="18" t="inlineStr">
        <is>
          <t>F-2 中間ファン 据付</t>
        </is>
      </c>
      <c r="D94" s="18" t="inlineStr">
        <is>
          <t>BFS-150SXA2 厨房用 厨房</t>
        </is>
      </c>
      <c r="E94" s="19" t="n">
        <v>1</v>
      </c>
      <c r="F94" s="17" t="inlineStr">
        <is>
          <t>台</t>
        </is>
      </c>
      <c r="G94" s="20" t="n">
        <v>40000</v>
      </c>
      <c r="H94" s="21">
        <f>ROUND(E94*G94,0)</f>
        <v>40000</v>
      </c>
      <c r="I94" s="17" t="inlineStr">
        <is>
          <t>図面カウント</t>
        </is>
      </c>
      <c r="J94" s="18" t="inlineStr"/>
    </row>
    <row r="95">
      <c r="A95" s="17" t="inlineStr">
        <is>
          <t>06</t>
        </is>
      </c>
      <c r="B95" s="17" t="inlineStr"/>
      <c r="C95" s="18" t="inlineStr">
        <is>
          <t>F-3 有圧扇 据付</t>
        </is>
      </c>
      <c r="D95" s="18" t="inlineStr">
        <is>
          <t>EF-30BSXC2-HC 厨房 ウェザーカバー・リモコン共</t>
        </is>
      </c>
      <c r="E95" s="19" t="n">
        <v>3</v>
      </c>
      <c r="F95" s="17" t="inlineStr">
        <is>
          <t>台</t>
        </is>
      </c>
      <c r="G95" s="20" t="n">
        <v>28000</v>
      </c>
      <c r="H95" s="21">
        <f>ROUND(E95*G95,0)</f>
        <v>84000</v>
      </c>
      <c r="I95" s="17" t="inlineStr">
        <is>
          <t>図面カウント</t>
        </is>
      </c>
      <c r="J95" s="18" t="inlineStr"/>
    </row>
    <row r="96">
      <c r="A96" s="17" t="inlineStr">
        <is>
          <t>06</t>
        </is>
      </c>
      <c r="B96" s="17" t="inlineStr"/>
      <c r="C96" s="18" t="inlineStr">
        <is>
          <t>F-4 サイクル扇 据付</t>
        </is>
      </c>
      <c r="D96" s="18" t="inlineStr">
        <is>
          <t>CY-30WD 脱衣室 速度調節器共</t>
        </is>
      </c>
      <c r="E96" s="19" t="n">
        <v>4</v>
      </c>
      <c r="F96" s="17" t="inlineStr">
        <is>
          <t>台</t>
        </is>
      </c>
      <c r="G96" s="20" t="n">
        <v>10000</v>
      </c>
      <c r="H96" s="21">
        <f>ROUND(E96*G96,0)</f>
        <v>40000</v>
      </c>
      <c r="I96" s="17" t="inlineStr">
        <is>
          <t>図面カウント</t>
        </is>
      </c>
      <c r="J96" s="18" t="inlineStr"/>
    </row>
    <row r="97">
      <c r="A97" s="17" t="inlineStr">
        <is>
          <t>06</t>
        </is>
      </c>
      <c r="B97" s="17" t="inlineStr"/>
      <c r="C97" s="18" t="inlineStr">
        <is>
          <t>FS-1 中間ファン 据付</t>
        </is>
      </c>
      <c r="D97" s="18" t="inlineStr">
        <is>
          <t>BFS-80SUG2 給気 洗浄室 F-1と連動</t>
        </is>
      </c>
      <c r="E97" s="19" t="n">
        <v>1</v>
      </c>
      <c r="F97" s="17" t="inlineStr">
        <is>
          <t>台</t>
        </is>
      </c>
      <c r="G97" s="20" t="n">
        <v>35000</v>
      </c>
      <c r="H97" s="21">
        <f>ROUND(E97*G97,0)</f>
        <v>35000</v>
      </c>
      <c r="I97" s="17" t="inlineStr">
        <is>
          <t>図面カウント</t>
        </is>
      </c>
      <c r="J97" s="18" t="inlineStr"/>
    </row>
    <row r="98">
      <c r="A98" s="17" t="inlineStr">
        <is>
          <t>06</t>
        </is>
      </c>
      <c r="B98" s="17" t="inlineStr"/>
      <c r="C98" s="18" t="inlineStr">
        <is>
          <t>FS-2 中間ファン 据付</t>
        </is>
      </c>
      <c r="D98" s="18" t="inlineStr">
        <is>
          <t>BFS-150SUG2 給気 厨房 F-2と連動</t>
        </is>
      </c>
      <c r="E98" s="19" t="n">
        <v>1</v>
      </c>
      <c r="F98" s="17" t="inlineStr">
        <is>
          <t>台</t>
        </is>
      </c>
      <c r="G98" s="20" t="n">
        <v>40000</v>
      </c>
      <c r="H98" s="21">
        <f>ROUND(E98*G98,0)</f>
        <v>40000</v>
      </c>
      <c r="I98" s="17" t="inlineStr">
        <is>
          <t>図面カウント</t>
        </is>
      </c>
      <c r="J98" s="18" t="inlineStr"/>
    </row>
    <row r="99">
      <c r="A99" s="17" t="inlineStr">
        <is>
          <t>06</t>
        </is>
      </c>
      <c r="B99" s="17" t="inlineStr"/>
      <c r="C99" s="18" t="inlineStr">
        <is>
          <t>全熱交換器・中間ファン リモコン配線</t>
        </is>
      </c>
      <c r="D99" s="18" t="inlineStr">
        <is>
          <t>HEX-1,2,3(4台)・F-3 リモコン線 工事区分表: 機械</t>
        </is>
      </c>
      <c r="E99" s="19" t="n">
        <v>9</v>
      </c>
      <c r="F99" s="17" t="inlineStr">
        <is>
          <t>台</t>
        </is>
      </c>
      <c r="G99" s="20" t="n">
        <v>8000</v>
      </c>
      <c r="H99" s="21">
        <f>ROUND(E99*G99,0)</f>
        <v>72000</v>
      </c>
      <c r="I99" s="17" t="inlineStr">
        <is>
          <t>図面カウント</t>
        </is>
      </c>
      <c r="J99" s="18" t="inlineStr">
        <is>
          <t>HEX分は08で減額</t>
        </is>
      </c>
    </row>
    <row r="100">
      <c r="A100" s="17" t="inlineStr">
        <is>
          <t>06</t>
        </is>
      </c>
      <c r="B100" s="17" t="inlineStr"/>
      <c r="C100" s="18" t="inlineStr">
        <is>
          <t>機器搬入・養生</t>
        </is>
      </c>
      <c r="D100" s="18" t="inlineStr">
        <is>
          <t>換気機器 約140台</t>
        </is>
      </c>
      <c r="E100" s="19" t="n">
        <v>1</v>
      </c>
      <c r="F100" s="17" t="inlineStr">
        <is>
          <t>式</t>
        </is>
      </c>
      <c r="G100" s="20" t="n">
        <v>80000</v>
      </c>
      <c r="H100" s="21">
        <f>ROUND(E100*G100,0)</f>
        <v>80000</v>
      </c>
      <c r="I100" s="17" t="inlineStr">
        <is>
          <t>推測</t>
        </is>
      </c>
      <c r="J100" s="18" t="inlineStr"/>
    </row>
    <row r="101">
      <c r="A101" s="16" t="n"/>
      <c r="B101" s="16" t="n"/>
      <c r="C101" s="16" t="inlineStr">
        <is>
          <t>B-1 換気機器据付（機器元請支給） 小計</t>
        </is>
      </c>
      <c r="D101" s="16" t="n"/>
      <c r="E101" s="16" t="n"/>
      <c r="F101" s="16" t="n"/>
      <c r="G101" s="16" t="n"/>
      <c r="H101" s="22">
        <f>SUM(H62:H100)</f>
        <v>2247000</v>
      </c>
      <c r="I101" s="16" t="n"/>
      <c r="J101" s="16" t="n"/>
    </row>
    <row r="102">
      <c r="A102" s="16" t="n"/>
      <c r="B102" s="16" t="inlineStr">
        <is>
          <t>B-2</t>
        </is>
      </c>
      <c r="C102" s="16" t="inlineStr">
        <is>
          <t>ダクト工事</t>
        </is>
      </c>
      <c r="D102" s="16" t="n"/>
      <c r="E102" s="16" t="n"/>
      <c r="F102" s="16" t="n"/>
      <c r="G102" s="16" t="n"/>
      <c r="H102" s="16" t="n"/>
      <c r="I102" s="16" t="n"/>
      <c r="J102" s="16" t="n"/>
    </row>
    <row r="103">
      <c r="A103" s="17" t="inlineStr">
        <is>
          <t>06</t>
        </is>
      </c>
      <c r="B103" s="17" t="inlineStr"/>
      <c r="C103" s="18" t="inlineStr">
        <is>
          <t>スパイラルダクト 100φ (EA)</t>
        </is>
      </c>
      <c r="D103" s="18" t="inlineStr">
        <is>
          <t>亜鉛鉄板 低速 継手・支持共</t>
        </is>
      </c>
      <c r="E103" s="19" t="n">
        <v>68</v>
      </c>
      <c r="F103" s="17" t="inlineStr">
        <is>
          <t>m</t>
        </is>
      </c>
      <c r="G103" s="20" t="n">
        <v>4500</v>
      </c>
      <c r="H103" s="21">
        <f>ROUND(E103*G103,0)</f>
        <v>306000</v>
      </c>
      <c r="I103" s="17" t="inlineStr">
        <is>
          <t>実測</t>
        </is>
      </c>
      <c r="J103" s="18" t="inlineStr">
        <is>
          <t>1F 62.6m・2F 5.2m</t>
        </is>
      </c>
    </row>
    <row r="104">
      <c r="A104" s="17" t="inlineStr">
        <is>
          <t>06</t>
        </is>
      </c>
      <c r="B104" s="17" t="inlineStr"/>
      <c r="C104" s="18" t="inlineStr">
        <is>
          <t>スパイラルダクト 150φ (EA)</t>
        </is>
      </c>
      <c r="D104" s="18" t="inlineStr">
        <is>
          <t>亜鉛鉄板 低速 継手・支持共</t>
        </is>
      </c>
      <c r="E104" s="19" t="n">
        <v>151</v>
      </c>
      <c r="F104" s="17" t="inlineStr">
        <is>
          <t>m</t>
        </is>
      </c>
      <c r="G104" s="20" t="n">
        <v>5500</v>
      </c>
      <c r="H104" s="21">
        <f>ROUND(E104*G104,0)</f>
        <v>830500</v>
      </c>
      <c r="I104" s="17" t="inlineStr">
        <is>
          <t>実測</t>
        </is>
      </c>
      <c r="J104" s="18" t="inlineStr">
        <is>
          <t>1F 122.4m・2F 28.2m(口径未判読分含む)</t>
        </is>
      </c>
    </row>
    <row r="105">
      <c r="A105" s="17" t="inlineStr">
        <is>
          <t>06</t>
        </is>
      </c>
      <c r="B105" s="17" t="inlineStr"/>
      <c r="C105" s="18" t="inlineStr">
        <is>
          <t>スパイラルダクト 200φ (EA)</t>
        </is>
      </c>
      <c r="D105" s="18" t="inlineStr">
        <is>
          <t>亜鉛鉄板 低速 継手・支持共</t>
        </is>
      </c>
      <c r="E105" s="19" t="n">
        <v>44</v>
      </c>
      <c r="F105" s="17" t="inlineStr">
        <is>
          <t>m</t>
        </is>
      </c>
      <c r="G105" s="20" t="n">
        <v>6500</v>
      </c>
      <c r="H105" s="21">
        <f>ROUND(E105*G105,0)</f>
        <v>286000</v>
      </c>
      <c r="I105" s="17" t="inlineStr">
        <is>
          <t>実測+推測</t>
        </is>
      </c>
      <c r="J105" s="18" t="inlineStr">
        <is>
          <t>1F 25.2m・2F 9.8m 実測＋厨房詳細図 9m 推測</t>
        </is>
      </c>
    </row>
    <row r="106">
      <c r="A106" s="17" t="inlineStr">
        <is>
          <t>06</t>
        </is>
      </c>
      <c r="B106" s="17" t="inlineStr"/>
      <c r="C106" s="18" t="inlineStr">
        <is>
          <t>スパイラルダクト 250φ (EA 厨房)</t>
        </is>
      </c>
      <c r="D106" s="18" t="inlineStr">
        <is>
          <t>亜鉛鉄板 継手・支持共</t>
        </is>
      </c>
      <c r="E106" s="19" t="n">
        <v>6</v>
      </c>
      <c r="F106" s="17" t="inlineStr">
        <is>
          <t>m</t>
        </is>
      </c>
      <c r="G106" s="20" t="n">
        <v>7500</v>
      </c>
      <c r="H106" s="21">
        <f>ROUND(E106*G106,0)</f>
        <v>45000</v>
      </c>
      <c r="I106" s="17" t="inlineStr">
        <is>
          <t>推測</t>
        </is>
      </c>
      <c r="J106" s="18" t="inlineStr">
        <is>
          <t>厨房廻り平面詳細図より</t>
        </is>
      </c>
    </row>
    <row r="107">
      <c r="A107" s="17" t="inlineStr">
        <is>
          <t>06</t>
        </is>
      </c>
      <c r="B107" s="17" t="inlineStr"/>
      <c r="C107" s="18" t="inlineStr">
        <is>
          <t>スパイラルダクト 300φ (EA 厨房)</t>
        </is>
      </c>
      <c r="D107" s="18" t="inlineStr">
        <is>
          <t>亜鉛鉄板 継手・支持共</t>
        </is>
      </c>
      <c r="E107" s="19" t="n">
        <v>5</v>
      </c>
      <c r="F107" s="17" t="inlineStr">
        <is>
          <t>m</t>
        </is>
      </c>
      <c r="G107" s="20" t="n">
        <v>8500</v>
      </c>
      <c r="H107" s="21">
        <f>ROUND(E107*G107,0)</f>
        <v>42500</v>
      </c>
      <c r="I107" s="17" t="inlineStr">
        <is>
          <t>推測</t>
        </is>
      </c>
      <c r="J107" s="18" t="inlineStr">
        <is>
          <t>フード③④→F-3 3台</t>
        </is>
      </c>
    </row>
    <row r="108">
      <c r="A108" s="17" t="inlineStr">
        <is>
          <t>06</t>
        </is>
      </c>
      <c r="B108" s="17" t="inlineStr"/>
      <c r="C108" s="18" t="inlineStr">
        <is>
          <t>スパイラルダクト 100φ (OA)</t>
        </is>
      </c>
      <c r="D108" s="18" t="inlineStr">
        <is>
          <t>亜鉛鉄板 継手・支持共</t>
        </is>
      </c>
      <c r="E108" s="19" t="n">
        <v>4</v>
      </c>
      <c r="F108" s="17" t="inlineStr">
        <is>
          <t>m</t>
        </is>
      </c>
      <c r="G108" s="20" t="n">
        <v>4500</v>
      </c>
      <c r="H108" s="21">
        <f>ROUND(E108*G108,0)</f>
        <v>18000</v>
      </c>
      <c r="I108" s="17" t="inlineStr">
        <is>
          <t>実測</t>
        </is>
      </c>
      <c r="J108" s="18" t="inlineStr"/>
    </row>
    <row r="109">
      <c r="A109" s="17" t="inlineStr">
        <is>
          <t>06</t>
        </is>
      </c>
      <c r="B109" s="17" t="inlineStr"/>
      <c r="C109" s="18" t="inlineStr">
        <is>
          <t>スパイラルダクト 150φ (OA)</t>
        </is>
      </c>
      <c r="D109" s="18" t="inlineStr">
        <is>
          <t>亜鉛鉄板 継手・支持共</t>
        </is>
      </c>
      <c r="E109" s="19" t="n">
        <v>51</v>
      </c>
      <c r="F109" s="17" t="inlineStr">
        <is>
          <t>m</t>
        </is>
      </c>
      <c r="G109" s="20" t="n">
        <v>5500</v>
      </c>
      <c r="H109" s="21">
        <f>ROUND(E109*G109,0)</f>
        <v>280500</v>
      </c>
      <c r="I109" s="17" t="inlineStr">
        <is>
          <t>実測</t>
        </is>
      </c>
      <c r="J109" s="18" t="inlineStr">
        <is>
          <t>1F 50.4m</t>
        </is>
      </c>
    </row>
    <row r="110">
      <c r="A110" s="17" t="inlineStr">
        <is>
          <t>06</t>
        </is>
      </c>
      <c r="B110" s="17" t="inlineStr"/>
      <c r="C110" s="18" t="inlineStr">
        <is>
          <t>スパイラルダクト 200φ (OA)</t>
        </is>
      </c>
      <c r="D110" s="18" t="inlineStr">
        <is>
          <t>亜鉛鉄板 継手・支持共</t>
        </is>
      </c>
      <c r="E110" s="19" t="n">
        <v>57</v>
      </c>
      <c r="F110" s="17" t="inlineStr">
        <is>
          <t>m</t>
        </is>
      </c>
      <c r="G110" s="20" t="n">
        <v>6500</v>
      </c>
      <c r="H110" s="21">
        <f>ROUND(E110*G110,0)</f>
        <v>370500</v>
      </c>
      <c r="I110" s="17" t="inlineStr">
        <is>
          <t>実測+推測</t>
        </is>
      </c>
      <c r="J110" s="18" t="inlineStr">
        <is>
          <t>1F 45.7m・2F 3.5m 実測＋厨房FS-1 7.5m 推測</t>
        </is>
      </c>
    </row>
    <row r="111">
      <c r="A111" s="17" t="inlineStr">
        <is>
          <t>06</t>
        </is>
      </c>
      <c r="B111" s="17" t="inlineStr"/>
      <c r="C111" s="18" t="inlineStr">
        <is>
          <t>スパイラルダクト 250φ (OA 厨房 FS-2)</t>
        </is>
      </c>
      <c r="D111" s="18" t="inlineStr">
        <is>
          <t>亜鉛鉄板 継手・支持共</t>
        </is>
      </c>
      <c r="E111" s="19" t="n">
        <v>6</v>
      </c>
      <c r="F111" s="17" t="inlineStr">
        <is>
          <t>m</t>
        </is>
      </c>
      <c r="G111" s="20" t="n">
        <v>7500</v>
      </c>
      <c r="H111" s="21">
        <f>ROUND(E111*G111,0)</f>
        <v>45000</v>
      </c>
      <c r="I111" s="17" t="inlineStr">
        <is>
          <t>推測</t>
        </is>
      </c>
      <c r="J111" s="18" t="inlineStr"/>
    </row>
    <row r="112">
      <c r="A112" s="17" t="inlineStr">
        <is>
          <t>06</t>
        </is>
      </c>
      <c r="B112" s="17" t="inlineStr"/>
      <c r="C112" s="18" t="inlineStr">
        <is>
          <t>スパイラルダクト 300φ (OA 厨房)</t>
        </is>
      </c>
      <c r="D112" s="18" t="inlineStr">
        <is>
          <t>亜鉛鉄板 継手・支持共 F-3用自然給気</t>
        </is>
      </c>
      <c r="E112" s="19" t="n">
        <v>3</v>
      </c>
      <c r="F112" s="17" t="inlineStr">
        <is>
          <t>m</t>
        </is>
      </c>
      <c r="G112" s="20" t="n">
        <v>8500</v>
      </c>
      <c r="H112" s="21">
        <f>ROUND(E112*G112,0)</f>
        <v>25500</v>
      </c>
      <c r="I112" s="17" t="inlineStr">
        <is>
          <t>推測</t>
        </is>
      </c>
      <c r="J112" s="18" t="inlineStr"/>
    </row>
    <row r="113">
      <c r="A113" s="17" t="inlineStr">
        <is>
          <t>06</t>
        </is>
      </c>
      <c r="B113" s="17" t="inlineStr"/>
      <c r="C113" s="18" t="inlineStr">
        <is>
          <t>外壁貫通部ダクト (フード接続)</t>
        </is>
      </c>
      <c r="D113" s="18" t="inlineStr">
        <is>
          <t>150φ相当 1.0m/箇所</t>
        </is>
      </c>
      <c r="E113" s="19" t="n">
        <v>58</v>
      </c>
      <c r="F113" s="17" t="inlineStr">
        <is>
          <t>m</t>
        </is>
      </c>
      <c r="G113" s="20" t="n">
        <v>5500</v>
      </c>
      <c r="H113" s="21">
        <f>ROUND(E113*G113,0)</f>
        <v>319000</v>
      </c>
      <c r="I113" s="17" t="inlineStr">
        <is>
          <t>推測</t>
        </is>
      </c>
      <c r="J113" s="18" t="inlineStr">
        <is>
          <t>1F フード48箇所・2F廊下10箇所</t>
        </is>
      </c>
    </row>
    <row r="114">
      <c r="A114" s="17" t="inlineStr">
        <is>
          <t>06</t>
        </is>
      </c>
      <c r="B114" s="17" t="inlineStr"/>
      <c r="C114" s="18" t="inlineStr">
        <is>
          <t>VD 風量調整ダンパー</t>
        </is>
      </c>
      <c r="D114" s="18" t="inlineStr">
        <is>
          <t>150～200φ</t>
        </is>
      </c>
      <c r="E114" s="19" t="n">
        <v>13</v>
      </c>
      <c r="F114" s="17" t="inlineStr">
        <is>
          <t>個</t>
        </is>
      </c>
      <c r="G114" s="20" t="n">
        <v>8000</v>
      </c>
      <c r="H114" s="21">
        <f>ROUND(E114*G114,0)</f>
        <v>104000</v>
      </c>
      <c r="I114" s="17" t="inlineStr">
        <is>
          <t>実測</t>
        </is>
      </c>
      <c r="J114" s="18" t="inlineStr">
        <is>
          <t>図示 VD 1F 9・2F 4</t>
        </is>
      </c>
    </row>
    <row r="115">
      <c r="A115" s="17" t="inlineStr">
        <is>
          <t>06</t>
        </is>
      </c>
      <c r="B115" s="17" t="inlineStr"/>
      <c r="C115" s="18" t="inlineStr">
        <is>
          <t>フレキシブルダクト・接続材</t>
        </is>
      </c>
      <c r="D115" s="18" t="inlineStr">
        <is>
          <t>機器接続部</t>
        </is>
      </c>
      <c r="E115" s="19" t="n">
        <v>1</v>
      </c>
      <c r="F115" s="17" t="inlineStr">
        <is>
          <t>式</t>
        </is>
      </c>
      <c r="G115" s="20" t="n">
        <v>60000</v>
      </c>
      <c r="H115" s="21">
        <f>ROUND(E115*G115,0)</f>
        <v>60000</v>
      </c>
      <c r="I115" s="17" t="inlineStr">
        <is>
          <t>推測</t>
        </is>
      </c>
      <c r="J115" s="18" t="inlineStr"/>
    </row>
    <row r="116">
      <c r="A116" s="16" t="n"/>
      <c r="B116" s="16" t="n"/>
      <c r="C116" s="16" t="inlineStr">
        <is>
          <t>B-2 ダクト工事 小計</t>
        </is>
      </c>
      <c r="D116" s="16" t="n"/>
      <c r="E116" s="16" t="n"/>
      <c r="F116" s="16" t="n"/>
      <c r="G116" s="16" t="n"/>
      <c r="H116" s="22">
        <f>SUM(H103:H115)</f>
        <v>2732500</v>
      </c>
      <c r="I116" s="16" t="n"/>
      <c r="J116" s="16" t="n"/>
    </row>
    <row r="117">
      <c r="A117" s="16" t="n"/>
      <c r="B117" s="16" t="inlineStr">
        <is>
          <t>B-3</t>
        </is>
      </c>
      <c r="C117" s="16" t="inlineStr">
        <is>
          <t>ダクト保温</t>
        </is>
      </c>
      <c r="D117" s="16" t="n"/>
      <c r="E117" s="16" t="n"/>
      <c r="F117" s="16" t="n"/>
      <c r="G117" s="16" t="n"/>
      <c r="H117" s="16" t="n"/>
      <c r="I117" s="16" t="n"/>
      <c r="J117" s="16" t="n"/>
    </row>
    <row r="118">
      <c r="A118" s="17" t="inlineStr">
        <is>
          <t>06</t>
        </is>
      </c>
      <c r="B118" s="17" t="inlineStr"/>
      <c r="C118" s="18" t="inlineStr">
        <is>
          <t>OAダクト 保温</t>
        </is>
      </c>
      <c r="D118" s="18" t="inlineStr">
        <is>
          <t>GW保温筒25 ALGC 隠蔽(天井内) 特記仕様書 保温表</t>
        </is>
      </c>
      <c r="E118" s="19" t="n">
        <v>123</v>
      </c>
      <c r="F118" s="17" t="inlineStr">
        <is>
          <t>m</t>
        </is>
      </c>
      <c r="G118" s="20" t="n">
        <v>3500</v>
      </c>
      <c r="H118" s="21">
        <f>ROUND(E118*G118,0)</f>
        <v>430500</v>
      </c>
      <c r="I118" s="17" t="inlineStr">
        <is>
          <t>実測+推測</t>
        </is>
      </c>
      <c r="J118" s="18" t="inlineStr">
        <is>
          <t>OAダクト全長</t>
        </is>
      </c>
    </row>
    <row r="119">
      <c r="A119" s="17" t="inlineStr">
        <is>
          <t>06</t>
        </is>
      </c>
      <c r="B119" s="17" t="inlineStr"/>
      <c r="C119" s="18" t="inlineStr">
        <is>
          <t>厨房排気ダクト 保温</t>
        </is>
      </c>
      <c r="D119" s="18" t="inlineStr">
        <is>
          <t>RW保温筒50 ＋アルミガラスクロス＋亀甲金網巻</t>
        </is>
      </c>
      <c r="E119" s="19" t="n">
        <v>20</v>
      </c>
      <c r="F119" s="17" t="inlineStr">
        <is>
          <t>m</t>
        </is>
      </c>
      <c r="G119" s="20" t="n">
        <v>7000</v>
      </c>
      <c r="H119" s="21">
        <f>ROUND(E119*G119,0)</f>
        <v>140000</v>
      </c>
      <c r="I119" s="17" t="inlineStr">
        <is>
          <t>推測</t>
        </is>
      </c>
      <c r="J119" s="18" t="inlineStr">
        <is>
          <t>厨房200/250/300φ EA</t>
        </is>
      </c>
    </row>
    <row r="120">
      <c r="A120" s="16" t="n"/>
      <c r="B120" s="16" t="n"/>
      <c r="C120" s="16" t="inlineStr">
        <is>
          <t>B-3 ダクト保温 小計</t>
        </is>
      </c>
      <c r="D120" s="16" t="n"/>
      <c r="E120" s="16" t="n"/>
      <c r="F120" s="16" t="n"/>
      <c r="G120" s="16" t="n"/>
      <c r="H120" s="22">
        <f>SUM(H118:H119)</f>
        <v>570500</v>
      </c>
      <c r="I120" s="16" t="n"/>
      <c r="J120" s="16" t="n"/>
    </row>
    <row r="121">
      <c r="A121" s="16" t="n"/>
      <c r="B121" s="16" t="inlineStr">
        <is>
          <t>B-4</t>
        </is>
      </c>
      <c r="C121" s="16" t="inlineStr">
        <is>
          <t>制気口・ボックス</t>
        </is>
      </c>
      <c r="D121" s="16" t="n"/>
      <c r="E121" s="16" t="n"/>
      <c r="F121" s="16" t="n"/>
      <c r="G121" s="16" t="n"/>
      <c r="H121" s="16" t="n"/>
      <c r="I121" s="16" t="n"/>
      <c r="J121" s="16" t="n"/>
    </row>
    <row r="122">
      <c r="A122" s="17" t="inlineStr">
        <is>
          <t>06</t>
        </is>
      </c>
      <c r="B122" s="17" t="inlineStr"/>
      <c r="C122" s="18" t="inlineStr">
        <is>
          <t>VHS 200×200 (開口率70%)</t>
        </is>
      </c>
      <c r="D122" s="18" t="inlineStr">
        <is>
          <t>SUS/鋼製 指定色</t>
        </is>
      </c>
      <c r="E122" s="19" t="n">
        <v>8</v>
      </c>
      <c r="F122" s="17" t="inlineStr">
        <is>
          <t>個</t>
        </is>
      </c>
      <c r="G122" s="20" t="n">
        <v>10000</v>
      </c>
      <c r="H122" s="21">
        <f>ROUND(E122*G122,0)</f>
        <v>80000</v>
      </c>
      <c r="I122" s="17" t="inlineStr">
        <is>
          <t>図面カウント</t>
        </is>
      </c>
      <c r="J122" s="18" t="inlineStr">
        <is>
          <t>管理人室1・倉庫2 1・食堂3・ﾐｰﾃｨﾝｸﾞ3</t>
        </is>
      </c>
    </row>
    <row r="123">
      <c r="A123" s="17" t="inlineStr">
        <is>
          <t>06</t>
        </is>
      </c>
      <c r="B123" s="17" t="inlineStr"/>
      <c r="C123" s="18" t="inlineStr">
        <is>
          <t>VHS 250×250</t>
        </is>
      </c>
      <c r="D123" s="18" t="inlineStr"/>
      <c r="E123" s="19" t="n">
        <v>3</v>
      </c>
      <c r="F123" s="17" t="inlineStr">
        <is>
          <t>個</t>
        </is>
      </c>
      <c r="G123" s="20" t="n">
        <v>12000</v>
      </c>
      <c r="H123" s="21">
        <f>ROUND(E123*G123,0)</f>
        <v>36000</v>
      </c>
      <c r="I123" s="17" t="inlineStr">
        <is>
          <t>図面カウント</t>
        </is>
      </c>
      <c r="J123" s="18" t="inlineStr">
        <is>
          <t>和室・シューズロッカー・廊下D1</t>
        </is>
      </c>
    </row>
    <row r="124">
      <c r="A124" s="17" t="inlineStr">
        <is>
          <t>06</t>
        </is>
      </c>
      <c r="B124" s="17" t="inlineStr"/>
      <c r="C124" s="18" t="inlineStr">
        <is>
          <t>VHS 300×300</t>
        </is>
      </c>
      <c r="D124" s="18" t="inlineStr"/>
      <c r="E124" s="19" t="n">
        <v>1</v>
      </c>
      <c r="F124" s="17" t="inlineStr">
        <is>
          <t>個</t>
        </is>
      </c>
      <c r="G124" s="20" t="n">
        <v>14000</v>
      </c>
      <c r="H124" s="21">
        <f>ROUND(E124*G124,0)</f>
        <v>14000</v>
      </c>
      <c r="I124" s="17" t="inlineStr">
        <is>
          <t>図面カウント</t>
        </is>
      </c>
      <c r="J124" s="18" t="inlineStr">
        <is>
          <t>厨房前室</t>
        </is>
      </c>
    </row>
    <row r="125">
      <c r="A125" s="17" t="inlineStr">
        <is>
          <t>06</t>
        </is>
      </c>
      <c r="B125" s="17" t="inlineStr"/>
      <c r="C125" s="18" t="inlineStr">
        <is>
          <t>VHS 350×350</t>
        </is>
      </c>
      <c r="D125" s="18" t="inlineStr"/>
      <c r="E125" s="19" t="n">
        <v>4</v>
      </c>
      <c r="F125" s="17" t="inlineStr">
        <is>
          <t>個</t>
        </is>
      </c>
      <c r="G125" s="20" t="n">
        <v>16000</v>
      </c>
      <c r="H125" s="21">
        <f>ROUND(E125*G125,0)</f>
        <v>64000</v>
      </c>
      <c r="I125" s="17" t="inlineStr">
        <is>
          <t>図面カウント</t>
        </is>
      </c>
      <c r="J125" s="18" t="inlineStr">
        <is>
          <t>2F廊下</t>
        </is>
      </c>
    </row>
    <row r="126">
      <c r="A126" s="17" t="inlineStr">
        <is>
          <t>06</t>
        </is>
      </c>
      <c r="B126" s="17" t="inlineStr"/>
      <c r="C126" s="18" t="inlineStr">
        <is>
          <t>VHS 400×400</t>
        </is>
      </c>
      <c r="D126" s="18" t="inlineStr"/>
      <c r="E126" s="19" t="n">
        <v>2</v>
      </c>
      <c r="F126" s="17" t="inlineStr">
        <is>
          <t>個</t>
        </is>
      </c>
      <c r="G126" s="20" t="n">
        <v>18000</v>
      </c>
      <c r="H126" s="21">
        <f>ROUND(E126*G126,0)</f>
        <v>36000</v>
      </c>
      <c r="I126" s="17" t="inlineStr">
        <is>
          <t>図面カウント</t>
        </is>
      </c>
      <c r="J126" s="18" t="inlineStr">
        <is>
          <t>洗濯室・廊下A</t>
        </is>
      </c>
    </row>
    <row r="127">
      <c r="A127" s="17" t="inlineStr">
        <is>
          <t>06</t>
        </is>
      </c>
      <c r="B127" s="17" t="inlineStr"/>
      <c r="C127" s="18" t="inlineStr">
        <is>
          <t>VHS 450×450</t>
        </is>
      </c>
      <c r="D127" s="18" t="inlineStr"/>
      <c r="E127" s="19" t="n">
        <v>2</v>
      </c>
      <c r="F127" s="17" t="inlineStr">
        <is>
          <t>個</t>
        </is>
      </c>
      <c r="G127" s="20" t="n">
        <v>20000</v>
      </c>
      <c r="H127" s="21">
        <f>ROUND(E127*G127,0)</f>
        <v>40000</v>
      </c>
      <c r="I127" s="17" t="inlineStr">
        <is>
          <t>図面カウント</t>
        </is>
      </c>
      <c r="J127" s="18" t="inlineStr">
        <is>
          <t>脱衣室</t>
        </is>
      </c>
    </row>
    <row r="128">
      <c r="A128" s="17" t="inlineStr">
        <is>
          <t>06</t>
        </is>
      </c>
      <c r="B128" s="17" t="inlineStr"/>
      <c r="C128" s="18" t="inlineStr">
        <is>
          <t>HS/VHS 550×550</t>
        </is>
      </c>
      <c r="D128" s="18" t="inlineStr"/>
      <c r="E128" s="19" t="n">
        <v>2</v>
      </c>
      <c r="F128" s="17" t="inlineStr">
        <is>
          <t>個</t>
        </is>
      </c>
      <c r="G128" s="20" t="n">
        <v>25000</v>
      </c>
      <c r="H128" s="21">
        <f>ROUND(E128*G128,0)</f>
        <v>50000</v>
      </c>
      <c r="I128" s="17" t="inlineStr">
        <is>
          <t>図面カウント</t>
        </is>
      </c>
      <c r="J128" s="18" t="inlineStr">
        <is>
          <t>浴室 FE-B3</t>
        </is>
      </c>
    </row>
    <row r="129">
      <c r="A129" s="17" t="inlineStr">
        <is>
          <t>06</t>
        </is>
      </c>
      <c r="B129" s="17" t="inlineStr"/>
      <c r="C129" s="18" t="inlineStr">
        <is>
          <t>VHS 650×650</t>
        </is>
      </c>
      <c r="D129" s="18" t="inlineStr"/>
      <c r="E129" s="19" t="n">
        <v>2</v>
      </c>
      <c r="F129" s="17" t="inlineStr">
        <is>
          <t>個</t>
        </is>
      </c>
      <c r="G129" s="20" t="n">
        <v>30000</v>
      </c>
      <c r="H129" s="21">
        <f>ROUND(E129*G129,0)</f>
        <v>60000</v>
      </c>
      <c r="I129" s="17" t="inlineStr">
        <is>
          <t>図面カウント</t>
        </is>
      </c>
      <c r="J129" s="18" t="inlineStr">
        <is>
          <t>厨房 F-3 給気</t>
        </is>
      </c>
    </row>
    <row r="130">
      <c r="A130" s="17" t="inlineStr">
        <is>
          <t>06</t>
        </is>
      </c>
      <c r="B130" s="17" t="inlineStr"/>
      <c r="C130" s="18" t="inlineStr">
        <is>
          <t>HS 150×150</t>
        </is>
      </c>
      <c r="D130" s="18" t="inlineStr"/>
      <c r="E130" s="19" t="n">
        <v>4</v>
      </c>
      <c r="F130" s="17" t="inlineStr">
        <is>
          <t>個</t>
        </is>
      </c>
      <c r="G130" s="20" t="n">
        <v>7000</v>
      </c>
      <c r="H130" s="21">
        <f>ROUND(E130*G130,0)</f>
        <v>28000</v>
      </c>
      <c r="I130" s="17" t="inlineStr">
        <is>
          <t>図面カウント</t>
        </is>
      </c>
      <c r="J130" s="18" t="inlineStr">
        <is>
          <t>男子WC</t>
        </is>
      </c>
    </row>
    <row r="131">
      <c r="A131" s="17" t="inlineStr">
        <is>
          <t>06</t>
        </is>
      </c>
      <c r="B131" s="17" t="inlineStr"/>
      <c r="C131" s="18" t="inlineStr">
        <is>
          <t>HS 200×200</t>
        </is>
      </c>
      <c r="D131" s="18" t="inlineStr"/>
      <c r="E131" s="19" t="n">
        <v>18</v>
      </c>
      <c r="F131" s="17" t="inlineStr">
        <is>
          <t>個</t>
        </is>
      </c>
      <c r="G131" s="20" t="n">
        <v>8000</v>
      </c>
      <c r="H131" s="21">
        <f>ROUND(E131*G131,0)</f>
        <v>144000</v>
      </c>
      <c r="I131" s="17" t="inlineStr">
        <is>
          <t>図面カウント</t>
        </is>
      </c>
      <c r="J131" s="18" t="inlineStr">
        <is>
          <t>食堂3・ﾐｰﾃｨﾝｸﾞ3・北WC7・南WC5</t>
        </is>
      </c>
    </row>
    <row r="132">
      <c r="A132" s="17" t="inlineStr">
        <is>
          <t>06</t>
        </is>
      </c>
      <c r="B132" s="17" t="inlineStr"/>
      <c r="C132" s="18" t="inlineStr">
        <is>
          <t>BOX(内貼) 300×300×300H</t>
        </is>
      </c>
      <c r="D132" s="18" t="inlineStr">
        <is>
          <t>GW25 内貼</t>
        </is>
      </c>
      <c r="E132" s="19" t="n">
        <v>4</v>
      </c>
      <c r="F132" s="17" t="inlineStr">
        <is>
          <t>個</t>
        </is>
      </c>
      <c r="G132" s="20" t="n">
        <v>14000</v>
      </c>
      <c r="H132" s="21">
        <f>ROUND(E132*G132,0)</f>
        <v>56000</v>
      </c>
      <c r="I132" s="17" t="inlineStr">
        <is>
          <t>図面カウント</t>
        </is>
      </c>
      <c r="J132" s="18" t="inlineStr">
        <is>
          <t>男子WC</t>
        </is>
      </c>
    </row>
    <row r="133">
      <c r="A133" s="17" t="inlineStr">
        <is>
          <t>06</t>
        </is>
      </c>
      <c r="B133" s="17" t="inlineStr"/>
      <c r="C133" s="18" t="inlineStr">
        <is>
          <t>BOX(内貼) 350×350×300H</t>
        </is>
      </c>
      <c r="D133" s="18" t="inlineStr"/>
      <c r="E133" s="19" t="n">
        <v>26</v>
      </c>
      <c r="F133" s="17" t="inlineStr">
        <is>
          <t>個</t>
        </is>
      </c>
      <c r="G133" s="20" t="n">
        <v>15000</v>
      </c>
      <c r="H133" s="21">
        <f>ROUND(E133*G133,0)</f>
        <v>390000</v>
      </c>
      <c r="I133" s="17" t="inlineStr">
        <is>
          <t>図面カウント</t>
        </is>
      </c>
      <c r="J133" s="18" t="inlineStr"/>
    </row>
    <row r="134">
      <c r="A134" s="17" t="inlineStr">
        <is>
          <t>06</t>
        </is>
      </c>
      <c r="B134" s="17" t="inlineStr"/>
      <c r="C134" s="18" t="inlineStr">
        <is>
          <t>BOX(内貼) 400×400×300H</t>
        </is>
      </c>
      <c r="D134" s="18" t="inlineStr"/>
      <c r="E134" s="19" t="n">
        <v>1</v>
      </c>
      <c r="F134" s="17" t="inlineStr">
        <is>
          <t>個</t>
        </is>
      </c>
      <c r="G134" s="20" t="n">
        <v>17000</v>
      </c>
      <c r="H134" s="21">
        <f>ROUND(E134*G134,0)</f>
        <v>17000</v>
      </c>
      <c r="I134" s="17" t="inlineStr">
        <is>
          <t>図面カウント</t>
        </is>
      </c>
      <c r="J134" s="18" t="inlineStr"/>
    </row>
    <row r="135">
      <c r="A135" s="17" t="inlineStr">
        <is>
          <t>06</t>
        </is>
      </c>
      <c r="B135" s="17" t="inlineStr"/>
      <c r="C135" s="18" t="inlineStr">
        <is>
          <t>BOX(内貼) 450×450×350H</t>
        </is>
      </c>
      <c r="D135" s="18" t="inlineStr"/>
      <c r="E135" s="19" t="n">
        <v>3</v>
      </c>
      <c r="F135" s="17" t="inlineStr">
        <is>
          <t>個</t>
        </is>
      </c>
      <c r="G135" s="20" t="n">
        <v>18000</v>
      </c>
      <c r="H135" s="21">
        <f>ROUND(E135*G135,0)</f>
        <v>54000</v>
      </c>
      <c r="I135" s="17" t="inlineStr">
        <is>
          <t>図面カウント</t>
        </is>
      </c>
      <c r="J135" s="18" t="inlineStr"/>
    </row>
    <row r="136">
      <c r="A136" s="17" t="inlineStr">
        <is>
          <t>06</t>
        </is>
      </c>
      <c r="B136" s="17" t="inlineStr"/>
      <c r="C136" s="18" t="inlineStr">
        <is>
          <t>BOX(内貼) 500×500×350H</t>
        </is>
      </c>
      <c r="D136" s="18" t="inlineStr"/>
      <c r="E136" s="19" t="n">
        <v>4</v>
      </c>
      <c r="F136" s="17" t="inlineStr">
        <is>
          <t>個</t>
        </is>
      </c>
      <c r="G136" s="20" t="n">
        <v>20000</v>
      </c>
      <c r="H136" s="21">
        <f>ROUND(E136*G136,0)</f>
        <v>80000</v>
      </c>
      <c r="I136" s="17" t="inlineStr">
        <is>
          <t>図面カウント</t>
        </is>
      </c>
      <c r="J136" s="18" t="inlineStr"/>
    </row>
    <row r="137">
      <c r="A137" s="17" t="inlineStr">
        <is>
          <t>06</t>
        </is>
      </c>
      <c r="B137" s="17" t="inlineStr"/>
      <c r="C137" s="18" t="inlineStr">
        <is>
          <t>BOX(内貼) 550×550×400H</t>
        </is>
      </c>
      <c r="D137" s="18" t="inlineStr"/>
      <c r="E137" s="19" t="n">
        <v>2</v>
      </c>
      <c r="F137" s="17" t="inlineStr">
        <is>
          <t>個</t>
        </is>
      </c>
      <c r="G137" s="20" t="n">
        <v>22000</v>
      </c>
      <c r="H137" s="21">
        <f>ROUND(E137*G137,0)</f>
        <v>44000</v>
      </c>
      <c r="I137" s="17" t="inlineStr">
        <is>
          <t>図面カウント</t>
        </is>
      </c>
      <c r="J137" s="18" t="inlineStr"/>
    </row>
    <row r="138">
      <c r="A138" s="17" t="inlineStr">
        <is>
          <t>06</t>
        </is>
      </c>
      <c r="B138" s="17" t="inlineStr"/>
      <c r="C138" s="18" t="inlineStr">
        <is>
          <t>BOX(内貼) 600×600×400H</t>
        </is>
      </c>
      <c r="D138" s="18" t="inlineStr"/>
      <c r="E138" s="19" t="n">
        <v>2</v>
      </c>
      <c r="F138" s="17" t="inlineStr">
        <is>
          <t>個</t>
        </is>
      </c>
      <c r="G138" s="20" t="n">
        <v>25000</v>
      </c>
      <c r="H138" s="21">
        <f>ROUND(E138*G138,0)</f>
        <v>50000</v>
      </c>
      <c r="I138" s="17" t="inlineStr">
        <is>
          <t>図面カウント</t>
        </is>
      </c>
      <c r="J138" s="18" t="inlineStr"/>
    </row>
    <row r="139">
      <c r="A139" s="17" t="inlineStr">
        <is>
          <t>06</t>
        </is>
      </c>
      <c r="B139" s="17" t="inlineStr"/>
      <c r="C139" s="18" t="inlineStr">
        <is>
          <t>BOX(内貼) 700×700×450H</t>
        </is>
      </c>
      <c r="D139" s="18" t="inlineStr"/>
      <c r="E139" s="19" t="n">
        <v>2</v>
      </c>
      <c r="F139" s="17" t="inlineStr">
        <is>
          <t>個</t>
        </is>
      </c>
      <c r="G139" s="20" t="n">
        <v>28000</v>
      </c>
      <c r="H139" s="21">
        <f>ROUND(E139*G139,0)</f>
        <v>56000</v>
      </c>
      <c r="I139" s="17" t="inlineStr">
        <is>
          <t>図面カウント</t>
        </is>
      </c>
      <c r="J139" s="18" t="inlineStr"/>
    </row>
    <row r="140">
      <c r="A140" s="17" t="inlineStr">
        <is>
          <t>06</t>
        </is>
      </c>
      <c r="B140" s="17" t="inlineStr"/>
      <c r="C140" s="18" t="inlineStr">
        <is>
          <t>BOX(内貼) 800×800×500H</t>
        </is>
      </c>
      <c r="D140" s="18" t="inlineStr"/>
      <c r="E140" s="19" t="n">
        <v>2</v>
      </c>
      <c r="F140" s="17" t="inlineStr">
        <is>
          <t>個</t>
        </is>
      </c>
      <c r="G140" s="20" t="n">
        <v>35000</v>
      </c>
      <c r="H140" s="21">
        <f>ROUND(E140*G140,0)</f>
        <v>70000</v>
      </c>
      <c r="I140" s="17" t="inlineStr">
        <is>
          <t>図面カウント</t>
        </is>
      </c>
      <c r="J140" s="18" t="inlineStr"/>
    </row>
    <row r="141">
      <c r="A141" s="16" t="n"/>
      <c r="B141" s="16" t="n"/>
      <c r="C141" s="16" t="inlineStr">
        <is>
          <t>B-4 制気口・ボックス 小計</t>
        </is>
      </c>
      <c r="D141" s="16" t="n"/>
      <c r="E141" s="16" t="n"/>
      <c r="F141" s="16" t="n"/>
      <c r="G141" s="16" t="n"/>
      <c r="H141" s="22">
        <f>SUM(H122:H140)</f>
        <v>1369000</v>
      </c>
      <c r="I141" s="16" t="n"/>
      <c r="J141" s="16" t="n"/>
    </row>
    <row r="142">
      <c r="A142" s="16" t="n"/>
      <c r="B142" s="16" t="inlineStr">
        <is>
          <t>B-5</t>
        </is>
      </c>
      <c r="C142" s="16" t="inlineStr">
        <is>
          <t>フード類・その他</t>
        </is>
      </c>
      <c r="D142" s="16" t="n"/>
      <c r="E142" s="16" t="n"/>
      <c r="F142" s="16" t="n"/>
      <c r="G142" s="16" t="n"/>
      <c r="H142" s="16" t="n"/>
      <c r="I142" s="16" t="n"/>
      <c r="J142" s="16" t="n"/>
    </row>
    <row r="143">
      <c r="A143" s="17" t="inlineStr">
        <is>
          <t>06</t>
        </is>
      </c>
      <c r="B143" s="17" t="inlineStr"/>
      <c r="C143" s="18" t="inlineStr">
        <is>
          <t>SUS製フード 取付 (支給品)</t>
        </is>
      </c>
      <c r="D143" s="18" t="inlineStr">
        <is>
          <t>指定色塗装 外壁貫通部</t>
        </is>
      </c>
      <c r="E143" s="19" t="n">
        <v>204</v>
      </c>
      <c r="F143" s="17" t="inlineStr">
        <is>
          <t>箇所</t>
        </is>
      </c>
      <c r="G143" s="20" t="n">
        <v>4000</v>
      </c>
      <c r="H143" s="21">
        <f>ROUND(E143*G143,0)</f>
        <v>816000</v>
      </c>
      <c r="I143" s="17" t="inlineStr">
        <is>
          <t>推測</t>
        </is>
      </c>
      <c r="J143" s="18" t="inlineStr">
        <is>
          <t>1F 48・2F廊下10・寮室146(HEX-4/5分)</t>
        </is>
      </c>
    </row>
    <row r="144">
      <c r="A144" s="17" t="inlineStr">
        <is>
          <t>06</t>
        </is>
      </c>
      <c r="B144" s="17" t="inlineStr"/>
      <c r="C144" s="18" t="inlineStr">
        <is>
          <t>ウェザーカバー 取付 (支給品)</t>
        </is>
      </c>
      <c r="D144" s="18" t="inlineStr">
        <is>
          <t>有圧扇用</t>
        </is>
      </c>
      <c r="E144" s="19" t="n">
        <v>6</v>
      </c>
      <c r="F144" s="17" t="inlineStr">
        <is>
          <t>箇所</t>
        </is>
      </c>
      <c r="G144" s="20" t="n">
        <v>5000</v>
      </c>
      <c r="H144" s="21">
        <f>ROUND(E144*G144,0)</f>
        <v>30000</v>
      </c>
      <c r="I144" s="17" t="inlineStr">
        <is>
          <t>図面カウント</t>
        </is>
      </c>
      <c r="J144" s="18" t="inlineStr">
        <is>
          <t>FE-B3 2・FE-D2 1・F-3 3</t>
        </is>
      </c>
    </row>
    <row r="145">
      <c r="A145" s="17" t="inlineStr">
        <is>
          <t>06</t>
        </is>
      </c>
      <c r="B145" s="17" t="inlineStr"/>
      <c r="C145" s="18" t="inlineStr">
        <is>
          <t>厨房フード① 製作取付</t>
        </is>
      </c>
      <c r="D145" s="18" t="inlineStr">
        <is>
          <t>SUS製 900×850×800H 二重フード</t>
        </is>
      </c>
      <c r="E145" s="19" t="n">
        <v>1</v>
      </c>
      <c r="F145" s="17" t="inlineStr">
        <is>
          <t>台</t>
        </is>
      </c>
      <c r="G145" s="20" t="n">
        <v>180000</v>
      </c>
      <c r="H145" s="21">
        <f>ROUND(E145*G145,0)</f>
        <v>180000</v>
      </c>
      <c r="I145" s="17" t="inlineStr">
        <is>
          <t>図面カウント</t>
        </is>
      </c>
      <c r="J145" s="18" t="inlineStr">
        <is>
          <t>フードリスト(p24) 工事区分要確認</t>
        </is>
      </c>
    </row>
    <row r="146">
      <c r="A146" s="17" t="inlineStr">
        <is>
          <t>06</t>
        </is>
      </c>
      <c r="B146" s="17" t="inlineStr"/>
      <c r="C146" s="18" t="inlineStr">
        <is>
          <t>厨房フード② 製作取付</t>
        </is>
      </c>
      <c r="D146" s="18" t="inlineStr">
        <is>
          <t>SUS製 1400×900×800H GF・二重フード</t>
        </is>
      </c>
      <c r="E146" s="19" t="n">
        <v>1</v>
      </c>
      <c r="F146" s="17" t="inlineStr">
        <is>
          <t>台</t>
        </is>
      </c>
      <c r="G146" s="20" t="n">
        <v>260000</v>
      </c>
      <c r="H146" s="21">
        <f>ROUND(E146*G146,0)</f>
        <v>260000</v>
      </c>
      <c r="I146" s="17" t="inlineStr">
        <is>
          <t>図面カウント</t>
        </is>
      </c>
      <c r="J146" s="18" t="inlineStr"/>
    </row>
    <row r="147">
      <c r="A147" s="17" t="inlineStr">
        <is>
          <t>06</t>
        </is>
      </c>
      <c r="B147" s="17" t="inlineStr"/>
      <c r="C147" s="18" t="inlineStr">
        <is>
          <t>厨房フード③ 製作取付</t>
        </is>
      </c>
      <c r="D147" s="18" t="inlineStr">
        <is>
          <t>SUS製 1170×1170×800H GF</t>
        </is>
      </c>
      <c r="E147" s="19" t="n">
        <v>1</v>
      </c>
      <c r="F147" s="17" t="inlineStr">
        <is>
          <t>台</t>
        </is>
      </c>
      <c r="G147" s="20" t="n">
        <v>260000</v>
      </c>
      <c r="H147" s="21">
        <f>ROUND(E147*G147,0)</f>
        <v>260000</v>
      </c>
      <c r="I147" s="17" t="inlineStr">
        <is>
          <t>図面カウント</t>
        </is>
      </c>
      <c r="J147" s="18" t="inlineStr"/>
    </row>
    <row r="148">
      <c r="A148" s="17" t="inlineStr">
        <is>
          <t>06</t>
        </is>
      </c>
      <c r="B148" s="17" t="inlineStr"/>
      <c r="C148" s="18" t="inlineStr">
        <is>
          <t>厨房フード④ 製作取付</t>
        </is>
      </c>
      <c r="D148" s="18" t="inlineStr">
        <is>
          <t>SUS製 3350×750×800H GF</t>
        </is>
      </c>
      <c r="E148" s="19" t="n">
        <v>1</v>
      </c>
      <c r="F148" s="17" t="inlineStr">
        <is>
          <t>台</t>
        </is>
      </c>
      <c r="G148" s="20" t="n">
        <v>450000</v>
      </c>
      <c r="H148" s="21">
        <f>ROUND(E148*G148,0)</f>
        <v>450000</v>
      </c>
      <c r="I148" s="17" t="inlineStr">
        <is>
          <t>図面カウント</t>
        </is>
      </c>
      <c r="J148" s="18" t="inlineStr"/>
    </row>
    <row r="149">
      <c r="A149" s="17" t="inlineStr">
        <is>
          <t>06</t>
        </is>
      </c>
      <c r="B149" s="17" t="inlineStr"/>
      <c r="C149" s="18" t="inlineStr">
        <is>
          <t>衣類乾燥機排気用スリーブ</t>
        </is>
      </c>
      <c r="D149" s="18" t="inlineStr">
        <is>
          <t>スリーブキャップ共</t>
        </is>
      </c>
      <c r="E149" s="19" t="n">
        <v>2</v>
      </c>
      <c r="F149" s="17" t="inlineStr">
        <is>
          <t>箇所</t>
        </is>
      </c>
      <c r="G149" s="20" t="n">
        <v>15000</v>
      </c>
      <c r="H149" s="21">
        <f>ROUND(E149*G149,0)</f>
        <v>30000</v>
      </c>
      <c r="I149" s="17" t="inlineStr">
        <is>
          <t>図面カウント</t>
        </is>
      </c>
      <c r="J149" s="18" t="inlineStr">
        <is>
          <t>洗濯室 図示</t>
        </is>
      </c>
    </row>
    <row r="150">
      <c r="A150" s="17" t="inlineStr">
        <is>
          <t>06</t>
        </is>
      </c>
      <c r="B150" s="17" t="inlineStr"/>
      <c r="C150" s="18" t="inlineStr">
        <is>
          <t>試運転調整・風量測定</t>
        </is>
      </c>
      <c r="D150" s="18" t="inlineStr">
        <is>
          <t>一式</t>
        </is>
      </c>
      <c r="E150" s="19" t="n">
        <v>1</v>
      </c>
      <c r="F150" s="17" t="inlineStr">
        <is>
          <t>式</t>
        </is>
      </c>
      <c r="G150" s="20" t="n">
        <v>120000</v>
      </c>
      <c r="H150" s="21">
        <f>ROUND(E150*G150,0)</f>
        <v>120000</v>
      </c>
      <c r="I150" s="17" t="inlineStr">
        <is>
          <t>推測</t>
        </is>
      </c>
      <c r="J150" s="18" t="inlineStr"/>
    </row>
    <row r="151">
      <c r="A151" s="16" t="n"/>
      <c r="B151" s="16" t="n"/>
      <c r="C151" s="16" t="inlineStr">
        <is>
          <t>B-5 フード類・その他 小計</t>
        </is>
      </c>
      <c r="D151" s="16" t="n"/>
      <c r="E151" s="16" t="n"/>
      <c r="F151" s="16" t="n"/>
      <c r="G151" s="16" t="n"/>
      <c r="H151" s="22">
        <f>SUM(H143:H150)</f>
        <v>2146000</v>
      </c>
      <c r="I151" s="16" t="n"/>
      <c r="J151" s="16" t="n"/>
    </row>
    <row r="152">
      <c r="A152" s="6" t="n"/>
      <c r="B152" s="6" t="n"/>
      <c r="C152" s="6" t="inlineStr">
        <is>
          <t>B 換気設備工事（ベース図面06） 計</t>
        </is>
      </c>
      <c r="D152" s="6" t="n"/>
      <c r="E152" s="6" t="n"/>
      <c r="F152" s="6" t="n"/>
      <c r="G152" s="6" t="n"/>
      <c r="H152" s="7">
        <f>H101+H116+H120+H141+H151</f>
        <v>9065000</v>
      </c>
      <c r="I152" s="6" t="n"/>
      <c r="J152" s="6" t="n"/>
    </row>
    <row r="154">
      <c r="A154" s="10" t="inlineStr">
        <is>
          <t>C</t>
        </is>
      </c>
      <c r="B154" s="10" t="inlineStr"/>
      <c r="C154" s="10" t="inlineStr">
        <is>
          <t>金額変更案（図面08 朱書き）</t>
        </is>
      </c>
      <c r="D154" s="10" t="n"/>
      <c r="E154" s="10" t="n"/>
      <c r="F154" s="10" t="n"/>
      <c r="G154" s="10" t="n"/>
      <c r="H154" s="10" t="n"/>
      <c r="I154" s="10" t="n"/>
      <c r="J154" s="10" t="n"/>
    </row>
    <row r="155">
      <c r="A155" s="23" t="n"/>
      <c r="B155" s="23" t="inlineStr">
        <is>
          <t>C-1</t>
        </is>
      </c>
      <c r="C155" s="23" t="inlineStr">
        <is>
          <t>No3・4 ロスナイ中止（減額・代替）</t>
        </is>
      </c>
      <c r="D155" s="23" t="n"/>
      <c r="E155" s="23" t="n"/>
      <c r="F155" s="23" t="n"/>
      <c r="G155" s="23" t="n"/>
      <c r="H155" s="23" t="n"/>
      <c r="I155" s="23" t="n"/>
      <c r="J155" s="23" t="n"/>
    </row>
    <row r="156">
      <c r="A156" s="24" t="inlineStr">
        <is>
          <t>08</t>
        </is>
      </c>
      <c r="B156" s="24" t="inlineStr"/>
      <c r="C156" s="25" t="inlineStr">
        <is>
          <t>HEX-1 全熱交換器 据付 (中止)</t>
        </is>
      </c>
      <c r="D156" s="25" t="inlineStr">
        <is>
          <t>LGH-N80RXV2 食堂</t>
        </is>
      </c>
      <c r="E156" s="26" t="n">
        <v>-1</v>
      </c>
      <c r="F156" s="24" t="inlineStr">
        <is>
          <t>台</t>
        </is>
      </c>
      <c r="G156" s="27" t="n">
        <v>45000</v>
      </c>
      <c r="H156" s="28">
        <f>ROUND(E156*G156,0)</f>
        <v>-45000</v>
      </c>
      <c r="I156" s="24" t="inlineStr">
        <is>
          <t>図面カウント</t>
        </is>
      </c>
      <c r="J156" s="25" t="inlineStr">
        <is>
          <t>No3・4 ロスナイ中止</t>
        </is>
      </c>
    </row>
    <row r="157">
      <c r="A157" s="24" t="inlineStr">
        <is>
          <t>08</t>
        </is>
      </c>
      <c r="B157" s="24" t="inlineStr"/>
      <c r="C157" s="25" t="inlineStr">
        <is>
          <t>HEX-2 全熱交換器 据付 (中止)</t>
        </is>
      </c>
      <c r="D157" s="25" t="inlineStr">
        <is>
          <t>LGH-N65RXW2 ミーティングルーム</t>
        </is>
      </c>
      <c r="E157" s="26" t="n">
        <v>-1</v>
      </c>
      <c r="F157" s="24" t="inlineStr">
        <is>
          <t>台</t>
        </is>
      </c>
      <c r="G157" s="27" t="n">
        <v>45000</v>
      </c>
      <c r="H157" s="28">
        <f>ROUND(E157*G157,0)</f>
        <v>-45000</v>
      </c>
      <c r="I157" s="24" t="inlineStr">
        <is>
          <t>図面カウント</t>
        </is>
      </c>
      <c r="J157" s="25" t="inlineStr"/>
    </row>
    <row r="158">
      <c r="A158" s="24" t="inlineStr">
        <is>
          <t>08</t>
        </is>
      </c>
      <c r="B158" s="24" t="inlineStr"/>
      <c r="C158" s="25" t="inlineStr">
        <is>
          <t>HEX-3 全熱交換器 据付 (中止)</t>
        </is>
      </c>
      <c r="D158" s="25" t="inlineStr">
        <is>
          <t>SKU-50AC コーチルーム・トレーニングルーム</t>
        </is>
      </c>
      <c r="E158" s="26" t="n">
        <v>-4</v>
      </c>
      <c r="F158" s="24" t="inlineStr">
        <is>
          <t>台</t>
        </is>
      </c>
      <c r="G158" s="27" t="n">
        <v>40000</v>
      </c>
      <c r="H158" s="28">
        <f>ROUND(E158*G158,0)</f>
        <v>-160000</v>
      </c>
      <c r="I158" s="24" t="inlineStr">
        <is>
          <t>図面カウント</t>
        </is>
      </c>
      <c r="J158" s="25" t="inlineStr"/>
    </row>
    <row r="159">
      <c r="A159" s="24" t="inlineStr">
        <is>
          <t>08</t>
        </is>
      </c>
      <c r="B159" s="24" t="inlineStr"/>
      <c r="C159" s="25" t="inlineStr">
        <is>
          <t>HEX-4 壁掛ロスナイ 据付 (中止)</t>
        </is>
      </c>
      <c r="D159" s="25" t="inlineStr">
        <is>
          <t>VL-10ES3</t>
        </is>
      </c>
      <c r="E159" s="26" t="n">
        <v>-46</v>
      </c>
      <c r="F159" s="24" t="inlineStr">
        <is>
          <t>台</t>
        </is>
      </c>
      <c r="G159" s="27" t="n">
        <v>12000</v>
      </c>
      <c r="H159" s="28">
        <f>ROUND(E159*G159,0)</f>
        <v>-552000</v>
      </c>
      <c r="I159" s="24" t="inlineStr">
        <is>
          <t>図面カウント</t>
        </is>
      </c>
      <c r="J159" s="25" t="inlineStr"/>
    </row>
    <row r="160">
      <c r="A160" s="24" t="inlineStr">
        <is>
          <t>08</t>
        </is>
      </c>
      <c r="B160" s="24" t="inlineStr"/>
      <c r="C160" s="25" t="inlineStr">
        <is>
          <t>HEX-5 壁掛ロスナイ 据付 (中止)</t>
        </is>
      </c>
      <c r="D160" s="25" t="inlineStr">
        <is>
          <t>VL-12ESH3</t>
        </is>
      </c>
      <c r="E160" s="26" t="n">
        <v>-27</v>
      </c>
      <c r="F160" s="24" t="inlineStr">
        <is>
          <t>台</t>
        </is>
      </c>
      <c r="G160" s="27" t="n">
        <v>12000</v>
      </c>
      <c r="H160" s="28">
        <f>ROUND(E160*G160,0)</f>
        <v>-324000</v>
      </c>
      <c r="I160" s="24" t="inlineStr">
        <is>
          <t>図面カウント</t>
        </is>
      </c>
      <c r="J160" s="25" t="inlineStr"/>
    </row>
    <row r="161">
      <c r="A161" s="24" t="inlineStr">
        <is>
          <t>08</t>
        </is>
      </c>
      <c r="B161" s="24" t="inlineStr"/>
      <c r="C161" s="25" t="inlineStr">
        <is>
          <t>全熱交換器 リモコン配線 (中止)</t>
        </is>
      </c>
      <c r="D161" s="25" t="inlineStr">
        <is>
          <t>HEX-1,2,3 計6台分</t>
        </is>
      </c>
      <c r="E161" s="26" t="n">
        <v>-6</v>
      </c>
      <c r="F161" s="24" t="inlineStr">
        <is>
          <t>台</t>
        </is>
      </c>
      <c r="G161" s="27" t="n">
        <v>8000</v>
      </c>
      <c r="H161" s="28">
        <f>ROUND(E161*G161,0)</f>
        <v>-48000</v>
      </c>
      <c r="I161" s="24" t="inlineStr">
        <is>
          <t>図面カウント</t>
        </is>
      </c>
      <c r="J161" s="25" t="inlineStr"/>
    </row>
    <row r="162">
      <c r="A162" s="24" t="inlineStr">
        <is>
          <t>08</t>
        </is>
      </c>
      <c r="B162" s="24" t="inlineStr"/>
      <c r="C162" s="25" t="inlineStr">
        <is>
          <t>HEX-1 → 中間ファン 据付</t>
        </is>
      </c>
      <c r="D162" s="25" t="inlineStr">
        <is>
          <t>BFS-80SUDC 天井埋込形 250φ 食堂 防振吊金具・リモコン共</t>
        </is>
      </c>
      <c r="E162" s="26" t="n">
        <v>1</v>
      </c>
      <c r="F162" s="24" t="inlineStr">
        <is>
          <t>台</t>
        </is>
      </c>
      <c r="G162" s="27" t="n">
        <v>40000</v>
      </c>
      <c r="H162" s="28">
        <f>ROUND(E162*G162,0)</f>
        <v>40000</v>
      </c>
      <c r="I162" s="24" t="inlineStr">
        <is>
          <t>図面カウント</t>
        </is>
      </c>
      <c r="J162" s="25" t="inlineStr">
        <is>
          <t>EA側ダクト・HSは図示どおり、OA側は自然給気として残置と想定</t>
        </is>
      </c>
    </row>
    <row r="163">
      <c r="A163" s="24" t="inlineStr">
        <is>
          <t>08</t>
        </is>
      </c>
      <c r="B163" s="24" t="inlineStr"/>
      <c r="C163" s="25" t="inlineStr">
        <is>
          <t>HEX-2 → 中間ファン 据付</t>
        </is>
      </c>
      <c r="D163" s="25" t="inlineStr">
        <is>
          <t>BFS-65SUDC 200φ ミーティングルーム</t>
        </is>
      </c>
      <c r="E163" s="26" t="n">
        <v>1</v>
      </c>
      <c r="F163" s="24" t="inlineStr">
        <is>
          <t>台</t>
        </is>
      </c>
      <c r="G163" s="27" t="n">
        <v>38000</v>
      </c>
      <c r="H163" s="28">
        <f>ROUND(E163*G163,0)</f>
        <v>38000</v>
      </c>
      <c r="I163" s="24" t="inlineStr">
        <is>
          <t>図面カウント</t>
        </is>
      </c>
      <c r="J163" s="25" t="inlineStr"/>
    </row>
    <row r="164">
      <c r="A164" s="24" t="inlineStr">
        <is>
          <t>08</t>
        </is>
      </c>
      <c r="B164" s="24" t="inlineStr"/>
      <c r="C164" s="25" t="inlineStr">
        <is>
          <t>HEX-3 → 中間ファン 据付</t>
        </is>
      </c>
      <c r="D164" s="25" t="inlineStr">
        <is>
          <t>BFS-40SUDC 天井カセット形 200φ コーチルーム・トレーニングルーム</t>
        </is>
      </c>
      <c r="E164" s="26" t="n">
        <v>4</v>
      </c>
      <c r="F164" s="24" t="inlineStr">
        <is>
          <t>台</t>
        </is>
      </c>
      <c r="G164" s="27" t="n">
        <v>35000</v>
      </c>
      <c r="H164" s="28">
        <f>ROUND(E164*G164,0)</f>
        <v>140000</v>
      </c>
      <c r="I164" s="24" t="inlineStr">
        <is>
          <t>図面カウント</t>
        </is>
      </c>
      <c r="J164" s="25" t="inlineStr"/>
    </row>
    <row r="165">
      <c r="A165" s="24" t="inlineStr">
        <is>
          <t>08</t>
        </is>
      </c>
      <c r="B165" s="24" t="inlineStr"/>
      <c r="C165" s="25" t="inlineStr">
        <is>
          <t>中間ファン リモコン配線</t>
        </is>
      </c>
      <c r="D165" s="25" t="inlineStr">
        <is>
          <t>BFS-SUDC用 6台</t>
        </is>
      </c>
      <c r="E165" s="26" t="n">
        <v>6</v>
      </c>
      <c r="F165" s="24" t="inlineStr">
        <is>
          <t>台</t>
        </is>
      </c>
      <c r="G165" s="27" t="n">
        <v>8000</v>
      </c>
      <c r="H165" s="28">
        <f>ROUND(E165*G165,0)</f>
        <v>48000</v>
      </c>
      <c r="I165" s="24" t="inlineStr">
        <is>
          <t>図面カウント</t>
        </is>
      </c>
      <c r="J165" s="25" t="inlineStr"/>
    </row>
    <row r="166">
      <c r="A166" s="24" t="inlineStr">
        <is>
          <t>08</t>
        </is>
      </c>
      <c r="B166" s="24" t="inlineStr"/>
      <c r="C166" s="25" t="inlineStr">
        <is>
          <t>HEX-4/5 → パイプファン 据付</t>
        </is>
      </c>
      <c r="D166" s="25" t="inlineStr">
        <is>
          <t>V-08PPXD8 壁掛1パイプ 100φ 来客室・寮室・寮務スタッフ室</t>
        </is>
      </c>
      <c r="E166" s="26" t="n">
        <v>73</v>
      </c>
      <c r="F166" s="24" t="inlineStr">
        <is>
          <t>台</t>
        </is>
      </c>
      <c r="G166" s="27" t="n">
        <v>8000</v>
      </c>
      <c r="H166" s="28">
        <f>ROUND(E166*G166,0)</f>
        <v>584000</v>
      </c>
      <c r="I166" s="24" t="inlineStr">
        <is>
          <t>図面カウント</t>
        </is>
      </c>
      <c r="J166" s="25" t="inlineStr">
        <is>
          <t>46＋27台</t>
        </is>
      </c>
    </row>
    <row r="167">
      <c r="A167" s="24" t="inlineStr">
        <is>
          <t>08</t>
        </is>
      </c>
      <c r="B167" s="24" t="inlineStr"/>
      <c r="C167" s="25" t="inlineStr">
        <is>
          <t>吸気口 内部 KS-8841PR3-SG 取付</t>
        </is>
      </c>
      <c r="D167" s="25" t="inlineStr">
        <is>
          <t>材工 (支給外と想定・要確認)</t>
        </is>
      </c>
      <c r="E167" s="26" t="n">
        <v>73</v>
      </c>
      <c r="F167" s="24" t="inlineStr">
        <is>
          <t>個</t>
        </is>
      </c>
      <c r="G167" s="27" t="n">
        <v>6000</v>
      </c>
      <c r="H167" s="28">
        <f>ROUND(E167*G167,0)</f>
        <v>438000</v>
      </c>
      <c r="I167" s="24" t="inlineStr">
        <is>
          <t>図面カウント</t>
        </is>
      </c>
      <c r="J167" s="25" t="inlineStr">
        <is>
          <t>朱書き: 吸気口 外部SUS製フード(指定色)・内部KS-8841PR3-SG</t>
        </is>
      </c>
    </row>
    <row r="168">
      <c r="A168" s="24" t="inlineStr">
        <is>
          <t>08</t>
        </is>
      </c>
      <c r="B168" s="24" t="inlineStr"/>
      <c r="C168" s="25" t="inlineStr">
        <is>
          <t>吸気口用 SUS製フード 取付 (支給品)</t>
        </is>
      </c>
      <c r="D168" s="25" t="inlineStr">
        <is>
          <t>指定色塗装</t>
        </is>
      </c>
      <c r="E168" s="26" t="n">
        <v>73</v>
      </c>
      <c r="F168" s="24" t="inlineStr">
        <is>
          <t>箇所</t>
        </is>
      </c>
      <c r="G168" s="27" t="n">
        <v>4000</v>
      </c>
      <c r="H168" s="28">
        <f>ROUND(E168*G168,0)</f>
        <v>292000</v>
      </c>
      <c r="I168" s="24" t="inlineStr">
        <is>
          <t>図面カウント</t>
        </is>
      </c>
      <c r="J168" s="25" t="inlineStr">
        <is>
          <t>B-5の寮室146箇所と重複なし(排気73・給気73)</t>
        </is>
      </c>
    </row>
    <row r="169">
      <c r="A169" s="23" t="n"/>
      <c r="B169" s="23" t="n"/>
      <c r="C169" s="23" t="inlineStr">
        <is>
          <t>C-1 No3・4 ロスナイ中止（減額・代替） 小計</t>
        </is>
      </c>
      <c r="D169" s="23" t="n"/>
      <c r="E169" s="23" t="n"/>
      <c r="F169" s="23" t="n"/>
      <c r="G169" s="23" t="n"/>
      <c r="H169" s="29">
        <f>SUM(H156:H168)</f>
        <v>406000</v>
      </c>
      <c r="I169" s="23" t="n"/>
      <c r="J169" s="23" t="n"/>
    </row>
    <row r="170">
      <c r="A170" s="23" t="n"/>
      <c r="B170" s="23" t="inlineStr">
        <is>
          <t>C-2</t>
        </is>
      </c>
      <c r="C170" s="23" t="inlineStr">
        <is>
          <t>No5・6 空調追加</t>
        </is>
      </c>
      <c r="D170" s="23" t="n"/>
      <c r="E170" s="23" t="n"/>
      <c r="F170" s="23" t="n"/>
      <c r="G170" s="23" t="n"/>
      <c r="H170" s="23" t="n"/>
      <c r="I170" s="23" t="n"/>
      <c r="J170" s="23" t="n"/>
    </row>
    <row r="171">
      <c r="A171" s="24" t="inlineStr">
        <is>
          <t>08</t>
        </is>
      </c>
      <c r="B171" s="24" t="inlineStr"/>
      <c r="C171" s="25" t="inlineStr">
        <is>
          <t>追AC1 室内機 据付</t>
        </is>
      </c>
      <c r="D171" s="25" t="inlineStr">
        <is>
          <t>空冷HP 4方向天井カセット PA-P140U7GTNB(5HP 同時トリプル) 子機 1Fホール・廊下(洗濯室前)・階段ホール</t>
        </is>
      </c>
      <c r="E171" s="26" t="n">
        <v>3</v>
      </c>
      <c r="F171" s="24" t="inlineStr">
        <is>
          <t>台</t>
        </is>
      </c>
      <c r="G171" s="27" t="n">
        <v>45000</v>
      </c>
      <c r="H171" s="28">
        <f>ROUND(E171*G171,0)</f>
        <v>135000</v>
      </c>
      <c r="I171" s="24" t="inlineStr">
        <is>
          <t>図面カウント</t>
        </is>
      </c>
      <c r="J171" s="25" t="inlineStr">
        <is>
          <t>空調平面図1F 朱書き □3箇所</t>
        </is>
      </c>
    </row>
    <row r="172">
      <c r="A172" s="24" t="inlineStr">
        <is>
          <t>08</t>
        </is>
      </c>
      <c r="B172" s="24" t="inlineStr"/>
      <c r="C172" s="25" t="inlineStr">
        <is>
          <t>追AC1 室外機 据付</t>
        </is>
      </c>
      <c r="D172" s="25" t="inlineStr">
        <is>
          <t>5HP 1F物干場側(AC-3室外機隣)</t>
        </is>
      </c>
      <c r="E172" s="26" t="n">
        <v>1</v>
      </c>
      <c r="F172" s="24" t="inlineStr">
        <is>
          <t>台</t>
        </is>
      </c>
      <c r="G172" s="27" t="n">
        <v>35000</v>
      </c>
      <c r="H172" s="28">
        <f>ROUND(E172*G172,0)</f>
        <v>35000</v>
      </c>
      <c r="I172" s="24" t="inlineStr">
        <is>
          <t>図面カウント</t>
        </is>
      </c>
      <c r="J172" s="25" t="inlineStr"/>
    </row>
    <row r="173">
      <c r="A173" s="24" t="inlineStr">
        <is>
          <t>08</t>
        </is>
      </c>
      <c r="B173" s="24" t="inlineStr"/>
      <c r="C173" s="25" t="inlineStr">
        <is>
          <t>追AC2 室内機 据付</t>
        </is>
      </c>
      <c r="D173" s="25" t="inlineStr">
        <is>
          <t>空冷HP 2方向天井カセット PA-P224L7HTNB(8HP 同時トリプル) 子機 1F南廊下 3箇所</t>
        </is>
      </c>
      <c r="E173" s="26" t="n">
        <v>3</v>
      </c>
      <c r="F173" s="24" t="inlineStr">
        <is>
          <t>台</t>
        </is>
      </c>
      <c r="G173" s="27" t="n">
        <v>50000</v>
      </c>
      <c r="H173" s="28">
        <f>ROUND(E173*G173,0)</f>
        <v>150000</v>
      </c>
      <c r="I173" s="24" t="inlineStr">
        <is>
          <t>図面カウント</t>
        </is>
      </c>
      <c r="J173" s="25" t="inlineStr"/>
    </row>
    <row r="174">
      <c r="A174" s="24" t="inlineStr">
        <is>
          <t>08</t>
        </is>
      </c>
      <c r="B174" s="24" t="inlineStr"/>
      <c r="C174" s="25" t="inlineStr">
        <is>
          <t>追AC2 室外機 据付</t>
        </is>
      </c>
      <c r="D174" s="25" t="inlineStr">
        <is>
          <t>8HP 1F南側(AC-1/AC-5室外機隣)</t>
        </is>
      </c>
      <c r="E174" s="26" t="n">
        <v>1</v>
      </c>
      <c r="F174" s="24" t="inlineStr">
        <is>
          <t>台</t>
        </is>
      </c>
      <c r="G174" s="27" t="n">
        <v>50000</v>
      </c>
      <c r="H174" s="28">
        <f>ROUND(E174*G174,0)</f>
        <v>50000</v>
      </c>
      <c r="I174" s="24" t="inlineStr">
        <is>
          <t>図面カウント</t>
        </is>
      </c>
      <c r="J174" s="25" t="inlineStr"/>
    </row>
    <row r="175">
      <c r="A175" s="24" t="inlineStr">
        <is>
          <t>08</t>
        </is>
      </c>
      <c r="B175" s="24" t="inlineStr"/>
      <c r="C175" s="25" t="inlineStr">
        <is>
          <t>追AC3 室内機 据付</t>
        </is>
      </c>
      <c r="D175" s="25" t="inlineStr">
        <is>
          <t>PA-P224L7HTNB 子機 2F北廊下 3箇所</t>
        </is>
      </c>
      <c r="E175" s="26" t="n">
        <v>3</v>
      </c>
      <c r="F175" s="24" t="inlineStr">
        <is>
          <t>台</t>
        </is>
      </c>
      <c r="G175" s="27" t="n">
        <v>50000</v>
      </c>
      <c r="H175" s="28">
        <f>ROUND(E175*G175,0)</f>
        <v>150000</v>
      </c>
      <c r="I175" s="24" t="inlineStr">
        <is>
          <t>図面カウント</t>
        </is>
      </c>
      <c r="J175" s="25" t="inlineStr"/>
    </row>
    <row r="176">
      <c r="A176" s="24" t="inlineStr">
        <is>
          <t>08</t>
        </is>
      </c>
      <c r="B176" s="24" t="inlineStr"/>
      <c r="C176" s="25" t="inlineStr">
        <is>
          <t>追AC3 室外機 据付</t>
        </is>
      </c>
      <c r="D176" s="25" t="inlineStr">
        <is>
          <t>8HP 1F東側地上(屋外階段A付近)</t>
        </is>
      </c>
      <c r="E176" s="26" t="n">
        <v>1</v>
      </c>
      <c r="F176" s="24" t="inlineStr">
        <is>
          <t>台</t>
        </is>
      </c>
      <c r="G176" s="27" t="n">
        <v>50000</v>
      </c>
      <c r="H176" s="28">
        <f>ROUND(E176*G176,0)</f>
        <v>50000</v>
      </c>
      <c r="I176" s="24" t="inlineStr">
        <is>
          <t>図面カウント</t>
        </is>
      </c>
      <c r="J176" s="25" t="inlineStr"/>
    </row>
    <row r="177">
      <c r="A177" s="24" t="inlineStr">
        <is>
          <t>08</t>
        </is>
      </c>
      <c r="B177" s="24" t="inlineStr"/>
      <c r="C177" s="25" t="inlineStr">
        <is>
          <t>追AC4 室内機 据付</t>
        </is>
      </c>
      <c r="D177" s="25" t="inlineStr">
        <is>
          <t>PA-P224L7HTNB 子機 2F階段ホール2・南廊下1</t>
        </is>
      </c>
      <c r="E177" s="26" t="n">
        <v>3</v>
      </c>
      <c r="F177" s="24" t="inlineStr">
        <is>
          <t>台</t>
        </is>
      </c>
      <c r="G177" s="27" t="n">
        <v>50000</v>
      </c>
      <c r="H177" s="28">
        <f>ROUND(E177*G177,0)</f>
        <v>150000</v>
      </c>
      <c r="I177" s="24" t="inlineStr">
        <is>
          <t>図面カウント</t>
        </is>
      </c>
      <c r="J177" s="25" t="inlineStr"/>
    </row>
    <row r="178">
      <c r="A178" s="24" t="inlineStr">
        <is>
          <t>08</t>
        </is>
      </c>
      <c r="B178" s="24" t="inlineStr"/>
      <c r="C178" s="25" t="inlineStr">
        <is>
          <t>追AC4 室外機 据付</t>
        </is>
      </c>
      <c r="D178" s="25" t="inlineStr">
        <is>
          <t>8HP 1F東側地上(倉庫2東)</t>
        </is>
      </c>
      <c r="E178" s="26" t="n">
        <v>1</v>
      </c>
      <c r="F178" s="24" t="inlineStr">
        <is>
          <t>台</t>
        </is>
      </c>
      <c r="G178" s="27" t="n">
        <v>50000</v>
      </c>
      <c r="H178" s="28">
        <f>ROUND(E178*G178,0)</f>
        <v>50000</v>
      </c>
      <c r="I178" s="24" t="inlineStr">
        <is>
          <t>図面カウント</t>
        </is>
      </c>
      <c r="J178" s="25" t="inlineStr"/>
    </row>
    <row r="179">
      <c r="A179" s="24" t="inlineStr">
        <is>
          <t>08</t>
        </is>
      </c>
      <c r="B179" s="24" t="inlineStr"/>
      <c r="C179" s="25" t="inlineStr">
        <is>
          <t>追AC5 室内機 据付</t>
        </is>
      </c>
      <c r="D179" s="25" t="inlineStr">
        <is>
          <t>PA-P224L7HTNB 子機 2F南廊下 3箇所</t>
        </is>
      </c>
      <c r="E179" s="26" t="n">
        <v>3</v>
      </c>
      <c r="F179" s="24" t="inlineStr">
        <is>
          <t>台</t>
        </is>
      </c>
      <c r="G179" s="27" t="n">
        <v>50000</v>
      </c>
      <c r="H179" s="28">
        <f>ROUND(E179*G179,0)</f>
        <v>150000</v>
      </c>
      <c r="I179" s="24" t="inlineStr">
        <is>
          <t>図面カウント</t>
        </is>
      </c>
      <c r="J179" s="25" t="inlineStr"/>
    </row>
    <row r="180">
      <c r="A180" s="24" t="inlineStr">
        <is>
          <t>08</t>
        </is>
      </c>
      <c r="B180" s="24" t="inlineStr"/>
      <c r="C180" s="25" t="inlineStr">
        <is>
          <t>追AC5 室外機 据付</t>
        </is>
      </c>
      <c r="D180" s="25" t="inlineStr">
        <is>
          <t>8HP 1F東側地上(倉庫2東)</t>
        </is>
      </c>
      <c r="E180" s="26" t="n">
        <v>1</v>
      </c>
      <c r="F180" s="24" t="inlineStr">
        <is>
          <t>台</t>
        </is>
      </c>
      <c r="G180" s="27" t="n">
        <v>50000</v>
      </c>
      <c r="H180" s="28">
        <f>ROUND(E180*G180,0)</f>
        <v>50000</v>
      </c>
      <c r="I180" s="24" t="inlineStr">
        <is>
          <t>図面カウント</t>
        </is>
      </c>
      <c r="J180" s="25" t="inlineStr"/>
    </row>
    <row r="181">
      <c r="A181" s="24" t="inlineStr">
        <is>
          <t>08</t>
        </is>
      </c>
      <c r="B181" s="24" t="inlineStr"/>
      <c r="C181" s="25" t="inlineStr">
        <is>
          <t>分岐管(トリプル用) 取付</t>
        </is>
      </c>
      <c r="D181" s="25" t="inlineStr">
        <is>
          <t>各系統2組 ※機器付属として元請支給想定・未支給なら別途</t>
        </is>
      </c>
      <c r="E181" s="26" t="n">
        <v>10</v>
      </c>
      <c r="F181" s="24" t="inlineStr">
        <is>
          <t>組</t>
        </is>
      </c>
      <c r="G181" s="27" t="n">
        <v>6000</v>
      </c>
      <c r="H181" s="28">
        <f>ROUND(E181*G181,0)</f>
        <v>60000</v>
      </c>
      <c r="I181" s="24" t="inlineStr">
        <is>
          <t>推測</t>
        </is>
      </c>
      <c r="J181" s="25" t="inlineStr">
        <is>
          <t>取付費のみ</t>
        </is>
      </c>
    </row>
    <row r="182">
      <c r="A182" s="24" t="inlineStr">
        <is>
          <t>08</t>
        </is>
      </c>
      <c r="B182" s="24" t="inlineStr"/>
      <c r="C182" s="25" t="inlineStr">
        <is>
          <t>冷媒配管 ①</t>
        </is>
      </c>
      <c r="D182" s="25" t="inlineStr">
        <is>
          <t>被覆銅管 9.52/6.35 追AC1 枝管</t>
        </is>
      </c>
      <c r="E182" s="26" t="n">
        <v>35</v>
      </c>
      <c r="F182" s="24" t="inlineStr">
        <is>
          <t>m</t>
        </is>
      </c>
      <c r="G182" s="27" t="n">
        <v>4500</v>
      </c>
      <c r="H182" s="28">
        <f>ROUND(E182*G182,0)</f>
        <v>157500</v>
      </c>
      <c r="I182" s="24" t="inlineStr">
        <is>
          <t>推測</t>
        </is>
      </c>
      <c r="J182" s="25" t="inlineStr">
        <is>
          <t>配管経路図示なし 室内外機位置より推定</t>
        </is>
      </c>
    </row>
    <row r="183">
      <c r="A183" s="24" t="inlineStr">
        <is>
          <t>08</t>
        </is>
      </c>
      <c r="B183" s="24" t="inlineStr"/>
      <c r="C183" s="25" t="inlineStr">
        <is>
          <t>冷媒配管 ③</t>
        </is>
      </c>
      <c r="D183" s="25" t="inlineStr">
        <is>
          <t>被覆銅管 15.88/9.52 追AC1主管16m・追AC2～5 枝管168m</t>
        </is>
      </c>
      <c r="E183" s="26" t="n">
        <v>184</v>
      </c>
      <c r="F183" s="24" t="inlineStr">
        <is>
          <t>m</t>
        </is>
      </c>
      <c r="G183" s="27" t="n">
        <v>6500</v>
      </c>
      <c r="H183" s="28">
        <f>ROUND(E183*G183,0)</f>
        <v>1196000</v>
      </c>
      <c r="I183" s="24" t="inlineStr">
        <is>
          <t>推測</t>
        </is>
      </c>
      <c r="J183" s="25" t="inlineStr">
        <is>
          <t>同上</t>
        </is>
      </c>
    </row>
    <row r="184">
      <c r="A184" s="24" t="inlineStr">
        <is>
          <t>08</t>
        </is>
      </c>
      <c r="B184" s="24" t="inlineStr"/>
      <c r="C184" s="25" t="inlineStr">
        <is>
          <t>冷媒配管 ⑥</t>
        </is>
      </c>
      <c r="D184" s="25" t="inlineStr">
        <is>
          <t>被覆銅管 25.4/9.52 追AC2～5 主管 (立管2F→1F含む)</t>
        </is>
      </c>
      <c r="E184" s="26" t="n">
        <v>73</v>
      </c>
      <c r="F184" s="24" t="inlineStr">
        <is>
          <t>m</t>
        </is>
      </c>
      <c r="G184" s="27" t="n">
        <v>9500</v>
      </c>
      <c r="H184" s="28">
        <f>ROUND(E184*G184,0)</f>
        <v>693500</v>
      </c>
      <c r="I184" s="24" t="inlineStr">
        <is>
          <t>推測</t>
        </is>
      </c>
      <c r="J184" s="25" t="inlineStr">
        <is>
          <t>追AC2 12・AC3 14・AC4 31・AC5 16</t>
        </is>
      </c>
    </row>
    <row r="185">
      <c r="A185" s="24" t="inlineStr">
        <is>
          <t>08</t>
        </is>
      </c>
      <c r="B185" s="24" t="inlineStr"/>
      <c r="C185" s="25" t="inlineStr">
        <is>
          <t>冷媒配管 化粧ケース</t>
        </is>
      </c>
      <c r="D185" s="25" t="inlineStr">
        <is>
          <t>屋外露出部</t>
        </is>
      </c>
      <c r="E185" s="26" t="n">
        <v>13</v>
      </c>
      <c r="F185" s="24" t="inlineStr">
        <is>
          <t>m</t>
        </is>
      </c>
      <c r="G185" s="27" t="n">
        <v>3000</v>
      </c>
      <c r="H185" s="28">
        <f>ROUND(E185*G185,0)</f>
        <v>39000</v>
      </c>
      <c r="I185" s="24" t="inlineStr">
        <is>
          <t>推測</t>
        </is>
      </c>
      <c r="J185" s="25" t="inlineStr">
        <is>
          <t>5系統×2.5m</t>
        </is>
      </c>
    </row>
    <row r="186">
      <c r="A186" s="24" t="inlineStr">
        <is>
          <t>08</t>
        </is>
      </c>
      <c r="B186" s="24" t="inlineStr"/>
      <c r="C186" s="25" t="inlineStr">
        <is>
          <t>外壁貫通スリーブ材</t>
        </is>
      </c>
      <c r="D186" s="25" t="inlineStr">
        <is>
          <t>VP100</t>
        </is>
      </c>
      <c r="E186" s="26" t="n">
        <v>5</v>
      </c>
      <c r="F186" s="24" t="inlineStr">
        <is>
          <t>箇所</t>
        </is>
      </c>
      <c r="G186" s="27" t="n">
        <v>2500</v>
      </c>
      <c r="H186" s="28">
        <f>ROUND(E186*G186,0)</f>
        <v>12500</v>
      </c>
      <c r="I186" s="24" t="inlineStr">
        <is>
          <t>推測</t>
        </is>
      </c>
      <c r="J186" s="25" t="inlineStr"/>
    </row>
    <row r="187">
      <c r="A187" s="24" t="inlineStr">
        <is>
          <t>08</t>
        </is>
      </c>
      <c r="B187" s="24" t="inlineStr"/>
      <c r="C187" s="25" t="inlineStr">
        <is>
          <t>区画貫通処理</t>
        </is>
      </c>
      <c r="D187" s="25" t="inlineStr">
        <is>
          <t>冷媒管・ドレン管 フィブロック 廊下区画壁</t>
        </is>
      </c>
      <c r="E187" s="26" t="n">
        <v>5</v>
      </c>
      <c r="F187" s="24" t="inlineStr">
        <is>
          <t>箇所</t>
        </is>
      </c>
      <c r="G187" s="27" t="n">
        <v>12000</v>
      </c>
      <c r="H187" s="28">
        <f>ROUND(E187*G187,0)</f>
        <v>60000</v>
      </c>
      <c r="I187" s="24" t="inlineStr">
        <is>
          <t>推測</t>
        </is>
      </c>
      <c r="J187" s="25" t="inlineStr">
        <is>
          <t>各系統1箇所と仮定</t>
        </is>
      </c>
    </row>
    <row r="188">
      <c r="A188" s="24" t="inlineStr">
        <is>
          <t>08</t>
        </is>
      </c>
      <c r="B188" s="24" t="inlineStr"/>
      <c r="C188" s="25" t="inlineStr">
        <is>
          <t>ドレン管 VP25</t>
        </is>
      </c>
      <c r="D188" s="25" t="inlineStr">
        <is>
          <t>継手・支持共 15台×8m</t>
        </is>
      </c>
      <c r="E188" s="26" t="n">
        <v>120</v>
      </c>
      <c r="F188" s="24" t="inlineStr">
        <is>
          <t>m</t>
        </is>
      </c>
      <c r="G188" s="27" t="n">
        <v>3200</v>
      </c>
      <c r="H188" s="28">
        <f>ROUND(E188*G188,0)</f>
        <v>384000</v>
      </c>
      <c r="I188" s="24" t="inlineStr">
        <is>
          <t>推測</t>
        </is>
      </c>
      <c r="J188" s="25" t="inlineStr"/>
    </row>
    <row r="189">
      <c r="A189" s="24" t="inlineStr">
        <is>
          <t>08</t>
        </is>
      </c>
      <c r="B189" s="24" t="inlineStr"/>
      <c r="C189" s="25" t="inlineStr">
        <is>
          <t>ドレン管 VP40</t>
        </is>
      </c>
      <c r="D189" s="25" t="inlineStr">
        <is>
          <t>継手・支持共 集合管・立下り</t>
        </is>
      </c>
      <c r="E189" s="26" t="n">
        <v>30</v>
      </c>
      <c r="F189" s="24" t="inlineStr">
        <is>
          <t>m</t>
        </is>
      </c>
      <c r="G189" s="27" t="n">
        <v>4000</v>
      </c>
      <c r="H189" s="28">
        <f>ROUND(E189*G189,0)</f>
        <v>120000</v>
      </c>
      <c r="I189" s="24" t="inlineStr">
        <is>
          <t>推測</t>
        </is>
      </c>
      <c r="J189" s="25" t="inlineStr"/>
    </row>
    <row r="190">
      <c r="A190" s="24" t="inlineStr">
        <is>
          <t>08</t>
        </is>
      </c>
      <c r="B190" s="24" t="inlineStr"/>
      <c r="C190" s="25" t="inlineStr">
        <is>
          <t>ドレン管 保温</t>
        </is>
      </c>
      <c r="D190" s="25" t="inlineStr">
        <is>
          <t>GW保温筒20 ALGC</t>
        </is>
      </c>
      <c r="E190" s="26" t="n">
        <v>150</v>
      </c>
      <c r="F190" s="24" t="inlineStr">
        <is>
          <t>m</t>
        </is>
      </c>
      <c r="G190" s="27" t="n">
        <v>2500</v>
      </c>
      <c r="H190" s="28">
        <f>ROUND(E190*G190,0)</f>
        <v>375000</v>
      </c>
      <c r="I190" s="24" t="inlineStr">
        <is>
          <t>推測</t>
        </is>
      </c>
      <c r="J190" s="25" t="inlineStr"/>
    </row>
    <row r="191">
      <c r="A191" s="24" t="inlineStr">
        <is>
          <t>08</t>
        </is>
      </c>
      <c r="B191" s="24" t="inlineStr"/>
      <c r="C191" s="25" t="inlineStr">
        <is>
          <t>気密試験・真空引き・冷媒追加充填 作業</t>
        </is>
      </c>
      <c r="D191" s="25" t="inlineStr"/>
      <c r="E191" s="26" t="n">
        <v>5</v>
      </c>
      <c r="F191" s="24" t="inlineStr">
        <is>
          <t>系統</t>
        </is>
      </c>
      <c r="G191" s="27" t="n">
        <v>15000</v>
      </c>
      <c r="H191" s="28">
        <f>ROUND(E191*G191,0)</f>
        <v>75000</v>
      </c>
      <c r="I191" s="24" t="inlineStr">
        <is>
          <t>図面カウント</t>
        </is>
      </c>
      <c r="J191" s="25" t="inlineStr"/>
    </row>
    <row r="192">
      <c r="A192" s="24" t="inlineStr">
        <is>
          <t>08</t>
        </is>
      </c>
      <c r="B192" s="24" t="inlineStr"/>
      <c r="C192" s="25" t="inlineStr">
        <is>
          <t>冷媒追加充填 (冷媒代)</t>
        </is>
      </c>
      <c r="D192" s="25" t="inlineStr"/>
      <c r="E192" s="26" t="n">
        <v>6</v>
      </c>
      <c r="F192" s="24" t="inlineStr">
        <is>
          <t>kg</t>
        </is>
      </c>
      <c r="G192" s="27" t="n">
        <v>6000</v>
      </c>
      <c r="H192" s="28">
        <f>ROUND(E192*G192,0)</f>
        <v>36000</v>
      </c>
      <c r="I192" s="24" t="inlineStr">
        <is>
          <t>推測</t>
        </is>
      </c>
      <c r="J192" s="25" t="inlineStr"/>
    </row>
    <row r="193">
      <c r="A193" s="24" t="inlineStr">
        <is>
          <t>08</t>
        </is>
      </c>
      <c r="B193" s="24" t="inlineStr"/>
      <c r="C193" s="25" t="inlineStr">
        <is>
          <t>リモコン線・内外連絡線 配線</t>
        </is>
      </c>
      <c r="D193" s="25" t="inlineStr">
        <is>
          <t>ワイヤードリモコン 系統毎</t>
        </is>
      </c>
      <c r="E193" s="26" t="n">
        <v>5</v>
      </c>
      <c r="F193" s="24" t="inlineStr">
        <is>
          <t>系統</t>
        </is>
      </c>
      <c r="G193" s="27" t="n">
        <v>15000</v>
      </c>
      <c r="H193" s="28">
        <f>ROUND(E193*G193,0)</f>
        <v>75000</v>
      </c>
      <c r="I193" s="24" t="inlineStr">
        <is>
          <t>図面カウント</t>
        </is>
      </c>
      <c r="J193" s="25" t="inlineStr">
        <is>
          <t>子機3台渡り</t>
        </is>
      </c>
    </row>
    <row r="194">
      <c r="A194" s="24" t="inlineStr">
        <is>
          <t>08</t>
        </is>
      </c>
      <c r="B194" s="24" t="inlineStr"/>
      <c r="C194" s="25" t="inlineStr">
        <is>
          <t>集中リモコン CR-1 制御配線 追加</t>
        </is>
      </c>
      <c r="D194" s="25" t="inlineStr">
        <is>
          <t>S-LINK 5系統分</t>
        </is>
      </c>
      <c r="E194" s="26" t="n">
        <v>1</v>
      </c>
      <c r="F194" s="24" t="inlineStr">
        <is>
          <t>式</t>
        </is>
      </c>
      <c r="G194" s="27" t="n">
        <v>25000</v>
      </c>
      <c r="H194" s="28">
        <f>ROUND(E194*G194,0)</f>
        <v>25000</v>
      </c>
      <c r="I194" s="24" t="inlineStr">
        <is>
          <t>推測</t>
        </is>
      </c>
      <c r="J194" s="25" t="inlineStr"/>
    </row>
    <row r="195">
      <c r="A195" s="24" t="inlineStr">
        <is>
          <t>08</t>
        </is>
      </c>
      <c r="B195" s="24" t="inlineStr"/>
      <c r="C195" s="25" t="inlineStr">
        <is>
          <t>試運転調整</t>
        </is>
      </c>
      <c r="D195" s="25" t="inlineStr"/>
      <c r="E195" s="26" t="n">
        <v>5</v>
      </c>
      <c r="F195" s="24" t="inlineStr">
        <is>
          <t>系統</t>
        </is>
      </c>
      <c r="G195" s="27" t="n">
        <v>8000</v>
      </c>
      <c r="H195" s="28">
        <f>ROUND(E195*G195,0)</f>
        <v>40000</v>
      </c>
      <c r="I195" s="24" t="inlineStr">
        <is>
          <t>図面カウント</t>
        </is>
      </c>
      <c r="J195" s="25" t="inlineStr"/>
    </row>
    <row r="196">
      <c r="A196" s="24" t="inlineStr">
        <is>
          <t>08</t>
        </is>
      </c>
      <c r="B196" s="24" t="inlineStr"/>
      <c r="C196" s="25" t="inlineStr">
        <is>
          <t>機器搬入・揚重・養生 追加</t>
        </is>
      </c>
      <c r="D196" s="25" t="inlineStr"/>
      <c r="E196" s="26" t="n">
        <v>1</v>
      </c>
      <c r="F196" s="24" t="inlineStr">
        <is>
          <t>式</t>
        </is>
      </c>
      <c r="G196" s="27" t="n">
        <v>60000</v>
      </c>
      <c r="H196" s="28">
        <f>ROUND(E196*G196,0)</f>
        <v>60000</v>
      </c>
      <c r="I196" s="24" t="inlineStr">
        <is>
          <t>推測</t>
        </is>
      </c>
      <c r="J196" s="25" t="inlineStr"/>
    </row>
    <row r="197">
      <c r="A197" s="23" t="n"/>
      <c r="B197" s="23" t="n"/>
      <c r="C197" s="23" t="inlineStr">
        <is>
          <t>C-2 No5・6 空調追加 小計</t>
        </is>
      </c>
      <c r="D197" s="23" t="n"/>
      <c r="E197" s="23" t="n"/>
      <c r="F197" s="23" t="n"/>
      <c r="G197" s="23" t="n"/>
      <c r="H197" s="29">
        <f>SUM(H171:H196)</f>
        <v>4378500</v>
      </c>
      <c r="I197" s="23" t="n"/>
      <c r="J197" s="23" t="n"/>
    </row>
    <row r="198">
      <c r="A198" s="10" t="n"/>
      <c r="B198" s="10" t="n"/>
      <c r="C198" s="10" t="inlineStr">
        <is>
          <t>C 金額変更案（図面08 朱書き） 計</t>
        </is>
      </c>
      <c r="D198" s="10" t="n"/>
      <c r="E198" s="10" t="n"/>
      <c r="F198" s="10" t="n"/>
      <c r="G198" s="10" t="n"/>
      <c r="H198" s="11">
        <f>H169+H197</f>
        <v>4784500</v>
      </c>
      <c r="I198" s="10" t="n"/>
      <c r="J198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60" customWidth="1" min="8" max="8"/>
  </cols>
  <sheetData>
    <row r="1">
      <c r="A1" s="3" t="inlineStr">
        <is>
          <t>数量拾い根拠　※計測方法: PDF図面(A3 1:300、厨房詳細 1:70)のベクトル線分を色・線幅で分離し延長を集計。「実測」=図面線分の平面延長、「推測」=図面に無い部分の推定</t>
        </is>
      </c>
    </row>
    <row r="3">
      <c r="A3" s="4" t="inlineStr">
        <is>
          <t>1. 冷媒配管（ベース06）系統別</t>
        </is>
      </c>
    </row>
    <row r="4">
      <c r="A4" s="5" t="inlineStr">
        <is>
          <t>系統</t>
        </is>
      </c>
      <c r="B4" s="5" t="inlineStr">
        <is>
          <t>口径記号</t>
        </is>
      </c>
      <c r="C4" s="5" t="inlineStr">
        <is>
          <t>平面実測(m)</t>
        </is>
      </c>
      <c r="D4" s="5" t="inlineStr">
        <is>
          <t>推測加算(m)</t>
        </is>
      </c>
      <c r="E4" s="5" t="inlineStr">
        <is>
          <t>合計(m)</t>
        </is>
      </c>
      <c r="F4" s="5" t="inlineStr"/>
      <c r="G4" s="5" t="inlineStr"/>
      <c r="H4" s="5" t="inlineStr">
        <is>
          <t>推測内容</t>
        </is>
      </c>
    </row>
    <row r="5">
      <c r="A5" s="18" t="inlineStr">
        <is>
          <t>RAC-2×3 和室・洋室・DK</t>
        </is>
      </c>
      <c r="B5" s="18" t="inlineStr">
        <is>
          <t>①</t>
        </is>
      </c>
      <c r="C5" s="30" t="n">
        <v>28.1</v>
      </c>
      <c r="D5" s="30" t="n">
        <v>9</v>
      </c>
      <c r="E5" s="30" t="n">
        <v>37.1</v>
      </c>
      <c r="F5" s="18" t="inlineStr"/>
      <c r="G5" s="18" t="inlineStr"/>
      <c r="H5" s="18" t="inlineStr">
        <is>
          <t>屋外機→屋内機 立上り 3台×3m</t>
        </is>
      </c>
    </row>
    <row r="6">
      <c r="A6" s="18" t="inlineStr">
        <is>
          <t>AC-7 面談室</t>
        </is>
      </c>
      <c r="B6" s="18" t="inlineStr">
        <is>
          <t>②</t>
        </is>
      </c>
      <c r="C6" s="30" t="n">
        <v>13</v>
      </c>
      <c r="D6" s="30" t="n">
        <v>4</v>
      </c>
      <c r="E6" s="30" t="n">
        <v>17</v>
      </c>
      <c r="F6" s="18" t="inlineStr"/>
      <c r="G6" s="18" t="inlineStr"/>
      <c r="H6" s="18" t="inlineStr">
        <is>
          <t>北西ゾーン実測60.3mを3系統に配分。立上り4m</t>
        </is>
      </c>
    </row>
    <row r="7">
      <c r="A7" s="18" t="inlineStr">
        <is>
          <t>AC-5 管理人室</t>
        </is>
      </c>
      <c r="B7" s="18" t="inlineStr">
        <is>
          <t>②</t>
        </is>
      </c>
      <c r="C7" s="30" t="n">
        <v>18</v>
      </c>
      <c r="D7" s="30" t="n">
        <v>4</v>
      </c>
      <c r="E7" s="30" t="n">
        <v>22</v>
      </c>
      <c r="F7" s="18" t="inlineStr"/>
      <c r="G7" s="18" t="inlineStr"/>
      <c r="H7" s="18" t="inlineStr">
        <is>
          <t>同上</t>
        </is>
      </c>
    </row>
    <row r="8">
      <c r="A8" s="18" t="inlineStr">
        <is>
          <t>AC-1 ホール(ツイン)</t>
        </is>
      </c>
      <c r="B8" s="18" t="inlineStr">
        <is>
          <t>⑦主/③枝</t>
        </is>
      </c>
      <c r="C8" s="30" t="n">
        <v>29</v>
      </c>
      <c r="D8" s="30" t="n">
        <v>4</v>
      </c>
      <c r="E8" s="30" t="n">
        <v>33</v>
      </c>
      <c r="F8" s="18" t="inlineStr"/>
      <c r="G8" s="18" t="inlineStr"/>
      <c r="H8" s="18" t="inlineStr">
        <is>
          <t>主管17m・枝管12m。立上り4m(⑦)</t>
        </is>
      </c>
    </row>
    <row r="9">
      <c r="A9" s="18" t="inlineStr">
        <is>
          <t>AC-6/AC-8/AC-9/RAC-1×2 厨房ブロック</t>
        </is>
      </c>
      <c r="B9" s="18" t="inlineStr">
        <is>
          <t>③/②/③/①</t>
        </is>
      </c>
      <c r="C9" s="30" t="n">
        <v>22.2</v>
      </c>
      <c r="D9" s="30" t="n">
        <v>20</v>
      </c>
      <c r="E9" s="30" t="n">
        <v>42.2</v>
      </c>
      <c r="F9" s="18" t="inlineStr"/>
      <c r="G9" s="18" t="inlineStr"/>
      <c r="H9" s="18" t="inlineStr">
        <is>
          <t>重なり配管の未計測補正8m(RAC-1休憩室)・立上り4系統×3～4m</t>
        </is>
      </c>
    </row>
    <row r="10">
      <c r="A10" s="18" t="inlineStr">
        <is>
          <t>AC-1 食堂・ミーティング(ツイン×2)</t>
        </is>
      </c>
      <c r="B10" s="18" t="inlineStr">
        <is>
          <t>⑦主/③枝</t>
        </is>
      </c>
      <c r="C10" s="30" t="n">
        <v>30.7</v>
      </c>
      <c r="D10" s="30" t="n">
        <v>8</v>
      </c>
      <c r="E10" s="30" t="n">
        <v>38.7</v>
      </c>
      <c r="F10" s="18" t="inlineStr"/>
      <c r="G10" s="18" t="inlineStr"/>
      <c r="H10" s="18" t="inlineStr">
        <is>
          <t>各系統 主管8m・枝管7.5m。立上り各4m</t>
        </is>
      </c>
    </row>
    <row r="11">
      <c r="A11" s="18" t="inlineStr">
        <is>
          <t>AC-10 多目的スペース(2F)</t>
        </is>
      </c>
      <c r="B11" s="18" t="inlineStr">
        <is>
          <t>③</t>
        </is>
      </c>
      <c r="C11" s="30" t="n">
        <v>10.2</v>
      </c>
      <c r="D11" s="30" t="n">
        <v>11.5</v>
      </c>
      <c r="E11" s="30" t="n">
        <v>21.7</v>
      </c>
      <c r="F11" s="18" t="inlineStr"/>
      <c r="G11" s="18" t="inlineStr"/>
      <c r="H11" s="18" t="inlineStr">
        <is>
          <t>2F平面3.5m・立管(1F地上→2F天井)8m</t>
        </is>
      </c>
    </row>
    <row r="12">
      <c r="A12" s="18" t="inlineStr">
        <is>
          <t>AC-2 コーチルーム(ツイン)</t>
        </is>
      </c>
      <c r="B12" s="18" t="inlineStr">
        <is>
          <t>⑥主/③枝</t>
        </is>
      </c>
      <c r="C12" s="30" t="n">
        <v>11.1</v>
      </c>
      <c r="D12" s="30" t="n">
        <v>4</v>
      </c>
      <c r="E12" s="30" t="n">
        <v>15.1</v>
      </c>
      <c r="F12" s="18" t="inlineStr"/>
      <c r="G12" s="18" t="inlineStr"/>
      <c r="H12" s="18" t="inlineStr">
        <is>
          <t>主管5m・枝管6m。立上り4m</t>
        </is>
      </c>
    </row>
    <row r="13">
      <c r="A13" s="18" t="inlineStr">
        <is>
          <t>AC-1 トレーニング(ツイン)＋AC-5 ケア室</t>
        </is>
      </c>
      <c r="B13" s="18" t="inlineStr">
        <is>
          <t>⑦/③ ・ ②</t>
        </is>
      </c>
      <c r="C13" s="30" t="n">
        <v>32</v>
      </c>
      <c r="D13" s="30" t="n">
        <v>8</v>
      </c>
      <c r="E13" s="30" t="n">
        <v>40</v>
      </c>
      <c r="F13" s="18" t="inlineStr"/>
      <c r="G13" s="18" t="inlineStr"/>
      <c r="H13" s="18" t="inlineStr">
        <is>
          <t>AC-1 主8m枝12m・AC-5 12m。立上り各4m</t>
        </is>
      </c>
    </row>
    <row r="14">
      <c r="A14" s="18" t="inlineStr">
        <is>
          <t>AC-3 脱衣室(ツイン)</t>
        </is>
      </c>
      <c r="B14" s="18" t="inlineStr">
        <is>
          <t>③主/②枝</t>
        </is>
      </c>
      <c r="C14" s="30" t="n">
        <v>13.9</v>
      </c>
      <c r="D14" s="30" t="n">
        <v>4</v>
      </c>
      <c r="E14" s="30" t="n">
        <v>17.9</v>
      </c>
      <c r="F14" s="18" t="inlineStr"/>
      <c r="G14" s="18" t="inlineStr"/>
      <c r="H14" s="18" t="inlineStr">
        <is>
          <t>主管7m・枝管7m。立上り4m</t>
        </is>
      </c>
    </row>
    <row r="15">
      <c r="A15" s="18" t="inlineStr">
        <is>
          <t>RAC-2×5 来客室</t>
        </is>
      </c>
      <c r="B15" s="18" t="inlineStr">
        <is>
          <t>①</t>
        </is>
      </c>
      <c r="C15" s="30" t="n">
        <v>2.7</v>
      </c>
      <c r="D15" s="30" t="n">
        <v>18</v>
      </c>
      <c r="E15" s="30" t="n">
        <v>20.7</v>
      </c>
      <c r="F15" s="18" t="inlineStr"/>
      <c r="G15" s="18" t="inlineStr"/>
      <c r="H15" s="18" t="inlineStr">
        <is>
          <t>屋外機が各室直近。1台4m×5台(実測分は微小)</t>
        </is>
      </c>
    </row>
    <row r="16">
      <c r="A16" s="18" t="inlineStr">
        <is>
          <t>RAC-3×66 2F寮室等</t>
        </is>
      </c>
      <c r="B16" s="18" t="inlineStr">
        <is>
          <t>①</t>
        </is>
      </c>
      <c r="C16" s="30" t="n">
        <v>0</v>
      </c>
      <c r="D16" s="30" t="n">
        <v>264</v>
      </c>
      <c r="E16" s="30" t="n">
        <v>264</v>
      </c>
      <c r="F16" s="18" t="inlineStr"/>
      <c r="G16" s="18" t="inlineStr"/>
      <c r="H16" s="18" t="inlineStr">
        <is>
          <t>図面に配管線なし。壁掛機→バルコニー屋外機 4m/台</t>
        </is>
      </c>
    </row>
    <row r="17">
      <c r="A17" s="18" t="inlineStr">
        <is>
          <t>RAC-4 寮務スタッフ室</t>
        </is>
      </c>
      <c r="B17" s="18" t="inlineStr">
        <is>
          <t>②</t>
        </is>
      </c>
      <c r="C17" s="30" t="n">
        <v>0</v>
      </c>
      <c r="D17" s="30" t="n">
        <v>5</v>
      </c>
      <c r="E17" s="30" t="n">
        <v>5</v>
      </c>
      <c r="F17" s="18" t="inlineStr"/>
      <c r="G17" s="18" t="inlineStr"/>
      <c r="H17" s="18" t="inlineStr">
        <is>
          <t>同上 5m</t>
        </is>
      </c>
    </row>
    <row r="18">
      <c r="A18" s="18" t="inlineStr">
        <is>
          <t>合計</t>
        </is>
      </c>
      <c r="B18" s="18" t="inlineStr"/>
      <c r="C18" s="30" t="n">
        <v>211</v>
      </c>
      <c r="D18" s="30" t="n">
        <v>363.5</v>
      </c>
      <c r="E18" s="30" t="n">
        <v>574.5</v>
      </c>
      <c r="F18" s="18" t="inlineStr"/>
      <c r="G18" s="18" t="inlineStr"/>
      <c r="H18" s="18" t="inlineStr">
        <is>
          <t>口径別集計: ①360 ②77 ③96 ⑥9 ⑦57 (m・端数調整後)</t>
        </is>
      </c>
    </row>
    <row r="20">
      <c r="A20" s="4" t="inlineStr">
        <is>
          <t>2. ドレン配管（ベース06）</t>
        </is>
      </c>
    </row>
    <row r="21">
      <c r="A21" s="5" t="inlineStr">
        <is>
          <t>区分</t>
        </is>
      </c>
      <c r="B21" s="5" t="inlineStr">
        <is>
          <t>口径</t>
        </is>
      </c>
      <c r="C21" s="5" t="inlineStr">
        <is>
          <t>平面実測(m)</t>
        </is>
      </c>
      <c r="D21" s="5" t="inlineStr">
        <is>
          <t>推測加算(m)</t>
        </is>
      </c>
      <c r="E21" s="5" t="inlineStr">
        <is>
          <t>合計(m)</t>
        </is>
      </c>
      <c r="F21" s="5" t="inlineStr"/>
      <c r="G21" s="5" t="inlineStr"/>
      <c r="H21" s="5" t="inlineStr">
        <is>
          <t>備考</t>
        </is>
      </c>
    </row>
    <row r="22">
      <c r="A22" s="18" t="inlineStr">
        <is>
          <t>1F 空調平面図 青線(D)</t>
        </is>
      </c>
      <c r="B22" s="18" t="inlineStr">
        <is>
          <t>VP20</t>
        </is>
      </c>
      <c r="C22" s="30" t="n">
        <v>6.6</v>
      </c>
      <c r="D22" s="30" t="n">
        <v>30</v>
      </c>
      <c r="E22" s="30" t="n">
        <v>36.6</v>
      </c>
      <c r="F22" s="18" t="inlineStr"/>
      <c r="G22" s="18" t="inlineStr"/>
      <c r="H22" s="18" t="inlineStr">
        <is>
          <t>RAC-1/2 ドレンアップ吐出→屋外 10台×3m</t>
        </is>
      </c>
    </row>
    <row r="23">
      <c r="A23" s="18" t="inlineStr">
        <is>
          <t>1F 空調平面図 青線(D)</t>
        </is>
      </c>
      <c r="B23" s="18" t="inlineStr">
        <is>
          <t>VP25</t>
        </is>
      </c>
      <c r="C23" s="30" t="n">
        <v>87.3</v>
      </c>
      <c r="D23" s="30" t="n">
        <v>0</v>
      </c>
      <c r="E23" s="30" t="n">
        <v>87.3</v>
      </c>
      <c r="F23" s="18" t="inlineStr"/>
      <c r="G23" s="18" t="inlineStr"/>
      <c r="H23" s="18" t="inlineStr">
        <is>
          <t>口径ラベル未割当31.3mを25/40へ比例配分済</t>
        </is>
      </c>
    </row>
    <row r="24">
      <c r="A24" s="18" t="inlineStr">
        <is>
          <t>1F 空調平面図 青線(D)</t>
        </is>
      </c>
      <c r="B24" s="18" t="inlineStr">
        <is>
          <t>VP40</t>
        </is>
      </c>
      <c r="C24" s="30" t="n">
        <v>50.2</v>
      </c>
      <c r="D24" s="30" t="n">
        <v>18</v>
      </c>
      <c r="E24" s="30" t="n">
        <v>68.2</v>
      </c>
      <c r="F24" s="18" t="inlineStr"/>
      <c r="G24" s="18" t="inlineStr"/>
      <c r="H24" s="18" t="inlineStr">
        <is>
          <t>立下り・屋外放流部 12箇所×1.5m</t>
        </is>
      </c>
    </row>
    <row r="25">
      <c r="A25" s="18" t="inlineStr">
        <is>
          <t>2F 空調平面図 青線(D) AC-10</t>
        </is>
      </c>
      <c r="B25" s="18" t="inlineStr">
        <is>
          <t>VP25</t>
        </is>
      </c>
      <c r="C25" s="30" t="n">
        <v>6.1</v>
      </c>
      <c r="D25" s="30" t="n">
        <v>0</v>
      </c>
      <c r="E25" s="30" t="n">
        <v>6.1</v>
      </c>
      <c r="F25" s="18" t="inlineStr"/>
      <c r="G25" s="18" t="inlineStr"/>
      <c r="H25" s="18" t="inlineStr"/>
    </row>
    <row r="26">
      <c r="A26" s="18" t="inlineStr">
        <is>
          <t>合計</t>
        </is>
      </c>
      <c r="B26" s="18" t="inlineStr"/>
      <c r="C26" s="30" t="n">
        <v>150.2</v>
      </c>
      <c r="D26" s="30" t="n">
        <v>48</v>
      </c>
      <c r="E26" s="30" t="n">
        <v>198.2</v>
      </c>
      <c r="F26" s="18" t="inlineStr"/>
      <c r="G26" s="18" t="inlineStr"/>
      <c r="H26" s="18" t="inlineStr"/>
    </row>
    <row r="28">
      <c r="A28" s="31" t="inlineStr">
        <is>
          <t>3. 冷媒配管（図面08 追加 空調）</t>
        </is>
      </c>
    </row>
    <row r="29">
      <c r="A29" s="5" t="inlineStr">
        <is>
          <t>系統</t>
        </is>
      </c>
      <c r="B29" s="5" t="inlineStr">
        <is>
          <t>口径記号</t>
        </is>
      </c>
      <c r="C29" s="5" t="inlineStr">
        <is>
          <t>平面実測(m)</t>
        </is>
      </c>
      <c r="D29" s="5" t="inlineStr">
        <is>
          <t>推測(m)</t>
        </is>
      </c>
      <c r="E29" s="5" t="inlineStr">
        <is>
          <t>合計(m)</t>
        </is>
      </c>
      <c r="F29" s="5" t="inlineStr"/>
      <c r="G29" s="5" t="inlineStr"/>
      <c r="H29" s="5" t="inlineStr">
        <is>
          <t>推定根拠</t>
        </is>
      </c>
    </row>
    <row r="30">
      <c r="A30" s="32" t="inlineStr">
        <is>
          <t>追AC1 PA-P140U7GTNB トリプル</t>
        </is>
      </c>
      <c r="B30" s="32" t="inlineStr">
        <is>
          <t>③主/①枝</t>
        </is>
      </c>
      <c r="C30" s="33" t="n">
        <v>0</v>
      </c>
      <c r="D30" s="33" t="n">
        <v>51</v>
      </c>
      <c r="E30" s="33" t="n">
        <v>51</v>
      </c>
      <c r="F30" s="32" t="inlineStr"/>
      <c r="G30" s="32" t="inlineStr"/>
      <c r="H30" s="32" t="inlineStr">
        <is>
          <t>室外機:物干場側(AC-3隣) 室内機:ホール・洗濯室前廊下・階段ホール。主管12m＋立上り4m、枝管8+10+12＋余裕</t>
        </is>
      </c>
    </row>
    <row r="31">
      <c r="A31" s="32" t="inlineStr">
        <is>
          <t>追AC2 PA-P224L7HTNB トリプル</t>
        </is>
      </c>
      <c r="B31" s="32" t="inlineStr">
        <is>
          <t>⑥主/③枝</t>
        </is>
      </c>
      <c r="C31" s="33" t="n">
        <v>0</v>
      </c>
      <c r="D31" s="33" t="n">
        <v>57</v>
      </c>
      <c r="E31" s="33" t="n">
        <v>57</v>
      </c>
      <c r="F31" s="32" t="inlineStr"/>
      <c r="G31" s="32" t="inlineStr"/>
      <c r="H31" s="32" t="inlineStr">
        <is>
          <t>室外機:南側(AC-1/5隣) 室内機:1F南廊下3箇所。主管8m＋立上り4m、枝管10+20+15</t>
        </is>
      </c>
    </row>
    <row r="32">
      <c r="A32" s="32" t="inlineStr">
        <is>
          <t>追AC3 PA-P224L7HTNB トリプル</t>
        </is>
      </c>
      <c r="B32" s="32" t="inlineStr">
        <is>
          <t>⑥主/③枝</t>
        </is>
      </c>
      <c r="C32" s="33" t="n">
        <v>0</v>
      </c>
      <c r="D32" s="33" t="n">
        <v>64</v>
      </c>
      <c r="E32" s="33" t="n">
        <v>64</v>
      </c>
      <c r="F32" s="32" t="inlineStr"/>
      <c r="G32" s="32" t="inlineStr"/>
      <c r="H32" s="32" t="inlineStr">
        <is>
          <t>室外機:東側地上 室内機:2F北廊下3箇所。立管6m＋主管8m、枝管0+16+32(＋2)</t>
        </is>
      </c>
    </row>
    <row r="33">
      <c r="A33" s="32" t="inlineStr">
        <is>
          <t>追AC4 PA-P224L7HTNB トリプル</t>
        </is>
      </c>
      <c r="B33" s="32" t="inlineStr">
        <is>
          <t>⑥主/③枝</t>
        </is>
      </c>
      <c r="C33" s="33" t="n">
        <v>0</v>
      </c>
      <c r="D33" s="33" t="n">
        <v>51</v>
      </c>
      <c r="E33" s="33" t="n">
        <v>51</v>
      </c>
      <c r="F33" s="32" t="inlineStr"/>
      <c r="G33" s="32" t="inlineStr"/>
      <c r="H33" s="32" t="inlineStr">
        <is>
          <t>室外機:東側地上(倉庫2東) 室内機:階段ホール2・南廊下1。立管6m＋主管25m、枝管5+8+6(＋1)</t>
        </is>
      </c>
    </row>
    <row r="34">
      <c r="A34" s="32" t="inlineStr">
        <is>
          <t>追AC5 PA-P224L7HTNB トリプル</t>
        </is>
      </c>
      <c r="B34" s="32" t="inlineStr">
        <is>
          <t>⑥主/③枝</t>
        </is>
      </c>
      <c r="C34" s="33" t="n">
        <v>0</v>
      </c>
      <c r="D34" s="33" t="n">
        <v>69</v>
      </c>
      <c r="E34" s="33" t="n">
        <v>69</v>
      </c>
      <c r="F34" s="32" t="inlineStr"/>
      <c r="G34" s="32" t="inlineStr"/>
      <c r="H34" s="32" t="inlineStr">
        <is>
          <t>室外機:東側地上 室内機:2F南廊下3箇所。立管6m＋主管10m、枝管0+18+35</t>
        </is>
      </c>
    </row>
    <row r="35">
      <c r="A35" s="32" t="inlineStr">
        <is>
          <t>合計</t>
        </is>
      </c>
      <c r="B35" s="32" t="inlineStr"/>
      <c r="C35" s="33" t="n">
        <v>0</v>
      </c>
      <c r="D35" s="33" t="n">
        <v>292</v>
      </c>
      <c r="E35" s="33" t="n">
        <v>292</v>
      </c>
      <c r="F35" s="32" t="inlineStr"/>
      <c r="G35" s="32" t="inlineStr"/>
      <c r="H35" s="32" t="inlineStr">
        <is>
          <t>口径別: ①35 ③184 ⑥73</t>
        </is>
      </c>
    </row>
    <row r="37">
      <c r="A37" s="4" t="inlineStr">
        <is>
          <t>4. ダクト（ベース06）</t>
        </is>
      </c>
    </row>
    <row r="38">
      <c r="A38" s="5" t="inlineStr">
        <is>
          <t>図面</t>
        </is>
      </c>
      <c r="B38" s="5" t="inlineStr">
        <is>
          <t>系統</t>
        </is>
      </c>
      <c r="C38" s="5" t="inlineStr">
        <is>
          <t>100φ(m)</t>
        </is>
      </c>
      <c r="D38" s="5" t="inlineStr">
        <is>
          <t>150φ(m)</t>
        </is>
      </c>
      <c r="E38" s="5" t="inlineStr">
        <is>
          <t>200φ(m)</t>
        </is>
      </c>
      <c r="F38" s="5" t="inlineStr">
        <is>
          <t>250φ(m)</t>
        </is>
      </c>
      <c r="G38" s="5" t="inlineStr">
        <is>
          <t>300φ(m)</t>
        </is>
      </c>
      <c r="H38" s="5" t="inlineStr">
        <is>
          <t>備考</t>
        </is>
      </c>
    </row>
    <row r="39">
      <c r="A39" s="18" t="inlineStr">
        <is>
          <t>1F換気平面図(p22) 黒太線</t>
        </is>
      </c>
      <c r="B39" s="18" t="inlineStr">
        <is>
          <t>EA</t>
        </is>
      </c>
      <c r="C39" s="30" t="n">
        <v>62.6</v>
      </c>
      <c r="D39" s="30" t="n">
        <v>122.4</v>
      </c>
      <c r="E39" s="30" t="n">
        <v>25.2</v>
      </c>
      <c r="F39" s="30" t="n">
        <v>0</v>
      </c>
      <c r="G39" s="30" t="n">
        <v>0</v>
      </c>
      <c r="H39" s="18" t="inlineStr">
        <is>
          <t>150φに口径未判読16.6m含む（実測）</t>
        </is>
      </c>
    </row>
    <row r="40">
      <c r="A40" s="18" t="inlineStr">
        <is>
          <t>1F換気平面図(p22) 青線</t>
        </is>
      </c>
      <c r="B40" s="18" t="inlineStr">
        <is>
          <t>OA</t>
        </is>
      </c>
      <c r="C40" s="30" t="n">
        <v>3.5</v>
      </c>
      <c r="D40" s="30" t="n">
        <v>50.4</v>
      </c>
      <c r="E40" s="30" t="n">
        <v>45.7</v>
      </c>
      <c r="F40" s="30" t="n">
        <v>0</v>
      </c>
      <c r="G40" s="30" t="n">
        <v>0</v>
      </c>
      <c r="H40" s="18" t="inlineStr">
        <is>
          <t>150φに未判読9.1m含む（実測）</t>
        </is>
      </c>
    </row>
    <row r="41">
      <c r="A41" s="18" t="inlineStr">
        <is>
          <t>2F換気平面図(p23) 黒太線</t>
        </is>
      </c>
      <c r="B41" s="18" t="inlineStr">
        <is>
          <t>EA</t>
        </is>
      </c>
      <c r="C41" s="30" t="n">
        <v>5.2</v>
      </c>
      <c r="D41" s="30" t="n">
        <v>28.2</v>
      </c>
      <c r="E41" s="30" t="n">
        <v>9.800000000000001</v>
      </c>
      <c r="F41" s="30" t="n">
        <v>0</v>
      </c>
      <c r="G41" s="30" t="n">
        <v>0</v>
      </c>
      <c r="H41" s="18" t="inlineStr">
        <is>
          <t>実測</t>
        </is>
      </c>
    </row>
    <row r="42">
      <c r="A42" s="18" t="inlineStr">
        <is>
          <t>2F換気平面図(p23) 青線</t>
        </is>
      </c>
      <c r="B42" s="18" t="inlineStr">
        <is>
          <t>OA</t>
        </is>
      </c>
      <c r="C42" s="30" t="n">
        <v>0</v>
      </c>
      <c r="D42" s="30" t="n">
        <v>0</v>
      </c>
      <c r="E42" s="30" t="n">
        <v>3.5</v>
      </c>
      <c r="F42" s="30" t="n">
        <v>0</v>
      </c>
      <c r="G42" s="30" t="n">
        <v>0</v>
      </c>
      <c r="H42" s="18" t="inlineStr">
        <is>
          <t>実測</t>
        </is>
      </c>
    </row>
    <row r="43">
      <c r="A43" s="18" t="inlineStr">
        <is>
          <t>厨房廻り詳細図(p24) 1:70</t>
        </is>
      </c>
      <c r="B43" s="18" t="inlineStr">
        <is>
          <t>EA</t>
        </is>
      </c>
      <c r="C43" s="30" t="n">
        <v>0</v>
      </c>
      <c r="D43" s="30" t="n">
        <v>0</v>
      </c>
      <c r="E43" s="30" t="n">
        <v>9</v>
      </c>
      <c r="F43" s="30" t="n">
        <v>6</v>
      </c>
      <c r="G43" s="30" t="n">
        <v>5</v>
      </c>
      <c r="H43" s="18" t="inlineStr">
        <is>
          <t>推測（二重線表記のため目視換算）</t>
        </is>
      </c>
    </row>
    <row r="44">
      <c r="A44" s="18" t="inlineStr">
        <is>
          <t>厨房廻り詳細図(p24) 1:70</t>
        </is>
      </c>
      <c r="B44" s="18" t="inlineStr">
        <is>
          <t>OA(FS-1/2・F-3給気)</t>
        </is>
      </c>
      <c r="C44" s="30" t="n">
        <v>0</v>
      </c>
      <c r="D44" s="30" t="n">
        <v>0</v>
      </c>
      <c r="E44" s="30" t="n">
        <v>7.5</v>
      </c>
      <c r="F44" s="30" t="n">
        <v>6</v>
      </c>
      <c r="G44" s="30" t="n">
        <v>3</v>
      </c>
      <c r="H44" s="18" t="inlineStr">
        <is>
          <t>推測</t>
        </is>
      </c>
    </row>
    <row r="45">
      <c r="A45" s="18" t="inlineStr">
        <is>
          <t>外壁貫通部・フード接続</t>
        </is>
      </c>
      <c r="B45" s="18" t="inlineStr">
        <is>
          <t>EA/OA</t>
        </is>
      </c>
      <c r="C45" s="30" t="n">
        <v>0</v>
      </c>
      <c r="D45" s="30" t="n">
        <v>58</v>
      </c>
      <c r="E45" s="30" t="n">
        <v>0</v>
      </c>
      <c r="F45" s="30" t="n">
        <v>0</v>
      </c>
      <c r="G45" s="30" t="n">
        <v>0</v>
      </c>
      <c r="H45" s="18" t="inlineStr">
        <is>
          <t>推測 1.0m/箇所×58</t>
        </is>
      </c>
    </row>
    <row r="46">
      <c r="A46" s="18" t="inlineStr">
        <is>
          <t>合計</t>
        </is>
      </c>
      <c r="B46" s="18" t="inlineStr"/>
      <c r="C46" s="30" t="n">
        <v>71.3</v>
      </c>
      <c r="D46" s="30" t="n">
        <v>259</v>
      </c>
      <c r="E46" s="30" t="n">
        <v>100.7</v>
      </c>
      <c r="F46" s="30" t="n">
        <v>12</v>
      </c>
      <c r="G46" s="30" t="n">
        <v>8</v>
      </c>
      <c r="H46" s="18" t="inlineStr">
        <is>
          <t>明細は端数切上げ</t>
        </is>
      </c>
    </row>
    <row r="48">
      <c r="A48" s="4" t="inlineStr">
        <is>
          <t>5. 機器台数（図面カウント）</t>
        </is>
      </c>
    </row>
    <row r="49">
      <c r="A49" s="5" t="inlineStr">
        <is>
          <t>記号</t>
        </is>
      </c>
      <c r="B49" s="5" t="inlineStr">
        <is>
          <t>台数</t>
        </is>
      </c>
      <c r="C49" s="5" t="inlineStr"/>
      <c r="D49" s="5" t="inlineStr"/>
      <c r="E49" s="5" t="inlineStr"/>
      <c r="F49" s="5" t="inlineStr"/>
      <c r="G49" s="5" t="inlineStr"/>
      <c r="H49" s="5" t="inlineStr">
        <is>
          <t>備考</t>
        </is>
      </c>
    </row>
    <row r="50">
      <c r="A50" s="18" t="inlineStr">
        <is>
          <t>AC-1 (ツイン) 室内8/室外4</t>
        </is>
      </c>
      <c r="B50" s="18" t="inlineStr">
        <is>
          <t>4系統</t>
        </is>
      </c>
      <c r="C50" s="18" t="inlineStr"/>
      <c r="D50" s="18" t="inlineStr"/>
      <c r="E50" s="18" t="inlineStr"/>
      <c r="F50" s="18" t="inlineStr"/>
      <c r="G50" s="18" t="inlineStr"/>
      <c r="H50" s="18" t="inlineStr">
        <is>
          <t>空調機器表・平面図</t>
        </is>
      </c>
    </row>
    <row r="51">
      <c r="A51" s="18" t="inlineStr">
        <is>
          <t>AC-2,3 (ツイン) 室内各2/室外各1</t>
        </is>
      </c>
      <c r="B51" s="18" t="inlineStr">
        <is>
          <t>2系統</t>
        </is>
      </c>
      <c r="C51" s="18" t="inlineStr"/>
      <c r="D51" s="18" t="inlineStr"/>
      <c r="E51" s="18" t="inlineStr"/>
      <c r="F51" s="18" t="inlineStr"/>
      <c r="G51" s="18" t="inlineStr"/>
      <c r="H51" s="18" t="inlineStr"/>
    </row>
    <row r="52">
      <c r="A52" s="18" t="inlineStr">
        <is>
          <t>AC-5,6,7,8,9,10 室内各1/室外各1</t>
        </is>
      </c>
      <c r="B52" s="18" t="inlineStr">
        <is>
          <t>7台</t>
        </is>
      </c>
      <c r="C52" s="18" t="inlineStr"/>
      <c r="D52" s="18" t="inlineStr"/>
      <c r="E52" s="18" t="inlineStr"/>
      <c r="F52" s="18" t="inlineStr"/>
      <c r="G52" s="18" t="inlineStr"/>
      <c r="H52" s="18" t="inlineStr">
        <is>
          <t>AC-5は2台</t>
        </is>
      </c>
    </row>
    <row r="53">
      <c r="A53" s="18" t="inlineStr">
        <is>
          <t>RAC-1/2/3/4</t>
        </is>
      </c>
      <c r="B53" s="18" t="inlineStr">
        <is>
          <t>2/8/66/1</t>
        </is>
      </c>
      <c r="C53" s="18" t="inlineStr"/>
      <c r="D53" s="18" t="inlineStr"/>
      <c r="E53" s="18" t="inlineStr"/>
      <c r="F53" s="18" t="inlineStr"/>
      <c r="G53" s="18" t="inlineStr"/>
      <c r="H53" s="18" t="inlineStr">
        <is>
          <t>2F寮室×16+×3+×11+×8+×4+×24=66</t>
        </is>
      </c>
    </row>
    <row r="54">
      <c r="A54" s="18" t="inlineStr">
        <is>
          <t>追AC1 室内3/室外1、追AC2～5 室内各3/室外各1</t>
        </is>
      </c>
      <c r="B54" s="18" t="inlineStr">
        <is>
          <t>5系統</t>
        </is>
      </c>
      <c r="C54" s="18" t="inlineStr"/>
      <c r="D54" s="18" t="inlineStr"/>
      <c r="E54" s="18" t="inlineStr"/>
      <c r="F54" s="18" t="inlineStr"/>
      <c r="G54" s="18" t="inlineStr"/>
      <c r="H54" s="18" t="inlineStr">
        <is>
          <t>図面08 p19・p20 朱書き □ 位置より</t>
        </is>
      </c>
    </row>
    <row r="55">
      <c r="A55" s="18" t="inlineStr">
        <is>
          <t>換気機器 FE/HEX/F/FS</t>
        </is>
      </c>
      <c r="B55" s="18" t="inlineStr">
        <is>
          <t>機器表どおり</t>
        </is>
      </c>
      <c r="C55" s="18" t="inlineStr"/>
      <c r="D55" s="18" t="inlineStr"/>
      <c r="E55" s="18" t="inlineStr"/>
      <c r="F55" s="18" t="inlineStr"/>
      <c r="G55" s="18" t="inlineStr"/>
      <c r="H55" s="18" t="inlineStr">
        <is>
          <t>換気機器表 p21</t>
        </is>
      </c>
    </row>
    <row r="56">
      <c r="A56" s="18" t="inlineStr">
        <is>
          <t>区画貫通部 ●</t>
        </is>
      </c>
      <c r="B56" s="18" t="inlineStr">
        <is>
          <t>1F 2箇所</t>
        </is>
      </c>
      <c r="C56" s="18" t="inlineStr"/>
      <c r="D56" s="18" t="inlineStr"/>
      <c r="E56" s="18" t="inlineStr"/>
      <c r="F56" s="18" t="inlineStr"/>
      <c r="G56" s="18" t="inlineStr"/>
      <c r="H56" s="18" t="inlineStr">
        <is>
          <t>空調平面図1F 凡例</t>
        </is>
      </c>
    </row>
    <row r="57">
      <c r="A57" s="18" t="inlineStr">
        <is>
          <t>VD</t>
        </is>
      </c>
      <c r="B57" s="18" t="inlineStr">
        <is>
          <t>1F 9・2F 4</t>
        </is>
      </c>
      <c r="C57" s="18" t="inlineStr"/>
      <c r="D57" s="18" t="inlineStr"/>
      <c r="E57" s="18" t="inlineStr"/>
      <c r="F57" s="18" t="inlineStr"/>
      <c r="G57" s="18" t="inlineStr"/>
      <c r="H57" s="18" t="inlineStr">
        <is>
          <t>換気平面図ラベル数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8" customWidth="1" min="3" max="3"/>
    <col width="70" customWidth="1" min="4" max="4"/>
  </cols>
  <sheetData>
    <row r="1">
      <c r="A1" s="3" t="inlineStr">
        <is>
          <t>単価仮定一覧（材工共・税抜・仮単価）　※自社単価に置換してください</t>
        </is>
      </c>
    </row>
    <row r="3">
      <c r="A3" s="34" t="inlineStr">
        <is>
          <t>名称</t>
        </is>
      </c>
      <c r="B3" s="34" t="inlineStr">
        <is>
          <t>単価(円)</t>
        </is>
      </c>
      <c r="C3" s="34" t="inlineStr">
        <is>
          <t>単位</t>
        </is>
      </c>
      <c r="D3" s="34" t="inlineStr">
        <is>
          <t>規格（代表）</t>
        </is>
      </c>
    </row>
    <row r="4">
      <c r="A4" s="8" t="inlineStr">
        <is>
          <t>AC-1 室内機 据付</t>
        </is>
      </c>
      <c r="B4" s="35" t="n">
        <v>55000</v>
      </c>
      <c r="C4" s="8" t="inlineStr">
        <is>
          <t>台</t>
        </is>
      </c>
      <c r="D4" s="8" t="inlineStr">
        <is>
          <t>4方向天井カセット ツイン子機 PA-P280U7HDNB(10HP) 1F食堂・ﾐｰﾃｨﾝｸﾞ・ﾄﾚｰﾆﾝｸﾞ・ﾎｰﾙ</t>
        </is>
      </c>
    </row>
    <row r="5">
      <c r="A5" s="8" t="inlineStr">
        <is>
          <t>AC-1 室外機 据付</t>
        </is>
      </c>
      <c r="B5" s="35" t="n">
        <v>50000</v>
      </c>
      <c r="C5" s="8" t="inlineStr">
        <is>
          <t>台</t>
        </is>
      </c>
      <c r="D5" s="8" t="inlineStr">
        <is>
          <t>10HP 屋外機架台(支給)上 1F地上</t>
        </is>
      </c>
    </row>
    <row r="6">
      <c r="A6" s="8" t="inlineStr">
        <is>
          <t>AC-2 室内機 据付</t>
        </is>
      </c>
      <c r="B6" s="35" t="n">
        <v>55000</v>
      </c>
      <c r="C6" s="8" t="inlineStr">
        <is>
          <t>台</t>
        </is>
      </c>
      <c r="D6" s="8" t="inlineStr">
        <is>
          <t>4方向天井カセット ツイン子機 PA-P224U7HDNB(8HP) コーチルーム</t>
        </is>
      </c>
    </row>
    <row r="7">
      <c r="A7" s="8" t="inlineStr">
        <is>
          <t>AC-2 室外機 据付</t>
        </is>
      </c>
      <c r="B7" s="35" t="n">
        <v>50000</v>
      </c>
      <c r="C7" s="8" t="inlineStr">
        <is>
          <t>台</t>
        </is>
      </c>
      <c r="D7" s="8" t="inlineStr">
        <is>
          <t>8HP</t>
        </is>
      </c>
    </row>
    <row r="8">
      <c r="A8" s="8" t="inlineStr">
        <is>
          <t>AC-3 室内機 据付</t>
        </is>
      </c>
      <c r="B8" s="35" t="n">
        <v>45000</v>
      </c>
      <c r="C8" s="8" t="inlineStr">
        <is>
          <t>台</t>
        </is>
      </c>
      <c r="D8" s="8" t="inlineStr">
        <is>
          <t>4方向天井カセット ツイン子機 (4HP) 脱衣室</t>
        </is>
      </c>
    </row>
    <row r="9">
      <c r="A9" s="8" t="inlineStr">
        <is>
          <t>AC-3 室外機 据付</t>
        </is>
      </c>
      <c r="B9" s="35" t="n">
        <v>35000</v>
      </c>
      <c r="C9" s="8" t="inlineStr">
        <is>
          <t>台</t>
        </is>
      </c>
      <c r="D9" s="8" t="inlineStr">
        <is>
          <t>4HP 物干場側</t>
        </is>
      </c>
    </row>
    <row r="10">
      <c r="A10" s="8" t="inlineStr">
        <is>
          <t>AC-5 室内機 据付</t>
        </is>
      </c>
      <c r="B10" s="35" t="n">
        <v>45000</v>
      </c>
      <c r="C10" s="8" t="inlineStr">
        <is>
          <t>台</t>
        </is>
      </c>
      <c r="D10" s="8" t="inlineStr">
        <is>
          <t>4方向天井カセット PA-P56U7HNB(2HP) ケア室・管理人室</t>
        </is>
      </c>
    </row>
    <row r="11">
      <c r="A11" s="8" t="inlineStr">
        <is>
          <t>AC-5 室外機 据付</t>
        </is>
      </c>
      <c r="B11" s="35" t="n">
        <v>35000</v>
      </c>
      <c r="C11" s="8" t="inlineStr">
        <is>
          <t>台</t>
        </is>
      </c>
      <c r="D11" s="8" t="inlineStr">
        <is>
          <t>2HP</t>
        </is>
      </c>
    </row>
    <row r="12">
      <c r="A12" s="8" t="inlineStr">
        <is>
          <t>AC-6 室内機 据付</t>
        </is>
      </c>
      <c r="B12" s="35" t="n">
        <v>50000</v>
      </c>
      <c r="C12" s="8" t="inlineStr">
        <is>
          <t>台</t>
        </is>
      </c>
      <c r="D12" s="8" t="inlineStr">
        <is>
          <t>天吊形厨房用 PA-P140V7HNB(5HP) 厨房</t>
        </is>
      </c>
    </row>
    <row r="13">
      <c r="A13" s="8" t="inlineStr">
        <is>
          <t>AC-6 室外機 据付</t>
        </is>
      </c>
      <c r="B13" s="35" t="n">
        <v>35000</v>
      </c>
      <c r="C13" s="8" t="inlineStr">
        <is>
          <t>台</t>
        </is>
      </c>
      <c r="D13" s="8" t="inlineStr">
        <is>
          <t>5HP</t>
        </is>
      </c>
    </row>
    <row r="14">
      <c r="A14" s="8" t="inlineStr">
        <is>
          <t>AC-7 室内機 据付</t>
        </is>
      </c>
      <c r="B14" s="35" t="n">
        <v>45000</v>
      </c>
      <c r="C14" s="8" t="inlineStr">
        <is>
          <t>台</t>
        </is>
      </c>
      <c r="D14" s="8" t="inlineStr">
        <is>
          <t>2方向天井カセット PA-P50L7HNB(1.8HP) 面談室</t>
        </is>
      </c>
    </row>
    <row r="15">
      <c r="A15" s="8" t="inlineStr">
        <is>
          <t>AC-7 室外機 据付</t>
        </is>
      </c>
      <c r="B15" s="35" t="n">
        <v>35000</v>
      </c>
      <c r="C15" s="8" t="inlineStr">
        <is>
          <t>台</t>
        </is>
      </c>
      <c r="D15" s="8" t="inlineStr">
        <is>
          <t>1.8HP</t>
        </is>
      </c>
    </row>
    <row r="16">
      <c r="A16" s="8" t="inlineStr">
        <is>
          <t>AC-8 室内機 据付</t>
        </is>
      </c>
      <c r="B16" s="35" t="n">
        <v>50000</v>
      </c>
      <c r="C16" s="8" t="inlineStr">
        <is>
          <t>台</t>
        </is>
      </c>
      <c r="D16" s="8" t="inlineStr">
        <is>
          <t>ビルトインダクト PA-P56FE7HNBC(2HP) 厨房</t>
        </is>
      </c>
    </row>
    <row r="17">
      <c r="A17" s="8" t="inlineStr">
        <is>
          <t>AC-8 室外機 据付</t>
        </is>
      </c>
      <c r="B17" s="35" t="n">
        <v>35000</v>
      </c>
      <c r="C17" s="8" t="inlineStr">
        <is>
          <t>台</t>
        </is>
      </c>
      <c r="D17" s="8" t="inlineStr">
        <is>
          <t>2HP</t>
        </is>
      </c>
    </row>
    <row r="18">
      <c r="A18" s="8" t="inlineStr">
        <is>
          <t>AC-9 室内機 据付</t>
        </is>
      </c>
      <c r="B18" s="35" t="n">
        <v>50000</v>
      </c>
      <c r="C18" s="8" t="inlineStr">
        <is>
          <t>台</t>
        </is>
      </c>
      <c r="D18" s="8" t="inlineStr">
        <is>
          <t>天吊形厨房用 PA-P80V7HNB(3HP) 弁当室</t>
        </is>
      </c>
    </row>
    <row r="19">
      <c r="A19" s="8" t="inlineStr">
        <is>
          <t>AC-9 室外機 据付</t>
        </is>
      </c>
      <c r="B19" s="35" t="n">
        <v>35000</v>
      </c>
      <c r="C19" s="8" t="inlineStr">
        <is>
          <t>台</t>
        </is>
      </c>
      <c r="D19" s="8" t="inlineStr">
        <is>
          <t>3HP</t>
        </is>
      </c>
    </row>
    <row r="20">
      <c r="A20" s="8" t="inlineStr">
        <is>
          <t>AC-10 室内機 据付</t>
        </is>
      </c>
      <c r="B20" s="35" t="n">
        <v>45000</v>
      </c>
      <c r="C20" s="8" t="inlineStr">
        <is>
          <t>台</t>
        </is>
      </c>
      <c r="D20" s="8" t="inlineStr">
        <is>
          <t>4方向天井カセット PA-P140U7HNB(5HP) 2F多目的スペース</t>
        </is>
      </c>
    </row>
    <row r="21">
      <c r="A21" s="8" t="inlineStr">
        <is>
          <t>AC-10 室外機 据付</t>
        </is>
      </c>
      <c r="B21" s="35" t="n">
        <v>35000</v>
      </c>
      <c r="C21" s="8" t="inlineStr">
        <is>
          <t>台</t>
        </is>
      </c>
      <c r="D21" s="8" t="inlineStr">
        <is>
          <t>5HP 1F地上(中庭2西側)</t>
        </is>
      </c>
    </row>
    <row r="22">
      <c r="A22" s="8" t="inlineStr">
        <is>
          <t>RAC-1 据付</t>
        </is>
      </c>
      <c r="B22" s="35" t="n">
        <v>28000</v>
      </c>
      <c r="C22" s="8" t="inlineStr">
        <is>
          <t>組</t>
        </is>
      </c>
      <c r="D22" s="8" t="inlineStr">
        <is>
          <t>壁掛ルームエアコン XCS-255DGX-W 内外機・ドレンアップ共 洗浄室・休憩室</t>
        </is>
      </c>
    </row>
    <row r="23">
      <c r="A23" s="8" t="inlineStr">
        <is>
          <t>RAC-2 据付</t>
        </is>
      </c>
      <c r="B23" s="35" t="n">
        <v>28000</v>
      </c>
      <c r="C23" s="8" t="inlineStr">
        <is>
          <t>組</t>
        </is>
      </c>
      <c r="D23" s="8" t="inlineStr">
        <is>
          <t>壁掛ルームエアコン XCS-405DGX-W 内外機・ドレンアップ共 来客室・和室・洋室・DK</t>
        </is>
      </c>
    </row>
    <row r="24">
      <c r="A24" s="8" t="inlineStr">
        <is>
          <t>RAC-3 据付</t>
        </is>
      </c>
      <c r="B24" s="35" t="n">
        <v>25000</v>
      </c>
      <c r="C24" s="8" t="inlineStr">
        <is>
          <t>組</t>
        </is>
      </c>
      <c r="D24" s="8" t="inlineStr">
        <is>
          <t>壁掛ルームエアコン XCS-405DGX2-W 内外機 2F寮室・予備室・コーチ宿泊室</t>
        </is>
      </c>
    </row>
    <row r="25">
      <c r="A25" s="8" t="inlineStr">
        <is>
          <t>RAC-4 据付</t>
        </is>
      </c>
      <c r="B25" s="35" t="n">
        <v>28000</v>
      </c>
      <c r="C25" s="8" t="inlineStr">
        <is>
          <t>組</t>
        </is>
      </c>
      <c r="D25" s="8" t="inlineStr">
        <is>
          <t>壁掛ルームエアコン XCS-635DGX2-W 内外機 2F寮務スタッフ室</t>
        </is>
      </c>
    </row>
    <row r="26">
      <c r="A26" s="8" t="inlineStr">
        <is>
          <t>CR-1 集中リモコン 取付</t>
        </is>
      </c>
      <c r="B26" s="35" t="n">
        <v>15000</v>
      </c>
      <c r="C26" s="8" t="inlineStr">
        <is>
          <t>台</t>
        </is>
      </c>
      <c r="D26" s="8" t="inlineStr">
        <is>
          <t>CZ-10ESM5・CZ-10ESW4 管理人室</t>
        </is>
      </c>
    </row>
    <row r="27">
      <c r="A27" s="8" t="inlineStr">
        <is>
          <t>機器搬入・揚重・養生</t>
        </is>
      </c>
      <c r="B27" s="35" t="n">
        <v>250000</v>
      </c>
      <c r="C27" s="8" t="inlineStr">
        <is>
          <t>式</t>
        </is>
      </c>
      <c r="D27" s="8" t="inlineStr">
        <is>
          <t>PAC 32台・RAC 154台分</t>
        </is>
      </c>
    </row>
    <row r="28">
      <c r="A28" s="8" t="inlineStr">
        <is>
          <t>冷媒配管 ①</t>
        </is>
      </c>
      <c r="B28" s="35" t="n">
        <v>4500</v>
      </c>
      <c r="C28" s="8" t="inlineStr">
        <is>
          <t>m</t>
        </is>
      </c>
      <c r="D28" s="8" t="inlineStr">
        <is>
          <t>被覆銅管 9.52/6.35 (RAC-1,2 1F 及び RAC-3 2F)</t>
        </is>
      </c>
    </row>
    <row r="29">
      <c r="A29" s="8" t="inlineStr">
        <is>
          <t>冷媒配管 ②</t>
        </is>
      </c>
      <c r="B29" s="35" t="n">
        <v>5200</v>
      </c>
      <c r="C29" s="8" t="inlineStr">
        <is>
          <t>m</t>
        </is>
      </c>
      <c r="D29" s="8" t="inlineStr">
        <is>
          <t>被覆銅管 12.7/6.35 (AC-5,7,8 AC-3枝 RAC-4)</t>
        </is>
      </c>
    </row>
    <row r="30">
      <c r="A30" s="8" t="inlineStr">
        <is>
          <t>冷媒配管 ③</t>
        </is>
      </c>
      <c r="B30" s="35" t="n">
        <v>6500</v>
      </c>
      <c r="C30" s="8" t="inlineStr">
        <is>
          <t>m</t>
        </is>
      </c>
      <c r="D30" s="8" t="inlineStr">
        <is>
          <t>被覆銅管 15.88/9.52 (AC-1/2枝 AC-3主 AC-6,9,10)</t>
        </is>
      </c>
    </row>
    <row r="31">
      <c r="A31" s="8" t="inlineStr">
        <is>
          <t>冷媒配管 ⑥</t>
        </is>
      </c>
      <c r="B31" s="35" t="n">
        <v>9500</v>
      </c>
      <c r="C31" s="8" t="inlineStr">
        <is>
          <t>m</t>
        </is>
      </c>
      <c r="D31" s="8" t="inlineStr">
        <is>
          <t>被覆銅管 25.4/9.52 (AC-2主管)</t>
        </is>
      </c>
    </row>
    <row r="32">
      <c r="A32" s="8" t="inlineStr">
        <is>
          <t>冷媒配管 ⑦</t>
        </is>
      </c>
      <c r="B32" s="35" t="n">
        <v>10500</v>
      </c>
      <c r="C32" s="8" t="inlineStr">
        <is>
          <t>m</t>
        </is>
      </c>
      <c r="D32" s="8" t="inlineStr">
        <is>
          <t>被覆銅管 25.4/12.7 (AC-1主管 4系統)</t>
        </is>
      </c>
    </row>
    <row r="33">
      <c r="A33" s="8" t="inlineStr">
        <is>
          <t>冷媒配管 化粧ケース</t>
        </is>
      </c>
      <c r="B33" s="35" t="n">
        <v>3000</v>
      </c>
      <c r="C33" s="8" t="inlineStr">
        <is>
          <t>m</t>
        </is>
      </c>
      <c r="D33" s="8" t="inlineStr">
        <is>
          <t>屋外・屋内露出部 (管種凡例: 露出管は化粧ケース仕上)</t>
        </is>
      </c>
    </row>
    <row r="34">
      <c r="A34" s="8" t="inlineStr">
        <is>
          <t>外壁貫通スリーブ材</t>
        </is>
      </c>
      <c r="B34" s="35" t="n">
        <v>2500</v>
      </c>
      <c r="C34" s="8" t="inlineStr">
        <is>
          <t>箇所</t>
        </is>
      </c>
      <c r="D34" s="8" t="inlineStr">
        <is>
          <t>VP100 冷媒・ドレン用 (穴明けは建築工事)</t>
        </is>
      </c>
    </row>
    <row r="35">
      <c r="A35" s="8" t="inlineStr">
        <is>
          <t>区画貫通処理</t>
        </is>
      </c>
      <c r="B35" s="35" t="n">
        <v>12000</v>
      </c>
      <c r="C35" s="8" t="inlineStr">
        <is>
          <t>箇所</t>
        </is>
      </c>
      <c r="D35" s="8" t="inlineStr">
        <is>
          <t>冷媒管 フィブロック(認定工法)</t>
        </is>
      </c>
    </row>
    <row r="36">
      <c r="A36" s="8" t="inlineStr">
        <is>
          <t>気密試験・真空引き・冷媒追加充填 作業</t>
        </is>
      </c>
      <c r="B36" s="35" t="n">
        <v>15000</v>
      </c>
      <c r="C36" s="8" t="inlineStr">
        <is>
          <t>系統</t>
        </is>
      </c>
      <c r="D36" s="8" t="inlineStr">
        <is>
          <t>PAC 系統毎</t>
        </is>
      </c>
    </row>
    <row r="37">
      <c r="A37" s="8" t="inlineStr">
        <is>
          <t>冷媒追加充填 (冷媒代)</t>
        </is>
      </c>
      <c r="B37" s="35" t="n">
        <v>6000</v>
      </c>
      <c r="C37" s="8" t="inlineStr">
        <is>
          <t>kg</t>
        </is>
      </c>
      <c r="D37" s="8" t="inlineStr">
        <is>
          <t>R32/R410A</t>
        </is>
      </c>
    </row>
    <row r="38">
      <c r="A38" s="8" t="inlineStr">
        <is>
          <t>ドレン管 VP20</t>
        </is>
      </c>
      <c r="B38" s="35" t="n">
        <v>2800</v>
      </c>
      <c r="C38" s="8" t="inlineStr">
        <is>
          <t>m</t>
        </is>
      </c>
      <c r="D38" s="8" t="inlineStr">
        <is>
          <t>硬質塩化ビニル管 継手・支持共</t>
        </is>
      </c>
    </row>
    <row r="39">
      <c r="A39" s="8" t="inlineStr">
        <is>
          <t>ドレン管 VP25</t>
        </is>
      </c>
      <c r="B39" s="35" t="n">
        <v>3200</v>
      </c>
      <c r="C39" s="8" t="inlineStr">
        <is>
          <t>m</t>
        </is>
      </c>
      <c r="D39" s="8" t="inlineStr">
        <is>
          <t>硬質塩化ビニル管 継手・支持共</t>
        </is>
      </c>
    </row>
    <row r="40">
      <c r="A40" s="8" t="inlineStr">
        <is>
          <t>ドレン管 VP40</t>
        </is>
      </c>
      <c r="B40" s="35" t="n">
        <v>4000</v>
      </c>
      <c r="C40" s="8" t="inlineStr">
        <is>
          <t>m</t>
        </is>
      </c>
      <c r="D40" s="8" t="inlineStr">
        <is>
          <t>硬質塩化ビニル管 継手・支持共</t>
        </is>
      </c>
    </row>
    <row r="41">
      <c r="A41" s="8" t="inlineStr">
        <is>
          <t>ドレン管 保温</t>
        </is>
      </c>
      <c r="B41" s="35" t="n">
        <v>2500</v>
      </c>
      <c r="C41" s="8" t="inlineStr">
        <is>
          <t>m</t>
        </is>
      </c>
      <c r="D41" s="8" t="inlineStr">
        <is>
          <t>GW保温筒20 ALGC 天井内 (特記仕様書 保温表は空欄・標準仕様に準じ計上 要確認)</t>
        </is>
      </c>
    </row>
    <row r="42">
      <c r="A42" s="8" t="inlineStr">
        <is>
          <t>ドレン管 区画貫通処理</t>
        </is>
      </c>
      <c r="B42" s="35" t="n">
        <v>12000</v>
      </c>
      <c r="C42" s="8" t="inlineStr">
        <is>
          <t>箇所</t>
        </is>
      </c>
      <c r="D42" s="8" t="inlineStr">
        <is>
          <t>耐火二層管／フィブロック</t>
        </is>
      </c>
    </row>
    <row r="43">
      <c r="A43" s="8" t="inlineStr">
        <is>
          <t>RAC-3/4 ドレンホース 延長・共巻</t>
        </is>
      </c>
      <c r="B43" s="35" t="n">
        <v>1500</v>
      </c>
      <c r="C43" s="8" t="inlineStr">
        <is>
          <t>台</t>
        </is>
      </c>
      <c r="D43" s="8" t="inlineStr">
        <is>
          <t>勾配確保の上 冷媒管共巻 (図示注記)</t>
        </is>
      </c>
    </row>
    <row r="44">
      <c r="A44" s="8" t="inlineStr">
        <is>
          <t>リモコン線・内外連絡線 配線</t>
        </is>
      </c>
      <c r="B44" s="35" t="n">
        <v>12000</v>
      </c>
      <c r="C44" s="8" t="inlineStr">
        <is>
          <t>系統</t>
        </is>
      </c>
      <c r="D44" s="8" t="inlineStr">
        <is>
          <t>PAC 系統毎 (ワイヤードリモコン線 0.75×2C、渡り線) 工事区分表: 機械</t>
        </is>
      </c>
    </row>
    <row r="45">
      <c r="A45" s="8" t="inlineStr">
        <is>
          <t>集中リモコン CR-1 制御配線</t>
        </is>
      </c>
      <c r="B45" s="35" t="n">
        <v>60000</v>
      </c>
      <c r="C45" s="8" t="inlineStr">
        <is>
          <t>式</t>
        </is>
      </c>
      <c r="D45" s="8" t="inlineStr">
        <is>
          <t>S-LINK 13系統分 推定延長200m</t>
        </is>
      </c>
    </row>
    <row r="46">
      <c r="A46" s="8" t="inlineStr">
        <is>
          <t>RAC 内外連絡線 配線</t>
        </is>
      </c>
      <c r="B46" s="35" t="n">
        <v>3000</v>
      </c>
      <c r="C46" s="8" t="inlineStr">
        <is>
          <t>台</t>
        </is>
      </c>
      <c r="D46" s="8" t="inlineStr">
        <is>
          <t>VVF2.0-3C 1台当り5m</t>
        </is>
      </c>
    </row>
    <row r="47">
      <c r="A47" s="8" t="inlineStr">
        <is>
          <t>AC-8 ビルトインダクト用 ダクト・制気口</t>
        </is>
      </c>
      <c r="B47" s="35" t="n">
        <v>80000</v>
      </c>
      <c r="C47" s="8" t="inlineStr">
        <is>
          <t>式</t>
        </is>
      </c>
      <c r="D47" s="8" t="inlineStr">
        <is>
          <t>吹出口・吸込口・チャンバー・フレキ 一式</t>
        </is>
      </c>
    </row>
    <row r="48">
      <c r="A48" s="8" t="inlineStr">
        <is>
          <t>試運転調整 PAC</t>
        </is>
      </c>
      <c r="B48" s="35" t="n">
        <v>8000</v>
      </c>
      <c r="C48" s="8" t="inlineStr">
        <is>
          <t>系統</t>
        </is>
      </c>
      <c r="D48" s="8" t="inlineStr">
        <is>
          <t>系統毎</t>
        </is>
      </c>
    </row>
    <row r="49">
      <c r="A49" s="8" t="inlineStr">
        <is>
          <t>試運転調整 RAC</t>
        </is>
      </c>
      <c r="B49" s="35" t="n">
        <v>2000</v>
      </c>
      <c r="C49" s="8" t="inlineStr">
        <is>
          <t>台</t>
        </is>
      </c>
      <c r="D49" s="8" t="inlineStr">
        <is>
          <t>台毎</t>
        </is>
      </c>
    </row>
    <row r="50">
      <c r="A50" s="8" t="inlineStr">
        <is>
          <t>法令・申請・書類</t>
        </is>
      </c>
      <c r="B50" s="35" t="n">
        <v>30000</v>
      </c>
      <c r="C50" s="8" t="inlineStr">
        <is>
          <t>式</t>
        </is>
      </c>
      <c r="D50" s="8" t="inlineStr">
        <is>
          <t>試運転報告書・冷媒管理記録 等</t>
        </is>
      </c>
    </row>
    <row r="51">
      <c r="A51" s="8" t="inlineStr">
        <is>
          <t>FE-A1 パイプファン 据付</t>
        </is>
      </c>
      <c r="B51" s="35" t="n">
        <v>8000</v>
      </c>
      <c r="C51" s="8" t="inlineStr">
        <is>
          <t>台</t>
        </is>
      </c>
      <c r="D51" s="8" t="inlineStr">
        <is>
          <t>V-12PS8 150φ ゴミ庫1・倉庫1</t>
        </is>
      </c>
    </row>
    <row r="52">
      <c r="A52" s="8" t="inlineStr">
        <is>
          <t>FE-A2 天井扇 据付</t>
        </is>
      </c>
      <c r="B52" s="35" t="n">
        <v>12000</v>
      </c>
      <c r="C52" s="8" t="inlineStr">
        <is>
          <t>台</t>
        </is>
      </c>
      <c r="D52" s="8" t="inlineStr">
        <is>
          <t>VD-15ZC14 100φ 管理人和室洋室クローク・面談室</t>
        </is>
      </c>
    </row>
    <row r="53">
      <c r="A53" s="8" t="inlineStr">
        <is>
          <t>FE-A3 天井扇 据付</t>
        </is>
      </c>
      <c r="B53" s="35" t="n">
        <v>12000</v>
      </c>
      <c r="C53" s="8" t="inlineStr">
        <is>
          <t>台</t>
        </is>
      </c>
      <c r="D53" s="8" t="inlineStr">
        <is>
          <t>VD-10ZC14 管理人WC</t>
        </is>
      </c>
    </row>
    <row r="54">
      <c r="A54" s="8" t="inlineStr">
        <is>
          <t>FE-A4 親子扇 据付</t>
        </is>
      </c>
      <c r="B54" s="35" t="n">
        <v>14000</v>
      </c>
      <c r="C54" s="8" t="inlineStr">
        <is>
          <t>台</t>
        </is>
      </c>
      <c r="D54" s="8" t="inlineStr">
        <is>
          <t>VD-10ZFC14 管理人洗面UB</t>
        </is>
      </c>
    </row>
    <row r="55">
      <c r="A55" s="8" t="inlineStr">
        <is>
          <t>FE-A5 天井扇 据付</t>
        </is>
      </c>
      <c r="B55" s="35" t="n">
        <v>12000</v>
      </c>
      <c r="C55" s="8" t="inlineStr">
        <is>
          <t>台</t>
        </is>
      </c>
      <c r="D55" s="8" t="inlineStr">
        <is>
          <t>VD-15ZC14 管理人室</t>
        </is>
      </c>
    </row>
    <row r="56">
      <c r="A56" s="8" t="inlineStr">
        <is>
          <t>FE-A6 中間ファン 据付</t>
        </is>
      </c>
      <c r="B56" s="35" t="n">
        <v>35000</v>
      </c>
      <c r="C56" s="8" t="inlineStr">
        <is>
          <t>台</t>
        </is>
      </c>
      <c r="D56" s="8" t="inlineStr">
        <is>
          <t>BFS-50SYA2 200φ 1階男性WC</t>
        </is>
      </c>
    </row>
    <row r="57">
      <c r="A57" s="8" t="inlineStr">
        <is>
          <t>FE-A7 天井扇 据付</t>
        </is>
      </c>
      <c r="B57" s="35" t="n">
        <v>12000</v>
      </c>
      <c r="C57" s="8" t="inlineStr">
        <is>
          <t>台</t>
        </is>
      </c>
      <c r="D57" s="8" t="inlineStr">
        <is>
          <t>VD-17ZSC14 1階多目的WC</t>
        </is>
      </c>
    </row>
    <row r="58">
      <c r="A58" s="8" t="inlineStr">
        <is>
          <t>FE-B1 天井扇 据付</t>
        </is>
      </c>
      <c r="B58" s="35" t="n">
        <v>12000</v>
      </c>
      <c r="C58" s="8" t="inlineStr">
        <is>
          <t>台</t>
        </is>
      </c>
      <c r="D58" s="8" t="inlineStr">
        <is>
          <t>VD-17ZSC14 シューズロッカー・洗い場</t>
        </is>
      </c>
    </row>
    <row r="59">
      <c r="A59" s="8" t="inlineStr">
        <is>
          <t>FE-B2 天井扇 据付</t>
        </is>
      </c>
      <c r="B59" s="35" t="n">
        <v>14000</v>
      </c>
      <c r="C59" s="8" t="inlineStr">
        <is>
          <t>台</t>
        </is>
      </c>
      <c r="D59" s="8" t="inlineStr">
        <is>
          <t>VD-23ZB13 洗濯室</t>
        </is>
      </c>
    </row>
    <row r="60">
      <c r="A60" s="8" t="inlineStr">
        <is>
          <t>FE-B3 有圧扇 据付</t>
        </is>
      </c>
      <c r="B60" s="35" t="n">
        <v>25000</v>
      </c>
      <c r="C60" s="8" t="inlineStr">
        <is>
          <t>台</t>
        </is>
      </c>
      <c r="D60" s="8" t="inlineStr">
        <is>
          <t>EF-25ASXC2 浴室 ウェザーカバー共</t>
        </is>
      </c>
    </row>
    <row r="61">
      <c r="A61" s="8" t="inlineStr">
        <is>
          <t>FE-B4 中間ファン 据付</t>
        </is>
      </c>
      <c r="B61" s="35" t="n">
        <v>35000</v>
      </c>
      <c r="C61" s="8" t="inlineStr">
        <is>
          <t>台</t>
        </is>
      </c>
      <c r="D61" s="8" t="inlineStr">
        <is>
          <t>BFS-50SYA2 脱衣室・前室</t>
        </is>
      </c>
    </row>
    <row r="62">
      <c r="A62" s="8" t="inlineStr">
        <is>
          <t>FE-C1 パイプファン 据付</t>
        </is>
      </c>
      <c r="B62" s="35" t="n">
        <v>8000</v>
      </c>
      <c r="C62" s="8" t="inlineStr">
        <is>
          <t>台</t>
        </is>
      </c>
      <c r="D62" s="8" t="inlineStr">
        <is>
          <t>V-08PPX8 厨房WC・休憩室・段ボール庫・ゴミ庫2</t>
        </is>
      </c>
    </row>
    <row r="63">
      <c r="A63" s="8" t="inlineStr">
        <is>
          <t>FE-C2 パイプファン 据付</t>
        </is>
      </c>
      <c r="B63" s="35" t="n">
        <v>8000</v>
      </c>
      <c r="C63" s="8" t="inlineStr">
        <is>
          <t>台</t>
        </is>
      </c>
      <c r="D63" s="8" t="inlineStr">
        <is>
          <t>V-08PP8 厨房前室</t>
        </is>
      </c>
    </row>
    <row r="64">
      <c r="A64" s="8" t="inlineStr">
        <is>
          <t>FE-C3 天井扇 据付</t>
        </is>
      </c>
      <c r="B64" s="35" t="n">
        <v>12000</v>
      </c>
      <c r="C64" s="8" t="inlineStr">
        <is>
          <t>台</t>
        </is>
      </c>
      <c r="D64" s="8" t="inlineStr">
        <is>
          <t>VD-15ZC14 冷蔵庫室</t>
        </is>
      </c>
    </row>
    <row r="65">
      <c r="A65" s="8" t="inlineStr">
        <is>
          <t>FE-C4 天井扇 据付</t>
        </is>
      </c>
      <c r="B65" s="35" t="n">
        <v>12000</v>
      </c>
      <c r="C65" s="8" t="inlineStr">
        <is>
          <t>台</t>
        </is>
      </c>
      <c r="D65" s="8" t="inlineStr">
        <is>
          <t>VD-17ZSC14 食品庫・弁当室</t>
        </is>
      </c>
    </row>
    <row r="66">
      <c r="A66" s="8" t="inlineStr">
        <is>
          <t>FE-C5 天井扇 据付</t>
        </is>
      </c>
      <c r="B66" s="35" t="n">
        <v>12000</v>
      </c>
      <c r="C66" s="8" t="inlineStr">
        <is>
          <t>台</t>
        </is>
      </c>
      <c r="D66" s="8" t="inlineStr">
        <is>
          <t>VD-13ZC14 厨房廊下</t>
        </is>
      </c>
    </row>
    <row r="67">
      <c r="A67" s="8" t="inlineStr">
        <is>
          <t>FE-D1 親子扇 据付</t>
        </is>
      </c>
      <c r="B67" s="35" t="n">
        <v>14000</v>
      </c>
      <c r="C67" s="8" t="inlineStr">
        <is>
          <t>台</t>
        </is>
      </c>
      <c r="D67" s="8" t="inlineStr">
        <is>
          <t>VD-10ZFC14 来客室UB</t>
        </is>
      </c>
    </row>
    <row r="68">
      <c r="A68" s="8" t="inlineStr">
        <is>
          <t>FE-D2 有圧扇 据付</t>
        </is>
      </c>
      <c r="B68" s="35" t="n">
        <v>25000</v>
      </c>
      <c r="C68" s="8" t="inlineStr">
        <is>
          <t>台</t>
        </is>
      </c>
      <c r="D68" s="8" t="inlineStr">
        <is>
          <t>ENF-20YSA2 倉庫2 ウェザーカバー共</t>
        </is>
      </c>
    </row>
    <row r="69">
      <c r="A69" s="8" t="inlineStr">
        <is>
          <t>FE-D3 天井扇 据付</t>
        </is>
      </c>
      <c r="B69" s="35" t="n">
        <v>12000</v>
      </c>
      <c r="C69" s="8" t="inlineStr">
        <is>
          <t>台</t>
        </is>
      </c>
      <c r="D69" s="8" t="inlineStr">
        <is>
          <t>VD-20ZC14 ケア室</t>
        </is>
      </c>
    </row>
    <row r="70">
      <c r="A70" s="8" t="inlineStr">
        <is>
          <t>FE-D4 天井扇 据付</t>
        </is>
      </c>
      <c r="B70" s="35" t="n">
        <v>12000</v>
      </c>
      <c r="C70" s="8" t="inlineStr">
        <is>
          <t>台</t>
        </is>
      </c>
      <c r="D70" s="8" t="inlineStr">
        <is>
          <t>VD-15ZC14 コーチルーム流し</t>
        </is>
      </c>
    </row>
    <row r="71">
      <c r="A71" s="8" t="inlineStr">
        <is>
          <t>FE-E1 中間ファン 据付</t>
        </is>
      </c>
      <c r="B71" s="35" t="n">
        <v>35000</v>
      </c>
      <c r="C71" s="8" t="inlineStr">
        <is>
          <t>台</t>
        </is>
      </c>
      <c r="D71" s="8" t="inlineStr">
        <is>
          <t>BFS-80SYA2 2階WC(北)</t>
        </is>
      </c>
    </row>
    <row r="72">
      <c r="A72" s="8" t="inlineStr">
        <is>
          <t>FE-E2 天井扇 据付</t>
        </is>
      </c>
      <c r="B72" s="35" t="n">
        <v>12000</v>
      </c>
      <c r="C72" s="8" t="inlineStr">
        <is>
          <t>台</t>
        </is>
      </c>
      <c r="D72" s="8" t="inlineStr">
        <is>
          <t>VD-20ZC14 2階洗面所(北)(南)</t>
        </is>
      </c>
    </row>
    <row r="73">
      <c r="A73" s="8" t="inlineStr">
        <is>
          <t>FE-E3 天井扇 据付</t>
        </is>
      </c>
      <c r="B73" s="35" t="n">
        <v>12000</v>
      </c>
      <c r="C73" s="8" t="inlineStr">
        <is>
          <t>台</t>
        </is>
      </c>
      <c r="D73" s="8" t="inlineStr">
        <is>
          <t>VD-20ZC14 2階階段ホール</t>
        </is>
      </c>
    </row>
    <row r="74">
      <c r="A74" s="8" t="inlineStr">
        <is>
          <t>FE-E4 中間ファン 据付</t>
        </is>
      </c>
      <c r="B74" s="35" t="n">
        <v>35000</v>
      </c>
      <c r="C74" s="8" t="inlineStr">
        <is>
          <t>台</t>
        </is>
      </c>
      <c r="D74" s="8" t="inlineStr">
        <is>
          <t>BFS-50SYA2 2階WC(南)</t>
        </is>
      </c>
    </row>
    <row r="75">
      <c r="A75" s="8" t="inlineStr">
        <is>
          <t>FE-E5 天井扇 据付</t>
        </is>
      </c>
      <c r="B75" s="35" t="n">
        <v>12000</v>
      </c>
      <c r="C75" s="8" t="inlineStr">
        <is>
          <t>台</t>
        </is>
      </c>
      <c r="D75" s="8" t="inlineStr">
        <is>
          <t>VD-15ZPC14 多目的スペース</t>
        </is>
      </c>
    </row>
    <row r="76">
      <c r="A76" s="8" t="inlineStr">
        <is>
          <t>FE-E6 親子扇 据付</t>
        </is>
      </c>
      <c r="B76" s="35" t="n">
        <v>14000</v>
      </c>
      <c r="C76" s="8" t="inlineStr">
        <is>
          <t>台</t>
        </is>
      </c>
      <c r="D76" s="8" t="inlineStr">
        <is>
          <t>VD-10ZFC14 寮務スタッフ室UB</t>
        </is>
      </c>
    </row>
    <row r="77">
      <c r="A77" s="8" t="inlineStr">
        <is>
          <t>HEX-1 全熱交換器 据付</t>
        </is>
      </c>
      <c r="B77" s="35" t="n">
        <v>45000</v>
      </c>
      <c r="C77" s="8" t="inlineStr">
        <is>
          <t>台</t>
        </is>
      </c>
      <c r="D77" s="8" t="inlineStr">
        <is>
          <t>LGH-N80RXV2 天井埋込 食堂 リモコン共</t>
        </is>
      </c>
    </row>
    <row r="78">
      <c r="A78" s="8" t="inlineStr">
        <is>
          <t>HEX-2 全熱交換器 据付</t>
        </is>
      </c>
      <c r="B78" s="35" t="n">
        <v>45000</v>
      </c>
      <c r="C78" s="8" t="inlineStr">
        <is>
          <t>台</t>
        </is>
      </c>
      <c r="D78" s="8" t="inlineStr">
        <is>
          <t>LGH-N65RXW2 天井埋込 ミーティングルーム</t>
        </is>
      </c>
    </row>
    <row r="79">
      <c r="A79" s="8" t="inlineStr">
        <is>
          <t>HEX-3 全熱交換器 据付</t>
        </is>
      </c>
      <c r="B79" s="35" t="n">
        <v>40000</v>
      </c>
      <c r="C79" s="8" t="inlineStr">
        <is>
          <t>台</t>
        </is>
      </c>
      <c r="D79" s="8" t="inlineStr">
        <is>
          <t>SKU-50AC 天井カセット コーチルーム・トレーニングルーム</t>
        </is>
      </c>
    </row>
    <row r="80">
      <c r="A80" s="8" t="inlineStr">
        <is>
          <t>HEX-4 壁掛ロスナイ 据付</t>
        </is>
      </c>
      <c r="B80" s="35" t="n">
        <v>12000</v>
      </c>
      <c r="C80" s="8" t="inlineStr">
        <is>
          <t>台</t>
        </is>
      </c>
      <c r="D80" s="8" t="inlineStr">
        <is>
          <t>VL-10ES3 来客室・寮室(南)・寮務スタッフ室</t>
        </is>
      </c>
    </row>
    <row r="81">
      <c r="A81" s="8" t="inlineStr">
        <is>
          <t>HEX-5 壁掛ロスナイ 据付</t>
        </is>
      </c>
      <c r="B81" s="35" t="n">
        <v>12000</v>
      </c>
      <c r="C81" s="8" t="inlineStr">
        <is>
          <t>台</t>
        </is>
      </c>
      <c r="D81" s="8" t="inlineStr">
        <is>
          <t>VL-12ESH3 寮室(北)</t>
        </is>
      </c>
    </row>
    <row r="82">
      <c r="A82" s="8" t="inlineStr">
        <is>
          <t>F-1 中間ファン 据付</t>
        </is>
      </c>
      <c r="B82" s="35" t="n">
        <v>35000</v>
      </c>
      <c r="C82" s="8" t="inlineStr">
        <is>
          <t>台</t>
        </is>
      </c>
      <c r="D82" s="8" t="inlineStr">
        <is>
          <t>BFS-80SXA2 厨房用 洗浄室</t>
        </is>
      </c>
    </row>
    <row r="83">
      <c r="A83" s="8" t="inlineStr">
        <is>
          <t>F-2 中間ファン 据付</t>
        </is>
      </c>
      <c r="B83" s="35" t="n">
        <v>40000</v>
      </c>
      <c r="C83" s="8" t="inlineStr">
        <is>
          <t>台</t>
        </is>
      </c>
      <c r="D83" s="8" t="inlineStr">
        <is>
          <t>BFS-150SXA2 厨房用 厨房</t>
        </is>
      </c>
    </row>
    <row r="84">
      <c r="A84" s="8" t="inlineStr">
        <is>
          <t>F-3 有圧扇 据付</t>
        </is>
      </c>
      <c r="B84" s="35" t="n">
        <v>28000</v>
      </c>
      <c r="C84" s="8" t="inlineStr">
        <is>
          <t>台</t>
        </is>
      </c>
      <c r="D84" s="8" t="inlineStr">
        <is>
          <t>EF-30BSXC2-HC 厨房 ウェザーカバー・リモコン共</t>
        </is>
      </c>
    </row>
    <row r="85">
      <c r="A85" s="8" t="inlineStr">
        <is>
          <t>F-4 サイクル扇 据付</t>
        </is>
      </c>
      <c r="B85" s="35" t="n">
        <v>10000</v>
      </c>
      <c r="C85" s="8" t="inlineStr">
        <is>
          <t>台</t>
        </is>
      </c>
      <c r="D85" s="8" t="inlineStr">
        <is>
          <t>CY-30WD 脱衣室 速度調節器共</t>
        </is>
      </c>
    </row>
    <row r="86">
      <c r="A86" s="8" t="inlineStr">
        <is>
          <t>FS-1 中間ファン 据付</t>
        </is>
      </c>
      <c r="B86" s="35" t="n">
        <v>35000</v>
      </c>
      <c r="C86" s="8" t="inlineStr">
        <is>
          <t>台</t>
        </is>
      </c>
      <c r="D86" s="8" t="inlineStr">
        <is>
          <t>BFS-80SUG2 給気 洗浄室 F-1と連動</t>
        </is>
      </c>
    </row>
    <row r="87">
      <c r="A87" s="8" t="inlineStr">
        <is>
          <t>FS-2 中間ファン 据付</t>
        </is>
      </c>
      <c r="B87" s="35" t="n">
        <v>40000</v>
      </c>
      <c r="C87" s="8" t="inlineStr">
        <is>
          <t>台</t>
        </is>
      </c>
      <c r="D87" s="8" t="inlineStr">
        <is>
          <t>BFS-150SUG2 給気 厨房 F-2と連動</t>
        </is>
      </c>
    </row>
    <row r="88">
      <c r="A88" s="8" t="inlineStr">
        <is>
          <t>全熱交換器・中間ファン リモコン配線</t>
        </is>
      </c>
      <c r="B88" s="35" t="n">
        <v>8000</v>
      </c>
      <c r="C88" s="8" t="inlineStr">
        <is>
          <t>台</t>
        </is>
      </c>
      <c r="D88" s="8" t="inlineStr">
        <is>
          <t>HEX-1,2,3(4台)・F-3 リモコン線 工事区分表: 機械</t>
        </is>
      </c>
    </row>
    <row r="89">
      <c r="A89" s="8" t="inlineStr">
        <is>
          <t>機器搬入・養生</t>
        </is>
      </c>
      <c r="B89" s="35" t="n">
        <v>80000</v>
      </c>
      <c r="C89" s="8" t="inlineStr">
        <is>
          <t>式</t>
        </is>
      </c>
      <c r="D89" s="8" t="inlineStr">
        <is>
          <t>換気機器 約140台</t>
        </is>
      </c>
    </row>
    <row r="90">
      <c r="A90" s="8" t="inlineStr">
        <is>
          <t>スパイラルダクト 100φ (EA)</t>
        </is>
      </c>
      <c r="B90" s="35" t="n">
        <v>4500</v>
      </c>
      <c r="C90" s="8" t="inlineStr">
        <is>
          <t>m</t>
        </is>
      </c>
      <c r="D90" s="8" t="inlineStr">
        <is>
          <t>亜鉛鉄板 低速 継手・支持共</t>
        </is>
      </c>
    </row>
    <row r="91">
      <c r="A91" s="8" t="inlineStr">
        <is>
          <t>スパイラルダクト 150φ (EA)</t>
        </is>
      </c>
      <c r="B91" s="35" t="n">
        <v>5500</v>
      </c>
      <c r="C91" s="8" t="inlineStr">
        <is>
          <t>m</t>
        </is>
      </c>
      <c r="D91" s="8" t="inlineStr">
        <is>
          <t>亜鉛鉄板 低速 継手・支持共</t>
        </is>
      </c>
    </row>
    <row r="92">
      <c r="A92" s="8" t="inlineStr">
        <is>
          <t>スパイラルダクト 200φ (EA)</t>
        </is>
      </c>
      <c r="B92" s="35" t="n">
        <v>6500</v>
      </c>
      <c r="C92" s="8" t="inlineStr">
        <is>
          <t>m</t>
        </is>
      </c>
      <c r="D92" s="8" t="inlineStr">
        <is>
          <t>亜鉛鉄板 低速 継手・支持共</t>
        </is>
      </c>
    </row>
    <row r="93">
      <c r="A93" s="8" t="inlineStr">
        <is>
          <t>スパイラルダクト 250φ (EA 厨房)</t>
        </is>
      </c>
      <c r="B93" s="35" t="n">
        <v>7500</v>
      </c>
      <c r="C93" s="8" t="inlineStr">
        <is>
          <t>m</t>
        </is>
      </c>
      <c r="D93" s="8" t="inlineStr">
        <is>
          <t>亜鉛鉄板 継手・支持共</t>
        </is>
      </c>
    </row>
    <row r="94">
      <c r="A94" s="8" t="inlineStr">
        <is>
          <t>スパイラルダクト 300φ (EA 厨房)</t>
        </is>
      </c>
      <c r="B94" s="35" t="n">
        <v>8500</v>
      </c>
      <c r="C94" s="8" t="inlineStr">
        <is>
          <t>m</t>
        </is>
      </c>
      <c r="D94" s="8" t="inlineStr">
        <is>
          <t>亜鉛鉄板 継手・支持共</t>
        </is>
      </c>
    </row>
    <row r="95">
      <c r="A95" s="8" t="inlineStr">
        <is>
          <t>スパイラルダクト 100φ (OA)</t>
        </is>
      </c>
      <c r="B95" s="35" t="n">
        <v>4500</v>
      </c>
      <c r="C95" s="8" t="inlineStr">
        <is>
          <t>m</t>
        </is>
      </c>
      <c r="D95" s="8" t="inlineStr">
        <is>
          <t>亜鉛鉄板 継手・支持共</t>
        </is>
      </c>
    </row>
    <row r="96">
      <c r="A96" s="8" t="inlineStr">
        <is>
          <t>スパイラルダクト 150φ (OA)</t>
        </is>
      </c>
      <c r="B96" s="35" t="n">
        <v>5500</v>
      </c>
      <c r="C96" s="8" t="inlineStr">
        <is>
          <t>m</t>
        </is>
      </c>
      <c r="D96" s="8" t="inlineStr">
        <is>
          <t>亜鉛鉄板 継手・支持共</t>
        </is>
      </c>
    </row>
    <row r="97">
      <c r="A97" s="8" t="inlineStr">
        <is>
          <t>スパイラルダクト 200φ (OA)</t>
        </is>
      </c>
      <c r="B97" s="35" t="n">
        <v>6500</v>
      </c>
      <c r="C97" s="8" t="inlineStr">
        <is>
          <t>m</t>
        </is>
      </c>
      <c r="D97" s="8" t="inlineStr">
        <is>
          <t>亜鉛鉄板 継手・支持共</t>
        </is>
      </c>
    </row>
    <row r="98">
      <c r="A98" s="8" t="inlineStr">
        <is>
          <t>スパイラルダクト 250φ (OA 厨房 FS-2)</t>
        </is>
      </c>
      <c r="B98" s="35" t="n">
        <v>7500</v>
      </c>
      <c r="C98" s="8" t="inlineStr">
        <is>
          <t>m</t>
        </is>
      </c>
      <c r="D98" s="8" t="inlineStr">
        <is>
          <t>亜鉛鉄板 継手・支持共</t>
        </is>
      </c>
    </row>
    <row r="99">
      <c r="A99" s="8" t="inlineStr">
        <is>
          <t>スパイラルダクト 300φ (OA 厨房)</t>
        </is>
      </c>
      <c r="B99" s="35" t="n">
        <v>8500</v>
      </c>
      <c r="C99" s="8" t="inlineStr">
        <is>
          <t>m</t>
        </is>
      </c>
      <c r="D99" s="8" t="inlineStr">
        <is>
          <t>亜鉛鉄板 継手・支持共 F-3用自然給気</t>
        </is>
      </c>
    </row>
    <row r="100">
      <c r="A100" s="8" t="inlineStr">
        <is>
          <t>外壁貫通部ダクト (フード接続)</t>
        </is>
      </c>
      <c r="B100" s="35" t="n">
        <v>5500</v>
      </c>
      <c r="C100" s="8" t="inlineStr">
        <is>
          <t>m</t>
        </is>
      </c>
      <c r="D100" s="8" t="inlineStr">
        <is>
          <t>150φ相当 1.0m/箇所</t>
        </is>
      </c>
    </row>
    <row r="101">
      <c r="A101" s="8" t="inlineStr">
        <is>
          <t>VD 風量調整ダンパー</t>
        </is>
      </c>
      <c r="B101" s="35" t="n">
        <v>8000</v>
      </c>
      <c r="C101" s="8" t="inlineStr">
        <is>
          <t>個</t>
        </is>
      </c>
      <c r="D101" s="8" t="inlineStr">
        <is>
          <t>150～200φ</t>
        </is>
      </c>
    </row>
    <row r="102">
      <c r="A102" s="8" t="inlineStr">
        <is>
          <t>フレキシブルダクト・接続材</t>
        </is>
      </c>
      <c r="B102" s="35" t="n">
        <v>60000</v>
      </c>
      <c r="C102" s="8" t="inlineStr">
        <is>
          <t>式</t>
        </is>
      </c>
      <c r="D102" s="8" t="inlineStr">
        <is>
          <t>機器接続部</t>
        </is>
      </c>
    </row>
    <row r="103">
      <c r="A103" s="8" t="inlineStr">
        <is>
          <t>OAダクト 保温</t>
        </is>
      </c>
      <c r="B103" s="35" t="n">
        <v>3500</v>
      </c>
      <c r="C103" s="8" t="inlineStr">
        <is>
          <t>m</t>
        </is>
      </c>
      <c r="D103" s="8" t="inlineStr">
        <is>
          <t>GW保温筒25 ALGC 隠蔽(天井内) 特記仕様書 保温表</t>
        </is>
      </c>
    </row>
    <row r="104">
      <c r="A104" s="8" t="inlineStr">
        <is>
          <t>厨房排気ダクト 保温</t>
        </is>
      </c>
      <c r="B104" s="35" t="n">
        <v>7000</v>
      </c>
      <c r="C104" s="8" t="inlineStr">
        <is>
          <t>m</t>
        </is>
      </c>
      <c r="D104" s="8" t="inlineStr">
        <is>
          <t>RW保温筒50 ＋アルミガラスクロス＋亀甲金網巻</t>
        </is>
      </c>
    </row>
    <row r="105">
      <c r="A105" s="8" t="inlineStr">
        <is>
          <t>VHS 200×200 (開口率70%)</t>
        </is>
      </c>
      <c r="B105" s="35" t="n">
        <v>10000</v>
      </c>
      <c r="C105" s="8" t="inlineStr">
        <is>
          <t>個</t>
        </is>
      </c>
      <c r="D105" s="8" t="inlineStr">
        <is>
          <t>SUS/鋼製 指定色</t>
        </is>
      </c>
    </row>
    <row r="106">
      <c r="A106" s="8" t="inlineStr">
        <is>
          <t>VHS 250×250</t>
        </is>
      </c>
      <c r="B106" s="35" t="n">
        <v>12000</v>
      </c>
      <c r="C106" s="8" t="inlineStr">
        <is>
          <t>個</t>
        </is>
      </c>
      <c r="D106" s="8" t="inlineStr"/>
    </row>
    <row r="107">
      <c r="A107" s="8" t="inlineStr">
        <is>
          <t>VHS 300×300</t>
        </is>
      </c>
      <c r="B107" s="35" t="n">
        <v>14000</v>
      </c>
      <c r="C107" s="8" t="inlineStr">
        <is>
          <t>個</t>
        </is>
      </c>
      <c r="D107" s="8" t="inlineStr"/>
    </row>
    <row r="108">
      <c r="A108" s="8" t="inlineStr">
        <is>
          <t>VHS 350×350</t>
        </is>
      </c>
      <c r="B108" s="35" t="n">
        <v>16000</v>
      </c>
      <c r="C108" s="8" t="inlineStr">
        <is>
          <t>個</t>
        </is>
      </c>
      <c r="D108" s="8" t="inlineStr"/>
    </row>
    <row r="109">
      <c r="A109" s="8" t="inlineStr">
        <is>
          <t>VHS 400×400</t>
        </is>
      </c>
      <c r="B109" s="35" t="n">
        <v>18000</v>
      </c>
      <c r="C109" s="8" t="inlineStr">
        <is>
          <t>個</t>
        </is>
      </c>
      <c r="D109" s="8" t="inlineStr"/>
    </row>
    <row r="110">
      <c r="A110" s="8" t="inlineStr">
        <is>
          <t>VHS 450×450</t>
        </is>
      </c>
      <c r="B110" s="35" t="n">
        <v>20000</v>
      </c>
      <c r="C110" s="8" t="inlineStr">
        <is>
          <t>個</t>
        </is>
      </c>
      <c r="D110" s="8" t="inlineStr"/>
    </row>
    <row r="111">
      <c r="A111" s="8" t="inlineStr">
        <is>
          <t>HS/VHS 550×550</t>
        </is>
      </c>
      <c r="B111" s="35" t="n">
        <v>25000</v>
      </c>
      <c r="C111" s="8" t="inlineStr">
        <is>
          <t>個</t>
        </is>
      </c>
      <c r="D111" s="8" t="inlineStr"/>
    </row>
    <row r="112">
      <c r="A112" s="8" t="inlineStr">
        <is>
          <t>VHS 650×650</t>
        </is>
      </c>
      <c r="B112" s="35" t="n">
        <v>30000</v>
      </c>
      <c r="C112" s="8" t="inlineStr">
        <is>
          <t>個</t>
        </is>
      </c>
      <c r="D112" s="8" t="inlineStr"/>
    </row>
    <row r="113">
      <c r="A113" s="8" t="inlineStr">
        <is>
          <t>HS 150×150</t>
        </is>
      </c>
      <c r="B113" s="35" t="n">
        <v>7000</v>
      </c>
      <c r="C113" s="8" t="inlineStr">
        <is>
          <t>個</t>
        </is>
      </c>
      <c r="D113" s="8" t="inlineStr"/>
    </row>
    <row r="114">
      <c r="A114" s="8" t="inlineStr">
        <is>
          <t>HS 200×200</t>
        </is>
      </c>
      <c r="B114" s="35" t="n">
        <v>8000</v>
      </c>
      <c r="C114" s="8" t="inlineStr">
        <is>
          <t>個</t>
        </is>
      </c>
      <c r="D114" s="8" t="inlineStr"/>
    </row>
    <row r="115">
      <c r="A115" s="8" t="inlineStr">
        <is>
          <t>BOX(内貼) 300×300×300H</t>
        </is>
      </c>
      <c r="B115" s="35" t="n">
        <v>14000</v>
      </c>
      <c r="C115" s="8" t="inlineStr">
        <is>
          <t>個</t>
        </is>
      </c>
      <c r="D115" s="8" t="inlineStr">
        <is>
          <t>GW25 内貼</t>
        </is>
      </c>
    </row>
    <row r="116">
      <c r="A116" s="8" t="inlineStr">
        <is>
          <t>BOX(内貼) 350×350×300H</t>
        </is>
      </c>
      <c r="B116" s="35" t="n">
        <v>15000</v>
      </c>
      <c r="C116" s="8" t="inlineStr">
        <is>
          <t>個</t>
        </is>
      </c>
      <c r="D116" s="8" t="inlineStr"/>
    </row>
    <row r="117">
      <c r="A117" s="8" t="inlineStr">
        <is>
          <t>BOX(内貼) 400×400×300H</t>
        </is>
      </c>
      <c r="B117" s="35" t="n">
        <v>17000</v>
      </c>
      <c r="C117" s="8" t="inlineStr">
        <is>
          <t>個</t>
        </is>
      </c>
      <c r="D117" s="8" t="inlineStr"/>
    </row>
    <row r="118">
      <c r="A118" s="8" t="inlineStr">
        <is>
          <t>BOX(内貼) 450×450×350H</t>
        </is>
      </c>
      <c r="B118" s="35" t="n">
        <v>18000</v>
      </c>
      <c r="C118" s="8" t="inlineStr">
        <is>
          <t>個</t>
        </is>
      </c>
      <c r="D118" s="8" t="inlineStr"/>
    </row>
    <row r="119">
      <c r="A119" s="8" t="inlineStr">
        <is>
          <t>BOX(内貼) 500×500×350H</t>
        </is>
      </c>
      <c r="B119" s="35" t="n">
        <v>20000</v>
      </c>
      <c r="C119" s="8" t="inlineStr">
        <is>
          <t>個</t>
        </is>
      </c>
      <c r="D119" s="8" t="inlineStr"/>
    </row>
    <row r="120">
      <c r="A120" s="8" t="inlineStr">
        <is>
          <t>BOX(内貼) 550×550×400H</t>
        </is>
      </c>
      <c r="B120" s="35" t="n">
        <v>22000</v>
      </c>
      <c r="C120" s="8" t="inlineStr">
        <is>
          <t>個</t>
        </is>
      </c>
      <c r="D120" s="8" t="inlineStr"/>
    </row>
    <row r="121">
      <c r="A121" s="8" t="inlineStr">
        <is>
          <t>BOX(内貼) 600×600×400H</t>
        </is>
      </c>
      <c r="B121" s="35" t="n">
        <v>25000</v>
      </c>
      <c r="C121" s="8" t="inlineStr">
        <is>
          <t>個</t>
        </is>
      </c>
      <c r="D121" s="8" t="inlineStr"/>
    </row>
    <row r="122">
      <c r="A122" s="8" t="inlineStr">
        <is>
          <t>BOX(内貼) 700×700×450H</t>
        </is>
      </c>
      <c r="B122" s="35" t="n">
        <v>28000</v>
      </c>
      <c r="C122" s="8" t="inlineStr">
        <is>
          <t>個</t>
        </is>
      </c>
      <c r="D122" s="8" t="inlineStr"/>
    </row>
    <row r="123">
      <c r="A123" s="8" t="inlineStr">
        <is>
          <t>BOX(内貼) 800×800×500H</t>
        </is>
      </c>
      <c r="B123" s="35" t="n">
        <v>35000</v>
      </c>
      <c r="C123" s="8" t="inlineStr">
        <is>
          <t>個</t>
        </is>
      </c>
      <c r="D123" s="8" t="inlineStr"/>
    </row>
    <row r="124">
      <c r="A124" s="8" t="inlineStr">
        <is>
          <t>SUS製フード 取付 (支給品)</t>
        </is>
      </c>
      <c r="B124" s="35" t="n">
        <v>4000</v>
      </c>
      <c r="C124" s="8" t="inlineStr">
        <is>
          <t>箇所</t>
        </is>
      </c>
      <c r="D124" s="8" t="inlineStr">
        <is>
          <t>指定色塗装 外壁貫通部</t>
        </is>
      </c>
    </row>
    <row r="125">
      <c r="A125" s="8" t="inlineStr">
        <is>
          <t>ウェザーカバー 取付 (支給品)</t>
        </is>
      </c>
      <c r="B125" s="35" t="n">
        <v>5000</v>
      </c>
      <c r="C125" s="8" t="inlineStr">
        <is>
          <t>箇所</t>
        </is>
      </c>
      <c r="D125" s="8" t="inlineStr">
        <is>
          <t>有圧扇用</t>
        </is>
      </c>
    </row>
    <row r="126">
      <c r="A126" s="8" t="inlineStr">
        <is>
          <t>厨房フード① 製作取付</t>
        </is>
      </c>
      <c r="B126" s="35" t="n">
        <v>180000</v>
      </c>
      <c r="C126" s="8" t="inlineStr">
        <is>
          <t>台</t>
        </is>
      </c>
      <c r="D126" s="8" t="inlineStr">
        <is>
          <t>SUS製 900×850×800H 二重フード</t>
        </is>
      </c>
    </row>
    <row r="127">
      <c r="A127" s="8" t="inlineStr">
        <is>
          <t>厨房フード② 製作取付</t>
        </is>
      </c>
      <c r="B127" s="35" t="n">
        <v>260000</v>
      </c>
      <c r="C127" s="8" t="inlineStr">
        <is>
          <t>台</t>
        </is>
      </c>
      <c r="D127" s="8" t="inlineStr">
        <is>
          <t>SUS製 1400×900×800H GF・二重フード</t>
        </is>
      </c>
    </row>
    <row r="128">
      <c r="A128" s="8" t="inlineStr">
        <is>
          <t>厨房フード③ 製作取付</t>
        </is>
      </c>
      <c r="B128" s="35" t="n">
        <v>260000</v>
      </c>
      <c r="C128" s="8" t="inlineStr">
        <is>
          <t>台</t>
        </is>
      </c>
      <c r="D128" s="8" t="inlineStr">
        <is>
          <t>SUS製 1170×1170×800H GF</t>
        </is>
      </c>
    </row>
    <row r="129">
      <c r="A129" s="8" t="inlineStr">
        <is>
          <t>厨房フード④ 製作取付</t>
        </is>
      </c>
      <c r="B129" s="35" t="n">
        <v>450000</v>
      </c>
      <c r="C129" s="8" t="inlineStr">
        <is>
          <t>台</t>
        </is>
      </c>
      <c r="D129" s="8" t="inlineStr">
        <is>
          <t>SUS製 3350×750×800H GF</t>
        </is>
      </c>
    </row>
    <row r="130">
      <c r="A130" s="8" t="inlineStr">
        <is>
          <t>衣類乾燥機排気用スリーブ</t>
        </is>
      </c>
      <c r="B130" s="35" t="n">
        <v>15000</v>
      </c>
      <c r="C130" s="8" t="inlineStr">
        <is>
          <t>箇所</t>
        </is>
      </c>
      <c r="D130" s="8" t="inlineStr">
        <is>
          <t>スリーブキャップ共</t>
        </is>
      </c>
    </row>
    <row r="131">
      <c r="A131" s="8" t="inlineStr">
        <is>
          <t>試運転調整・風量測定</t>
        </is>
      </c>
      <c r="B131" s="35" t="n">
        <v>120000</v>
      </c>
      <c r="C131" s="8" t="inlineStr">
        <is>
          <t>式</t>
        </is>
      </c>
      <c r="D131" s="8" t="inlineStr">
        <is>
          <t>一式</t>
        </is>
      </c>
    </row>
    <row r="132">
      <c r="A132" s="8" t="inlineStr">
        <is>
          <t>HEX-1 全熱交換器 据付 (中止)</t>
        </is>
      </c>
      <c r="B132" s="35" t="n">
        <v>45000</v>
      </c>
      <c r="C132" s="8" t="inlineStr">
        <is>
          <t>台</t>
        </is>
      </c>
      <c r="D132" s="8" t="inlineStr">
        <is>
          <t>LGH-N80RXV2 食堂</t>
        </is>
      </c>
    </row>
    <row r="133">
      <c r="A133" s="8" t="inlineStr">
        <is>
          <t>HEX-2 全熱交換器 据付 (中止)</t>
        </is>
      </c>
      <c r="B133" s="35" t="n">
        <v>45000</v>
      </c>
      <c r="C133" s="8" t="inlineStr">
        <is>
          <t>台</t>
        </is>
      </c>
      <c r="D133" s="8" t="inlineStr">
        <is>
          <t>LGH-N65RXW2 ミーティングルーム</t>
        </is>
      </c>
    </row>
    <row r="134">
      <c r="A134" s="8" t="inlineStr">
        <is>
          <t>HEX-3 全熱交換器 据付 (中止)</t>
        </is>
      </c>
      <c r="B134" s="35" t="n">
        <v>40000</v>
      </c>
      <c r="C134" s="8" t="inlineStr">
        <is>
          <t>台</t>
        </is>
      </c>
      <c r="D134" s="8" t="inlineStr">
        <is>
          <t>SKU-50AC コーチルーム・トレーニングルーム</t>
        </is>
      </c>
    </row>
    <row r="135">
      <c r="A135" s="8" t="inlineStr">
        <is>
          <t>HEX-4 壁掛ロスナイ 据付 (中止)</t>
        </is>
      </c>
      <c r="B135" s="35" t="n">
        <v>12000</v>
      </c>
      <c r="C135" s="8" t="inlineStr">
        <is>
          <t>台</t>
        </is>
      </c>
      <c r="D135" s="8" t="inlineStr">
        <is>
          <t>VL-10ES3</t>
        </is>
      </c>
    </row>
    <row r="136">
      <c r="A136" s="8" t="inlineStr">
        <is>
          <t>HEX-5 壁掛ロスナイ 据付 (中止)</t>
        </is>
      </c>
      <c r="B136" s="35" t="n">
        <v>12000</v>
      </c>
      <c r="C136" s="8" t="inlineStr">
        <is>
          <t>台</t>
        </is>
      </c>
      <c r="D136" s="8" t="inlineStr">
        <is>
          <t>VL-12ESH3</t>
        </is>
      </c>
    </row>
    <row r="137">
      <c r="A137" s="8" t="inlineStr">
        <is>
          <t>全熱交換器 リモコン配線 (中止)</t>
        </is>
      </c>
      <c r="B137" s="35" t="n">
        <v>8000</v>
      </c>
      <c r="C137" s="8" t="inlineStr">
        <is>
          <t>台</t>
        </is>
      </c>
      <c r="D137" s="8" t="inlineStr">
        <is>
          <t>HEX-1,2,3 計6台分</t>
        </is>
      </c>
    </row>
    <row r="138">
      <c r="A138" s="8" t="inlineStr">
        <is>
          <t>HEX-1 → 中間ファン 据付</t>
        </is>
      </c>
      <c r="B138" s="35" t="n">
        <v>40000</v>
      </c>
      <c r="C138" s="8" t="inlineStr">
        <is>
          <t>台</t>
        </is>
      </c>
      <c r="D138" s="8" t="inlineStr">
        <is>
          <t>BFS-80SUDC 天井埋込形 250φ 食堂 防振吊金具・リモコン共</t>
        </is>
      </c>
    </row>
    <row r="139">
      <c r="A139" s="8" t="inlineStr">
        <is>
          <t>HEX-2 → 中間ファン 据付</t>
        </is>
      </c>
      <c r="B139" s="35" t="n">
        <v>38000</v>
      </c>
      <c r="C139" s="8" t="inlineStr">
        <is>
          <t>台</t>
        </is>
      </c>
      <c r="D139" s="8" t="inlineStr">
        <is>
          <t>BFS-65SUDC 200φ ミーティングルーム</t>
        </is>
      </c>
    </row>
    <row r="140">
      <c r="A140" s="8" t="inlineStr">
        <is>
          <t>HEX-3 → 中間ファン 据付</t>
        </is>
      </c>
      <c r="B140" s="35" t="n">
        <v>35000</v>
      </c>
      <c r="C140" s="8" t="inlineStr">
        <is>
          <t>台</t>
        </is>
      </c>
      <c r="D140" s="8" t="inlineStr">
        <is>
          <t>BFS-40SUDC 天井カセット形 200φ コーチルーム・トレーニングルーム</t>
        </is>
      </c>
    </row>
    <row r="141">
      <c r="A141" s="8" t="inlineStr">
        <is>
          <t>中間ファン リモコン配線</t>
        </is>
      </c>
      <c r="B141" s="35" t="n">
        <v>8000</v>
      </c>
      <c r="C141" s="8" t="inlineStr">
        <is>
          <t>台</t>
        </is>
      </c>
      <c r="D141" s="8" t="inlineStr">
        <is>
          <t>BFS-SUDC用 6台</t>
        </is>
      </c>
    </row>
    <row r="142">
      <c r="A142" s="8" t="inlineStr">
        <is>
          <t>HEX-4/5 → パイプファン 据付</t>
        </is>
      </c>
      <c r="B142" s="35" t="n">
        <v>8000</v>
      </c>
      <c r="C142" s="8" t="inlineStr">
        <is>
          <t>台</t>
        </is>
      </c>
      <c r="D142" s="8" t="inlineStr">
        <is>
          <t>V-08PPXD8 壁掛1パイプ 100φ 来客室・寮室・寮務スタッフ室</t>
        </is>
      </c>
    </row>
    <row r="143">
      <c r="A143" s="8" t="inlineStr">
        <is>
          <t>吸気口 内部 KS-8841PR3-SG 取付</t>
        </is>
      </c>
      <c r="B143" s="35" t="n">
        <v>6000</v>
      </c>
      <c r="C143" s="8" t="inlineStr">
        <is>
          <t>個</t>
        </is>
      </c>
      <c r="D143" s="8" t="inlineStr">
        <is>
          <t>材工 (支給外と想定・要確認)</t>
        </is>
      </c>
    </row>
    <row r="144">
      <c r="A144" s="8" t="inlineStr">
        <is>
          <t>吸気口用 SUS製フード 取付 (支給品)</t>
        </is>
      </c>
      <c r="B144" s="35" t="n">
        <v>4000</v>
      </c>
      <c r="C144" s="8" t="inlineStr">
        <is>
          <t>箇所</t>
        </is>
      </c>
      <c r="D144" s="8" t="inlineStr">
        <is>
          <t>指定色塗装</t>
        </is>
      </c>
    </row>
    <row r="145">
      <c r="A145" s="8" t="inlineStr">
        <is>
          <t>追AC1 室内機 据付</t>
        </is>
      </c>
      <c r="B145" s="35" t="n">
        <v>45000</v>
      </c>
      <c r="C145" s="8" t="inlineStr">
        <is>
          <t>台</t>
        </is>
      </c>
      <c r="D145" s="8" t="inlineStr">
        <is>
          <t>空冷HP 4方向天井カセット PA-P140U7GTNB(5HP 同時トリプル) 子機 1Fホール・廊下(洗濯室前)・階段ホール</t>
        </is>
      </c>
    </row>
    <row r="146">
      <c r="A146" s="8" t="inlineStr">
        <is>
          <t>追AC1 室外機 据付</t>
        </is>
      </c>
      <c r="B146" s="35" t="n">
        <v>35000</v>
      </c>
      <c r="C146" s="8" t="inlineStr">
        <is>
          <t>台</t>
        </is>
      </c>
      <c r="D146" s="8" t="inlineStr">
        <is>
          <t>5HP 1F物干場側(AC-3室外機隣)</t>
        </is>
      </c>
    </row>
    <row r="147">
      <c r="A147" s="8" t="inlineStr">
        <is>
          <t>追AC2 室内機 据付</t>
        </is>
      </c>
      <c r="B147" s="35" t="n">
        <v>50000</v>
      </c>
      <c r="C147" s="8" t="inlineStr">
        <is>
          <t>台</t>
        </is>
      </c>
      <c r="D147" s="8" t="inlineStr">
        <is>
          <t>空冷HP 2方向天井カセット PA-P224L7HTNB(8HP 同時トリプル) 子機 1F南廊下 3箇所</t>
        </is>
      </c>
    </row>
    <row r="148">
      <c r="A148" s="8" t="inlineStr">
        <is>
          <t>追AC2 室外機 据付</t>
        </is>
      </c>
      <c r="B148" s="35" t="n">
        <v>50000</v>
      </c>
      <c r="C148" s="8" t="inlineStr">
        <is>
          <t>台</t>
        </is>
      </c>
      <c r="D148" s="8" t="inlineStr">
        <is>
          <t>8HP 1F南側(AC-1/AC-5室外機隣)</t>
        </is>
      </c>
    </row>
    <row r="149">
      <c r="A149" s="8" t="inlineStr">
        <is>
          <t>追AC3 室内機 据付</t>
        </is>
      </c>
      <c r="B149" s="35" t="n">
        <v>50000</v>
      </c>
      <c r="C149" s="8" t="inlineStr">
        <is>
          <t>台</t>
        </is>
      </c>
      <c r="D149" s="8" t="inlineStr">
        <is>
          <t>PA-P224L7HTNB 子機 2F北廊下 3箇所</t>
        </is>
      </c>
    </row>
    <row r="150">
      <c r="A150" s="8" t="inlineStr">
        <is>
          <t>追AC3 室外機 据付</t>
        </is>
      </c>
      <c r="B150" s="35" t="n">
        <v>50000</v>
      </c>
      <c r="C150" s="8" t="inlineStr">
        <is>
          <t>台</t>
        </is>
      </c>
      <c r="D150" s="8" t="inlineStr">
        <is>
          <t>8HP 1F東側地上(屋外階段A付近)</t>
        </is>
      </c>
    </row>
    <row r="151">
      <c r="A151" s="8" t="inlineStr">
        <is>
          <t>追AC4 室内機 据付</t>
        </is>
      </c>
      <c r="B151" s="35" t="n">
        <v>50000</v>
      </c>
      <c r="C151" s="8" t="inlineStr">
        <is>
          <t>台</t>
        </is>
      </c>
      <c r="D151" s="8" t="inlineStr">
        <is>
          <t>PA-P224L7HTNB 子機 2F階段ホール2・南廊下1</t>
        </is>
      </c>
    </row>
    <row r="152">
      <c r="A152" s="8" t="inlineStr">
        <is>
          <t>追AC4 室外機 据付</t>
        </is>
      </c>
      <c r="B152" s="35" t="n">
        <v>50000</v>
      </c>
      <c r="C152" s="8" t="inlineStr">
        <is>
          <t>台</t>
        </is>
      </c>
      <c r="D152" s="8" t="inlineStr">
        <is>
          <t>8HP 1F東側地上(倉庫2東)</t>
        </is>
      </c>
    </row>
    <row r="153">
      <c r="A153" s="8" t="inlineStr">
        <is>
          <t>追AC5 室内機 据付</t>
        </is>
      </c>
      <c r="B153" s="35" t="n">
        <v>50000</v>
      </c>
      <c r="C153" s="8" t="inlineStr">
        <is>
          <t>台</t>
        </is>
      </c>
      <c r="D153" s="8" t="inlineStr">
        <is>
          <t>PA-P224L7HTNB 子機 2F南廊下 3箇所</t>
        </is>
      </c>
    </row>
    <row r="154">
      <c r="A154" s="8" t="inlineStr">
        <is>
          <t>追AC5 室外機 据付</t>
        </is>
      </c>
      <c r="B154" s="35" t="n">
        <v>50000</v>
      </c>
      <c r="C154" s="8" t="inlineStr">
        <is>
          <t>台</t>
        </is>
      </c>
      <c r="D154" s="8" t="inlineStr">
        <is>
          <t>8HP 1F東側地上(倉庫2東)</t>
        </is>
      </c>
    </row>
    <row r="155">
      <c r="A155" s="8" t="inlineStr">
        <is>
          <t>分岐管(トリプル用) 取付</t>
        </is>
      </c>
      <c r="B155" s="35" t="n">
        <v>6000</v>
      </c>
      <c r="C155" s="8" t="inlineStr">
        <is>
          <t>組</t>
        </is>
      </c>
      <c r="D155" s="8" t="inlineStr">
        <is>
          <t>各系統2組 ※機器付属として元請支給想定・未支給なら別途</t>
        </is>
      </c>
    </row>
    <row r="156">
      <c r="A156" s="8" t="inlineStr">
        <is>
          <t>集中リモコン CR-1 制御配線 追加</t>
        </is>
      </c>
      <c r="B156" s="35" t="n">
        <v>25000</v>
      </c>
      <c r="C156" s="8" t="inlineStr">
        <is>
          <t>式</t>
        </is>
      </c>
      <c r="D156" s="8" t="inlineStr">
        <is>
          <t>S-LINK 5系統分</t>
        </is>
      </c>
    </row>
    <row r="157">
      <c r="A157" s="8" t="inlineStr">
        <is>
          <t>試運転調整</t>
        </is>
      </c>
      <c r="B157" s="35" t="n">
        <v>8000</v>
      </c>
      <c r="C157" s="8" t="inlineStr">
        <is>
          <t>系統</t>
        </is>
      </c>
      <c r="D157" s="8" t="inlineStr"/>
    </row>
    <row r="158">
      <c r="A158" s="8" t="inlineStr">
        <is>
          <t>機器搬入・揚重・養生 追加</t>
        </is>
      </c>
      <c r="B158" s="35" t="n">
        <v>60000</v>
      </c>
      <c r="C158" s="8" t="inlineStr">
        <is>
          <t>式</t>
        </is>
      </c>
      <c r="D15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2026-10-05T22:55:03Z</dcterms:created>
  <dcterms:modified xsi:type="dcterms:W3CDTF">2026-10-05T22:55:03Z</dcterms:modified>
</cp:coreProperties>
</file>