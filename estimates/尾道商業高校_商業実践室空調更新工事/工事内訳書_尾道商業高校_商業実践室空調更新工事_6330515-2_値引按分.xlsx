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854774\Downloads\"/>
    </mc:Choice>
  </mc:AlternateContent>
  <xr:revisionPtr revIDLastSave="0" documentId="8_{EB9F99CB-DE01-4220-B2B6-10B7EF6E53ED}" xr6:coauthVersionLast="47" xr6:coauthVersionMax="47" xr10:uidLastSave="{00000000-0000-0000-0000-000000000000}"/>
  <bookViews>
    <workbookView xWindow="19090" yWindow="-110" windowWidth="19420" windowHeight="11500" xr2:uid="{00000000-000D-0000-FFFF-FFFF00000000}"/>
  </bookViews>
  <sheets>
    <sheet name="仕様書" sheetId="29" r:id="rId1"/>
  </sheets>
  <definedNames>
    <definedName name="_xlnm.Print_Area" localSheetId="0">仕様書!$A$2:$K$40</definedName>
    <definedName name="Q3MF11_KJSG3M11">#REF!</definedName>
  </definedName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<sst xmlns="http://schemas.openxmlformats.org/spreadsheetml/2006/main" count="73" uniqueCount="52">
  <si>
    <t>費　目</t>
    <rPh sb="0" eb="1">
      <t>ヒ</t>
    </rPh>
    <rPh sb="2" eb="3">
      <t>メ</t>
    </rPh>
    <phoneticPr fontId="1"/>
  </si>
  <si>
    <t>規　　格</t>
    <rPh sb="0" eb="1">
      <t>タダシ</t>
    </rPh>
    <rPh sb="3" eb="4">
      <t>カク</t>
    </rPh>
    <phoneticPr fontId="1"/>
  </si>
  <si>
    <t>数量</t>
  </si>
  <si>
    <t>単位</t>
  </si>
  <si>
    <t>単価</t>
    <rPh sb="0" eb="2">
      <t>タンカ</t>
    </rPh>
    <phoneticPr fontId="1"/>
  </si>
  <si>
    <t>金額</t>
    <rPh sb="0" eb="2">
      <t>キンガク</t>
    </rPh>
    <phoneticPr fontId="1"/>
  </si>
  <si>
    <t>備考</t>
    <rPh sb="0" eb="2">
      <t>ビコウ</t>
    </rPh>
    <phoneticPr fontId="1"/>
  </si>
  <si>
    <t>式</t>
    <rPh sb="0" eb="1">
      <t>シキ</t>
    </rPh>
    <phoneticPr fontId="1"/>
  </si>
  <si>
    <t>計①</t>
    <rPh sb="0" eb="1">
      <t>ケイ</t>
    </rPh>
    <phoneticPr fontId="1"/>
  </si>
  <si>
    <t>総　　　合　　　計</t>
    <rPh sb="0" eb="1">
      <t>ソウ</t>
    </rPh>
    <rPh sb="4" eb="5">
      <t>ゴウ</t>
    </rPh>
    <rPh sb="8" eb="9">
      <t>ケイ</t>
    </rPh>
    <phoneticPr fontId="1"/>
  </si>
  <si>
    <t>消　　　費　　税　</t>
    <rPh sb="0" eb="1">
      <t>ショウ</t>
    </rPh>
    <rPh sb="4" eb="5">
      <t>ヒ</t>
    </rPh>
    <rPh sb="7" eb="8">
      <t>ゼイ</t>
    </rPh>
    <phoneticPr fontId="1"/>
  </si>
  <si>
    <t>合　　　　　　　　　計</t>
    <rPh sb="0" eb="1">
      <t>ゴウ</t>
    </rPh>
    <rPh sb="10" eb="11">
      <t>ケイ</t>
    </rPh>
    <phoneticPr fontId="1"/>
  </si>
  <si>
    <t>仕　様　書　(工事内訳書）</t>
    <rPh sb="0" eb="1">
      <t>シ</t>
    </rPh>
    <rPh sb="2" eb="3">
      <t>サマ</t>
    </rPh>
    <rPh sb="4" eb="5">
      <t>ショ</t>
    </rPh>
    <rPh sb="7" eb="9">
      <t>コウジ</t>
    </rPh>
    <rPh sb="9" eb="12">
      <t>ウチワケショ</t>
    </rPh>
    <phoneticPr fontId="1"/>
  </si>
  <si>
    <t>①</t>
    <phoneticPr fontId="1"/>
  </si>
  <si>
    <t>　計②</t>
    <rPh sb="1" eb="2">
      <t>ケイ</t>
    </rPh>
    <phoneticPr fontId="1"/>
  </si>
  <si>
    <t>②　</t>
    <phoneticPr fontId="1"/>
  </si>
  <si>
    <t>広島県立尾道商業高等学校商業実践室空調更新工事</t>
    <rPh sb="12" eb="14">
      <t>ショウギョウ</t>
    </rPh>
    <rPh sb="14" eb="16">
      <t>ジッセン</t>
    </rPh>
    <rPh sb="16" eb="17">
      <t>シツ</t>
    </rPh>
    <rPh sb="17" eb="19">
      <t>クウチョウ</t>
    </rPh>
    <rPh sb="19" eb="21">
      <t>コウシン</t>
    </rPh>
    <rPh sb="21" eb="23">
      <t>コウジ</t>
    </rPh>
    <phoneticPr fontId="1"/>
  </si>
  <si>
    <t>冷媒配管工事費</t>
    <rPh sb="0" eb="2">
      <t>レイバイ</t>
    </rPh>
    <rPh sb="2" eb="7">
      <t>ハイカンコウジヒ</t>
    </rPh>
    <phoneticPr fontId="1"/>
  </si>
  <si>
    <t>ACP－１　空調機　</t>
    <rPh sb="6" eb="9">
      <t>クウチョウキ</t>
    </rPh>
    <phoneticPr fontId="1"/>
  </si>
  <si>
    <t>SSRH280DD　天井吊型　ツイン（ダイキン）</t>
    <rPh sb="10" eb="14">
      <t>テンジョウツリガタ</t>
    </rPh>
    <phoneticPr fontId="1"/>
  </si>
  <si>
    <t>運転リモコン　液晶ワイヤード</t>
    <rPh sb="0" eb="2">
      <t>ウンテン</t>
    </rPh>
    <rPh sb="7" eb="9">
      <t>エキショウ</t>
    </rPh>
    <phoneticPr fontId="1"/>
  </si>
  <si>
    <t>BRC1G４（ダイキン）</t>
    <phoneticPr fontId="1"/>
  </si>
  <si>
    <t>センシングユニット（センサーキット）</t>
    <phoneticPr fontId="1"/>
  </si>
  <si>
    <t>BRE50B2F（ダイキン）</t>
    <phoneticPr fontId="1"/>
  </si>
  <si>
    <t>式</t>
    <rPh sb="0" eb="1">
      <t>シキ</t>
    </rPh>
    <phoneticPr fontId="1"/>
  </si>
  <si>
    <t>空調設備機器</t>
    <phoneticPr fontId="1"/>
  </si>
  <si>
    <t>空調設備工事</t>
    <rPh sb="0" eb="2">
      <t>クウチョウ</t>
    </rPh>
    <rPh sb="2" eb="4">
      <t>セツビ</t>
    </rPh>
    <rPh sb="4" eb="6">
      <t>コウジ</t>
    </rPh>
    <phoneticPr fontId="1"/>
  </si>
  <si>
    <t>基礎工事費</t>
    <rPh sb="0" eb="5">
      <t>キソコウジヒ</t>
    </rPh>
    <phoneticPr fontId="1"/>
  </si>
  <si>
    <t>リモコン配線工事費</t>
    <rPh sb="4" eb="6">
      <t>ハイセン</t>
    </rPh>
    <rPh sb="6" eb="9">
      <t>コウジヒ</t>
    </rPh>
    <phoneticPr fontId="1"/>
  </si>
  <si>
    <t>重機費（高所作業車）</t>
    <rPh sb="0" eb="2">
      <t>ジュウキ</t>
    </rPh>
    <rPh sb="2" eb="3">
      <t>ヒ</t>
    </rPh>
    <rPh sb="4" eb="6">
      <t>コウショ</t>
    </rPh>
    <rPh sb="6" eb="9">
      <t>サギョウシャ</t>
    </rPh>
    <phoneticPr fontId="1"/>
  </si>
  <si>
    <t>既設機器撤去工事費</t>
    <rPh sb="0" eb="4">
      <t>キセツキキ</t>
    </rPh>
    <rPh sb="4" eb="6">
      <t>テッキョ</t>
    </rPh>
    <rPh sb="6" eb="9">
      <t>コウジヒ</t>
    </rPh>
    <phoneticPr fontId="1"/>
  </si>
  <si>
    <t>配管保温工事費（カラー鉄板ラッキング）</t>
    <rPh sb="0" eb="4">
      <t>ハイカンホオン</t>
    </rPh>
    <rPh sb="4" eb="7">
      <t>コウジヒ</t>
    </rPh>
    <rPh sb="11" eb="13">
      <t>テッパン</t>
    </rPh>
    <phoneticPr fontId="1"/>
  </si>
  <si>
    <t>電気工事費</t>
    <rPh sb="0" eb="5">
      <t>デンキコウジヒ</t>
    </rPh>
    <phoneticPr fontId="1"/>
  </si>
  <si>
    <t>試運転調整費</t>
    <rPh sb="0" eb="3">
      <t>シウンテン</t>
    </rPh>
    <rPh sb="3" eb="6">
      <t>チョウセイヒ</t>
    </rPh>
    <phoneticPr fontId="1"/>
  </si>
  <si>
    <t>冷媒回収、破壊処理費</t>
    <rPh sb="0" eb="4">
      <t>レイバイカイシュウ</t>
    </rPh>
    <rPh sb="5" eb="10">
      <t>ハカイショリヒ</t>
    </rPh>
    <phoneticPr fontId="1"/>
  </si>
  <si>
    <t>雑材消耗品</t>
    <rPh sb="0" eb="1">
      <t>ザツ</t>
    </rPh>
    <rPh sb="1" eb="2">
      <t>ザイ</t>
    </rPh>
    <rPh sb="2" eb="5">
      <t>ショウモウヒン</t>
    </rPh>
    <phoneticPr fontId="1"/>
  </si>
  <si>
    <t>資材運搬交通費</t>
    <rPh sb="0" eb="4">
      <t>シザイウンパン</t>
    </rPh>
    <rPh sb="4" eb="7">
      <t>コウツウヒ</t>
    </rPh>
    <phoneticPr fontId="1"/>
  </si>
  <si>
    <t>現場雑費</t>
    <rPh sb="0" eb="2">
      <t>ゲンバ</t>
    </rPh>
    <rPh sb="2" eb="3">
      <t>ザツ</t>
    </rPh>
    <rPh sb="3" eb="4">
      <t>ヒ</t>
    </rPh>
    <phoneticPr fontId="1"/>
  </si>
  <si>
    <t>アスベスト含有調査</t>
    <rPh sb="5" eb="9">
      <t>ガンユウチョウサ</t>
    </rPh>
    <phoneticPr fontId="1"/>
  </si>
  <si>
    <t>③</t>
    <phoneticPr fontId="1"/>
  </si>
  <si>
    <t>検体調査</t>
    <rPh sb="0" eb="4">
      <t>ケンタイチョウサ</t>
    </rPh>
    <phoneticPr fontId="1"/>
  </si>
  <si>
    <t>現場収集</t>
    <rPh sb="0" eb="2">
      <t>ゲンバ</t>
    </rPh>
    <rPh sb="2" eb="4">
      <t>シュウシュウ</t>
    </rPh>
    <phoneticPr fontId="1"/>
  </si>
  <si>
    <t>雑材消耗品</t>
    <phoneticPr fontId="1"/>
  </si>
  <si>
    <t>　計③</t>
    <rPh sb="1" eb="2">
      <t>ケイ</t>
    </rPh>
    <phoneticPr fontId="1"/>
  </si>
  <si>
    <t>内機２台、外機１台</t>
    <rPh sb="0" eb="2">
      <t>ナイキ</t>
    </rPh>
    <rPh sb="3" eb="4">
      <t>ダイ</t>
    </rPh>
    <rPh sb="5" eb="7">
      <t>ガイキ</t>
    </rPh>
    <rPh sb="8" eb="9">
      <t>ダイ</t>
    </rPh>
    <phoneticPr fontId="1"/>
  </si>
  <si>
    <t>搬入据付工事費</t>
    <rPh sb="0" eb="2">
      <t>ハンニュウ</t>
    </rPh>
    <rPh sb="2" eb="4">
      <t>スエツケ</t>
    </rPh>
    <rPh sb="4" eb="7">
      <t>コウジヒ</t>
    </rPh>
    <phoneticPr fontId="1"/>
  </si>
  <si>
    <t>見積番号 6330515-2　宮地機工株式会社</t>
  </si>
  <si>
    <t>冷媒管・ドレン管・内外連絡線</t>
  </si>
  <si>
    <t>揚重（レッカー等）</t>
  </si>
  <si>
    <t>保温・ラッキング切廻し</t>
  </si>
  <si>
    <t>電源線脱着</t>
  </si>
  <si>
    <t>現場経費・工事諸経費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</si>
</sst>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明朝"/>
      <family val="1"/>
      <charset val="128"/>
    </font>
    <font>
      <sz val="9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176" fontId="2" fillId="0" borderId="6" xfId="0" applyNumberFormat="1" applyFont="1" applyBorder="1" applyAlignment="1">
      <alignment vertical="center" shrinkToFit="1"/>
    </xf>
    <xf numFmtId="176" fontId="2" fillId="0" borderId="7" xfId="0" applyNumberFormat="1" applyFont="1" applyBorder="1" applyAlignment="1">
      <alignment vertical="center" shrinkToFit="1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shrinkToFit="1"/>
    </xf>
    <xf numFmtId="176" fontId="2" fillId="0" borderId="5" xfId="0" applyNumberFormat="1" applyFont="1" applyBorder="1" applyAlignment="1">
      <alignment horizontal="center" vertical="center" shrinkToFit="1"/>
    </xf>
    <xf numFmtId="176" fontId="2" fillId="0" borderId="4" xfId="0" applyNumberFormat="1" applyFont="1" applyBorder="1" applyAlignment="1">
      <alignment vertical="center" shrinkToFit="1"/>
    </xf>
    <xf numFmtId="176" fontId="2" fillId="0" borderId="4" xfId="0" applyNumberFormat="1" applyFont="1" applyBorder="1" applyAlignment="1">
      <alignment horizontal="center" vertical="center" shrinkToFit="1"/>
    </xf>
    <xf numFmtId="176" fontId="2" fillId="0" borderId="10" xfId="0" applyNumberFormat="1" applyFont="1" applyBorder="1" applyAlignment="1">
      <alignment vertical="center" shrinkToFi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shrinkToFit="1"/>
    </xf>
    <xf numFmtId="176" fontId="2" fillId="0" borderId="18" xfId="0" applyNumberFormat="1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right" vertical="center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shrinkToFit="1"/>
    </xf>
    <xf numFmtId="0" fontId="2" fillId="0" borderId="9" xfId="0" applyFont="1" applyBorder="1" applyAlignment="1">
      <alignment horizontal="left" vertical="center" shrinkToFit="1"/>
    </xf>
    <xf numFmtId="0" fontId="5" fillId="0" borderId="9" xfId="0" applyFont="1" applyBorder="1" applyAlignment="1">
      <alignment horizontal="left" vertical="center" shrinkToFit="1"/>
    </xf>
    <xf numFmtId="0" fontId="2" fillId="0" borderId="9" xfId="0" applyFont="1" applyBorder="1" applyAlignment="1">
      <alignment vertical="center"/>
    </xf>
    <xf numFmtId="0" fontId="2" fillId="0" borderId="6" xfId="0" applyFont="1" applyBorder="1" applyAlignment="1">
      <alignment horizontal="left" vertical="center" indent="1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10" fontId="2" fillId="0" borderId="3" xfId="0" applyNumberFormat="1" applyFont="1" applyBorder="1" applyAlignment="1">
      <alignment horizontal="left" vertical="center" wrapText="1" indent="1"/>
    </xf>
    <xf numFmtId="0" fontId="2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shrinkToFit="1"/>
    </xf>
    <xf numFmtId="0" fontId="2" fillId="0" borderId="7" xfId="0" applyFont="1" applyBorder="1" applyAlignment="1">
      <alignment vertical="center"/>
    </xf>
    <xf numFmtId="0" fontId="2" fillId="0" borderId="17" xfId="0" applyFont="1" applyBorder="1" applyAlignment="1">
      <alignment vertical="center" shrinkToFit="1"/>
    </xf>
    <xf numFmtId="0" fontId="2" fillId="0" borderId="17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left" vertical="center" wrapText="1" shrinkToFit="1"/>
    </xf>
    <xf numFmtId="0" fontId="3" fillId="0" borderId="8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left" vertical="center" wrapText="1" shrinkToFi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7" xfId="0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3" fillId="0" borderId="9" xfId="0" applyFont="1" applyBorder="1" applyAlignment="1">
      <alignment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3" fillId="0" borderId="21" xfId="0" applyFont="1" applyBorder="1" applyAlignment="1">
      <alignment vertical="center" wrapText="1" shrinkToFit="1"/>
    </xf>
    <xf numFmtId="0" fontId="3" fillId="0" borderId="22" xfId="0" applyFont="1" applyBorder="1" applyAlignment="1">
      <alignment vertical="center" wrapText="1" shrinkToFit="1"/>
    </xf>
    <xf numFmtId="0" fontId="3" fillId="0" borderId="23" xfId="0" applyFont="1" applyBorder="1" applyAlignment="1">
      <alignment vertical="center" wrapText="1" shrinkToFit="1"/>
    </xf>
    <xf numFmtId="0" fontId="2" fillId="0" borderId="13" xfId="0" applyFont="1" applyBorder="1" applyAlignment="1">
      <alignment horizontal="left" vertical="center" wrapText="1" shrinkToFit="1"/>
    </xf>
    <xf numFmtId="0" fontId="2" fillId="0" borderId="13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left" vertical="center" wrapText="1" shrinkToFit="1"/>
    </xf>
    <xf numFmtId="0" fontId="3" fillId="0" borderId="8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left" vertical="center" wrapText="1" shrinkToFi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標準" xfId="0" builtinId="0"/>
  </cellStyles>
  <dxfs count="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4D1B-92A2-4D2E-9140-36498220A8DB}">
  <sheetPr>
    <pageSetUpPr fitToPage="1"/>
  </sheetPr>
  <dimension ref="B2:K46"/>
  <sheetViews>
    <sheetView tabSelected="1" view="pageBreakPreview" zoomScale="85" zoomScaleNormal="115" zoomScaleSheetLayoutView="85" workbookViewId="0">
      <pane xSplit="5" ySplit="4" topLeftCell="F5" activePane="bottomRight" state="frozen"/>
      <selection pane="topRight" activeCell="D1" sqref="D1"/>
      <selection pane="bottomLeft" activeCell="A3" sqref="A3"/>
      <selection pane="bottomRight" activeCell="H41" sqref="H41"/>
    </sheetView>
  </sheetViews>
  <sheetFormatPr defaultColWidth="9" defaultRowHeight="13.5" x14ac:dyDescent="0.15"/>
  <cols>
    <col min="1" max="1" width="1.875" style="3" customWidth="1"/>
    <col min="2" max="2" width="3.25" style="3" customWidth="1"/>
    <col min="3" max="3" width="29.625" style="3" customWidth="1"/>
    <col min="4" max="4" width="26.625" style="3" customWidth="1"/>
    <col min="5" max="5" width="7.5" style="3" customWidth="1"/>
    <col min="6" max="6" width="4.625" style="3" customWidth="1"/>
    <col min="7" max="7" width="9.625" style="4" customWidth="1"/>
    <col min="8" max="8" width="10.375" style="4" customWidth="1"/>
    <col min="9" max="10" width="5.5" style="5" customWidth="1"/>
    <col min="11" max="11" width="7.875" style="3" customWidth="1"/>
    <col min="12" max="16384" width="9" style="3"/>
  </cols>
  <sheetData>
    <row r="2" spans="2:11" ht="30.75" customHeight="1" x14ac:dyDescent="0.15">
      <c r="C2" s="3" t="s">
        <v>16</v>
      </c>
    </row>
    <row r="3" spans="2:11" x14ac:dyDescent="0.15">
      <c r="C3" s="6" t="s">
        <v>12</v>
      </c>
      <c r="D3" s="6"/>
      <c r="E3" s="68" t="s">
        <v>46</v>
      </c>
      <c r="F3" s="68"/>
      <c r="G3" s="68"/>
      <c r="H3" s="68"/>
      <c r="I3" s="68"/>
      <c r="J3" s="68"/>
      <c r="K3" s="68"/>
    </row>
    <row r="4" spans="2:11" ht="13.5" customHeight="1" x14ac:dyDescent="0.15">
      <c r="B4" s="69" t="s">
        <v>0</v>
      </c>
      <c r="C4" s="70"/>
      <c r="D4" s="7" t="s">
        <v>1</v>
      </c>
      <c r="E4" s="8" t="s">
        <v>2</v>
      </c>
      <c r="F4" s="8" t="s">
        <v>3</v>
      </c>
      <c r="G4" s="9" t="s">
        <v>4</v>
      </c>
      <c r="H4" s="9" t="s">
        <v>5</v>
      </c>
      <c r="I4" s="71" t="s">
        <v>6</v>
      </c>
      <c r="J4" s="72"/>
      <c r="K4" s="73"/>
    </row>
    <row r="5" spans="2:11" ht="13.5" customHeight="1" x14ac:dyDescent="0.15">
      <c r="B5" s="13"/>
      <c r="C5" s="14"/>
      <c r="D5" s="15"/>
      <c r="E5" s="16"/>
      <c r="F5" s="16"/>
      <c r="G5" s="17"/>
      <c r="H5" s="17"/>
      <c r="I5" s="58"/>
      <c r="J5" s="59"/>
      <c r="K5" s="60"/>
    </row>
    <row r="6" spans="2:11" ht="13.5" customHeight="1" x14ac:dyDescent="0.15">
      <c r="B6" s="21" t="s">
        <v>13</v>
      </c>
      <c r="C6" s="22" t="s">
        <v>25</v>
      </c>
      <c r="D6" s="23"/>
      <c r="E6" s="24"/>
      <c r="F6" s="25"/>
      <c r="G6" s="10"/>
      <c r="H6" s="11"/>
      <c r="I6" s="74"/>
      <c r="J6" s="75"/>
      <c r="K6" s="76"/>
    </row>
    <row r="7" spans="2:11" ht="13.5" customHeight="1" x14ac:dyDescent="0.15">
      <c r="B7" s="30"/>
      <c r="C7" s="26" t="s">
        <v>18</v>
      </c>
      <c r="D7" s="28" t="s">
        <v>19</v>
      </c>
      <c r="E7" s="28">
        <v>1</v>
      </c>
      <c r="F7" s="29" t="s">
        <v>24</v>
      </c>
      <c r="G7" s="1">
        <v>1187100</v>
      </c>
      <c r="H7" s="18">
        <f>G7*E7</f>
        <v>1187100</v>
      </c>
      <c r="I7" s="74" t="s">
        <v>44</v>
      </c>
      <c r="J7" s="75"/>
      <c r="K7" s="76"/>
    </row>
    <row r="8" spans="2:11" ht="13.5" customHeight="1" x14ac:dyDescent="0.15">
      <c r="B8" s="30"/>
      <c r="C8" s="31" t="s">
        <v>20</v>
      </c>
      <c r="D8" s="27" t="s">
        <v>21</v>
      </c>
      <c r="E8" s="28">
        <v>1</v>
      </c>
      <c r="F8" s="29" t="s">
        <v>7</v>
      </c>
      <c r="G8" s="1">
        <v>17000</v>
      </c>
      <c r="H8" s="18">
        <f t="shared" ref="H8:H33" si="0">G8*E8</f>
        <v>17000</v>
      </c>
      <c r="I8" s="77"/>
      <c r="J8" s="78"/>
      <c r="K8" s="79"/>
    </row>
    <row r="9" spans="2:11" ht="13.5" customHeight="1" x14ac:dyDescent="0.15">
      <c r="B9" s="30"/>
      <c r="C9" s="32" t="s">
        <v>22</v>
      </c>
      <c r="D9" s="27" t="s">
        <v>23</v>
      </c>
      <c r="E9" s="24">
        <v>2</v>
      </c>
      <c r="F9" s="29" t="s">
        <v>7</v>
      </c>
      <c r="G9" s="1">
        <v>8100</v>
      </c>
      <c r="H9" s="18">
        <f t="shared" si="0"/>
        <v>16200</v>
      </c>
      <c r="I9" s="44"/>
      <c r="J9" s="45"/>
      <c r="K9" s="46"/>
    </row>
    <row r="10" spans="2:11" ht="15.75" customHeight="1" x14ac:dyDescent="0.15">
      <c r="B10" s="34" t="s">
        <v>8</v>
      </c>
      <c r="C10" s="36"/>
      <c r="D10" s="37"/>
      <c r="E10" s="29"/>
      <c r="F10" s="29"/>
      <c r="G10" s="1"/>
      <c r="H10" s="18">
        <f>SUM(H7:H9)</f>
        <v>1220300</v>
      </c>
      <c r="I10" s="47"/>
      <c r="J10" s="48"/>
      <c r="K10" s="33"/>
    </row>
    <row r="11" spans="2:11" ht="15.75" customHeight="1" x14ac:dyDescent="0.15">
      <c r="B11" s="34"/>
      <c r="C11" s="36"/>
      <c r="D11" s="37"/>
      <c r="E11" s="29"/>
      <c r="F11" s="29"/>
      <c r="G11" s="1"/>
      <c r="H11" s="18"/>
      <c r="I11" s="47"/>
      <c r="J11" s="48"/>
      <c r="K11" s="33"/>
    </row>
    <row r="12" spans="2:11" ht="15.75" customHeight="1" x14ac:dyDescent="0.15">
      <c r="B12" s="21" t="s">
        <v>15</v>
      </c>
      <c r="C12" s="38" t="s">
        <v>26</v>
      </c>
      <c r="D12" s="27"/>
      <c r="E12" s="28"/>
      <c r="F12" s="29"/>
      <c r="G12" s="1"/>
      <c r="H12" s="18"/>
      <c r="I12" s="55"/>
      <c r="J12" s="56"/>
      <c r="K12" s="57"/>
    </row>
    <row r="13" spans="2:11" ht="15.75" customHeight="1" x14ac:dyDescent="0.15">
      <c r="B13" s="21"/>
      <c r="C13" s="38" t="s">
        <v>45</v>
      </c>
      <c r="D13" s="27"/>
      <c r="E13" s="28">
        <v>1</v>
      </c>
      <c r="F13" s="29" t="s">
        <v>24</v>
      </c>
      <c r="G13" s="1">
        <v>39600</v>
      </c>
      <c r="H13" s="18">
        <f t="shared" si="0"/>
        <v>39600</v>
      </c>
      <c r="I13" s="55"/>
      <c r="J13" s="56"/>
      <c r="K13" s="57"/>
    </row>
    <row r="14" spans="2:11" ht="15.75" customHeight="1" x14ac:dyDescent="0.15">
      <c r="B14" s="21"/>
      <c r="C14" s="39" t="s">
        <v>27</v>
      </c>
      <c r="D14" s="27"/>
      <c r="E14" s="28">
        <v>1</v>
      </c>
      <c r="F14" s="29" t="s">
        <v>7</v>
      </c>
      <c r="G14" s="1">
        <v>5500</v>
      </c>
      <c r="H14" s="18">
        <f t="shared" si="0"/>
        <v>5500</v>
      </c>
      <c r="I14" s="49"/>
      <c r="J14" s="50"/>
      <c r="K14" s="51"/>
    </row>
    <row r="15" spans="2:11" ht="15.75" customHeight="1" x14ac:dyDescent="0.15">
      <c r="B15" s="21"/>
      <c r="C15" s="40" t="s">
        <v>28</v>
      </c>
      <c r="D15" s="27"/>
      <c r="E15" s="28">
        <v>1</v>
      </c>
      <c r="F15" s="29" t="s">
        <v>7</v>
      </c>
      <c r="G15" s="1">
        <v>7100</v>
      </c>
      <c r="H15" s="18">
        <f t="shared" si="0"/>
        <v>7100</v>
      </c>
      <c r="I15" s="55"/>
      <c r="J15" s="56"/>
      <c r="K15" s="57"/>
    </row>
    <row r="16" spans="2:11" ht="15.75" customHeight="1" x14ac:dyDescent="0.15">
      <c r="B16" s="30"/>
      <c r="C16" s="40" t="s">
        <v>17</v>
      </c>
      <c r="D16" s="24" t="s">
        <v>47</v>
      </c>
      <c r="E16" s="28">
        <v>1</v>
      </c>
      <c r="F16" s="29" t="s">
        <v>7</v>
      </c>
      <c r="G16" s="1">
        <v>181700</v>
      </c>
      <c r="H16" s="18">
        <f t="shared" si="0"/>
        <v>181700</v>
      </c>
      <c r="I16" s="47"/>
      <c r="J16" s="50"/>
      <c r="K16" s="51"/>
    </row>
    <row r="17" spans="2:11" ht="15.75" customHeight="1" x14ac:dyDescent="0.15">
      <c r="B17" s="30"/>
      <c r="C17" s="64" t="s">
        <v>29</v>
      </c>
      <c r="D17" s="28" t="s">
        <v>48</v>
      </c>
      <c r="E17" s="24">
        <v>1</v>
      </c>
      <c r="F17" s="29" t="s">
        <v>7</v>
      </c>
      <c r="G17" s="2">
        <v>41500</v>
      </c>
      <c r="H17" s="18">
        <f t="shared" si="0"/>
        <v>41500</v>
      </c>
      <c r="I17" s="61"/>
      <c r="J17" s="62"/>
      <c r="K17" s="63"/>
    </row>
    <row r="18" spans="2:11" ht="15.75" customHeight="1" x14ac:dyDescent="0.15">
      <c r="B18" s="30"/>
      <c r="C18" s="64" t="s">
        <v>30</v>
      </c>
      <c r="D18" s="28"/>
      <c r="E18" s="24">
        <v>1</v>
      </c>
      <c r="F18" s="29" t="s">
        <v>7</v>
      </c>
      <c r="G18" s="2">
        <v>59900</v>
      </c>
      <c r="H18" s="18">
        <f t="shared" si="0"/>
        <v>59900</v>
      </c>
      <c r="I18" s="61"/>
      <c r="J18" s="62"/>
      <c r="K18" s="63"/>
    </row>
    <row r="19" spans="2:11" ht="15.75" customHeight="1" x14ac:dyDescent="0.15">
      <c r="B19" s="30"/>
      <c r="C19" s="65" t="s">
        <v>31</v>
      </c>
      <c r="D19" s="28" t="s">
        <v>49</v>
      </c>
      <c r="E19" s="24">
        <v>1</v>
      </c>
      <c r="F19" s="29" t="s">
        <v>7</v>
      </c>
      <c r="G19" s="2">
        <v>30200</v>
      </c>
      <c r="H19" s="18">
        <f t="shared" si="0"/>
        <v>30200</v>
      </c>
      <c r="I19" s="61"/>
      <c r="J19" s="62"/>
      <c r="K19" s="63"/>
    </row>
    <row r="20" spans="2:11" ht="15.75" customHeight="1" x14ac:dyDescent="0.15">
      <c r="B20" s="30"/>
      <c r="C20" s="64" t="s">
        <v>32</v>
      </c>
      <c r="D20" s="28" t="s">
        <v>50</v>
      </c>
      <c r="E20" s="24">
        <v>1</v>
      </c>
      <c r="F20" s="29" t="s">
        <v>7</v>
      </c>
      <c r="G20" s="2">
        <v>23000</v>
      </c>
      <c r="H20" s="18">
        <f t="shared" si="0"/>
        <v>23000</v>
      </c>
      <c r="I20" s="61"/>
      <c r="J20" s="62"/>
      <c r="K20" s="63"/>
    </row>
    <row r="21" spans="2:11" ht="15.75" customHeight="1" x14ac:dyDescent="0.15">
      <c r="B21" s="30"/>
      <c r="C21" s="64" t="s">
        <v>33</v>
      </c>
      <c r="D21" s="28"/>
      <c r="E21" s="24">
        <v>1</v>
      </c>
      <c r="F21" s="29" t="s">
        <v>7</v>
      </c>
      <c r="G21" s="2">
        <v>9200</v>
      </c>
      <c r="H21" s="18">
        <f t="shared" si="0"/>
        <v>9200</v>
      </c>
      <c r="I21" s="61"/>
      <c r="J21" s="62"/>
      <c r="K21" s="63"/>
    </row>
    <row r="22" spans="2:11" ht="15.75" customHeight="1" x14ac:dyDescent="0.15">
      <c r="B22" s="30"/>
      <c r="C22" s="64" t="s">
        <v>34</v>
      </c>
      <c r="D22" s="28"/>
      <c r="E22" s="24">
        <v>1</v>
      </c>
      <c r="F22" s="29" t="s">
        <v>7</v>
      </c>
      <c r="G22" s="2">
        <v>23000</v>
      </c>
      <c r="H22" s="18">
        <f t="shared" si="0"/>
        <v>23000</v>
      </c>
      <c r="I22" s="61"/>
      <c r="J22" s="62"/>
      <c r="K22" s="63"/>
    </row>
    <row r="23" spans="2:11" ht="15.75" customHeight="1" x14ac:dyDescent="0.15">
      <c r="B23" s="30"/>
      <c r="C23" s="64" t="s">
        <v>35</v>
      </c>
      <c r="D23" s="28"/>
      <c r="E23" s="24">
        <v>1</v>
      </c>
      <c r="F23" s="29" t="s">
        <v>7</v>
      </c>
      <c r="G23" s="2">
        <v>12800</v>
      </c>
      <c r="H23" s="18">
        <f t="shared" si="0"/>
        <v>12800</v>
      </c>
      <c r="I23" s="61"/>
      <c r="J23" s="62"/>
      <c r="K23" s="63"/>
    </row>
    <row r="24" spans="2:11" ht="15.75" customHeight="1" x14ac:dyDescent="0.15">
      <c r="B24" s="30"/>
      <c r="C24" s="64" t="s">
        <v>36</v>
      </c>
      <c r="D24" s="28"/>
      <c r="E24" s="24">
        <v>1</v>
      </c>
      <c r="F24" s="29" t="s">
        <v>7</v>
      </c>
      <c r="G24" s="2">
        <v>20000</v>
      </c>
      <c r="H24" s="18">
        <f t="shared" si="0"/>
        <v>20000</v>
      </c>
      <c r="I24" s="61"/>
      <c r="J24" s="62"/>
      <c r="K24" s="63"/>
    </row>
    <row r="25" spans="2:11" ht="15.75" customHeight="1" x14ac:dyDescent="0.15">
      <c r="B25" s="30"/>
      <c r="C25" s="64" t="s">
        <v>37</v>
      </c>
      <c r="D25" s="28" t="s">
        <v>51</v>
      </c>
      <c r="E25" s="24">
        <v>1</v>
      </c>
      <c r="F25" s="29" t="s">
        <v>7</v>
      </c>
      <c r="G25" s="2">
        <v>70900</v>
      </c>
      <c r="H25" s="18">
        <f t="shared" si="0"/>
        <v>70900</v>
      </c>
      <c r="I25" s="61"/>
      <c r="J25" s="62"/>
      <c r="K25" s="63"/>
    </row>
    <row r="26" spans="2:11" ht="15.75" customHeight="1" x14ac:dyDescent="0.15">
      <c r="B26" s="41" t="s">
        <v>14</v>
      </c>
      <c r="C26" s="35"/>
      <c r="D26" s="27"/>
      <c r="E26" s="24"/>
      <c r="F26" s="29"/>
      <c r="G26" s="2"/>
      <c r="H26" s="18">
        <f>SUM(H13:H25)</f>
        <v>524400</v>
      </c>
      <c r="I26" s="49"/>
      <c r="J26" s="50"/>
      <c r="K26" s="51"/>
    </row>
    <row r="27" spans="2:11" ht="15.75" customHeight="1" x14ac:dyDescent="0.15">
      <c r="B27" s="41"/>
      <c r="C27" s="35"/>
      <c r="D27" s="27"/>
      <c r="E27" s="24"/>
      <c r="F27" s="29"/>
      <c r="G27" s="2"/>
      <c r="H27" s="18"/>
      <c r="I27" s="49"/>
      <c r="J27" s="50"/>
      <c r="K27" s="51"/>
    </row>
    <row r="28" spans="2:11" ht="15.75" customHeight="1" x14ac:dyDescent="0.15">
      <c r="B28" s="41" t="s">
        <v>39</v>
      </c>
      <c r="C28" s="35" t="s">
        <v>38</v>
      </c>
      <c r="D28" s="27"/>
      <c r="E28" s="24"/>
      <c r="F28" s="29"/>
      <c r="G28" s="2"/>
      <c r="H28" s="18"/>
      <c r="I28" s="49"/>
      <c r="J28" s="50"/>
      <c r="K28" s="51"/>
    </row>
    <row r="29" spans="2:11" ht="15.75" customHeight="1" x14ac:dyDescent="0.15">
      <c r="B29" s="21"/>
      <c r="C29" s="38" t="s">
        <v>40</v>
      </c>
      <c r="D29" s="27"/>
      <c r="E29" s="24">
        <v>2</v>
      </c>
      <c r="F29" s="29" t="s">
        <v>24</v>
      </c>
      <c r="G29" s="2">
        <v>16200</v>
      </c>
      <c r="H29" s="18">
        <f t="shared" si="0"/>
        <v>32400</v>
      </c>
      <c r="I29" s="49"/>
      <c r="J29" s="50"/>
      <c r="K29" s="51"/>
    </row>
    <row r="30" spans="2:11" ht="15.75" customHeight="1" x14ac:dyDescent="0.15">
      <c r="B30" s="21"/>
      <c r="C30" s="38" t="s">
        <v>41</v>
      </c>
      <c r="D30" s="27"/>
      <c r="E30" s="24">
        <v>2</v>
      </c>
      <c r="F30" s="29" t="s">
        <v>24</v>
      </c>
      <c r="G30" s="2">
        <v>5900</v>
      </c>
      <c r="H30" s="18">
        <f t="shared" si="0"/>
        <v>11800</v>
      </c>
      <c r="I30" s="49"/>
      <c r="J30" s="50"/>
      <c r="K30" s="51"/>
    </row>
    <row r="31" spans="2:11" ht="15.75" customHeight="1" x14ac:dyDescent="0.15">
      <c r="B31" s="21"/>
      <c r="C31" s="38" t="s">
        <v>42</v>
      </c>
      <c r="D31" s="27"/>
      <c r="E31" s="24">
        <v>1</v>
      </c>
      <c r="F31" s="29" t="s">
        <v>24</v>
      </c>
      <c r="G31" s="2">
        <v>2200</v>
      </c>
      <c r="H31" s="18">
        <f t="shared" si="0"/>
        <v>2200</v>
      </c>
      <c r="I31" s="49"/>
      <c r="J31" s="50"/>
      <c r="K31" s="51"/>
    </row>
    <row r="32" spans="2:11" ht="15.75" customHeight="1" x14ac:dyDescent="0.15">
      <c r="B32" s="21"/>
      <c r="C32" s="64" t="s">
        <v>36</v>
      </c>
      <c r="D32" s="27"/>
      <c r="E32" s="24">
        <v>1</v>
      </c>
      <c r="F32" s="29" t="s">
        <v>24</v>
      </c>
      <c r="G32" s="2">
        <v>3700</v>
      </c>
      <c r="H32" s="18">
        <f t="shared" si="0"/>
        <v>3700</v>
      </c>
      <c r="I32" s="49"/>
      <c r="J32" s="50"/>
      <c r="K32" s="51"/>
    </row>
    <row r="33" spans="2:11" ht="15.75" customHeight="1" x14ac:dyDescent="0.15">
      <c r="B33" s="21"/>
      <c r="C33" s="64" t="s">
        <v>37</v>
      </c>
      <c r="D33" s="27"/>
      <c r="E33" s="24">
        <v>1</v>
      </c>
      <c r="F33" s="29" t="s">
        <v>24</v>
      </c>
      <c r="G33" s="2">
        <v>5200</v>
      </c>
      <c r="H33" s="18">
        <f t="shared" si="0"/>
        <v>5200</v>
      </c>
      <c r="I33" s="49"/>
      <c r="J33" s="50"/>
      <c r="K33" s="51"/>
    </row>
    <row r="34" spans="2:11" ht="15.75" customHeight="1" x14ac:dyDescent="0.15">
      <c r="B34" s="21" t="s">
        <v>43</v>
      </c>
      <c r="C34" s="64"/>
      <c r="D34" s="27"/>
      <c r="E34" s="24"/>
      <c r="F34" s="29"/>
      <c r="G34" s="2"/>
      <c r="H34" s="1">
        <f>SUM(H29:H33)</f>
        <v>55300</v>
      </c>
      <c r="I34" s="49"/>
      <c r="J34" s="50"/>
      <c r="K34" s="51"/>
    </row>
    <row r="35" spans="2:11" ht="15.75" customHeight="1" x14ac:dyDescent="0.15">
      <c r="B35" s="21"/>
      <c r="C35" s="64"/>
      <c r="D35" s="27"/>
      <c r="E35" s="24"/>
      <c r="F35" s="29"/>
      <c r="G35" s="2"/>
      <c r="H35" s="1"/>
      <c r="I35" s="49"/>
      <c r="J35" s="50"/>
      <c r="K35" s="51"/>
    </row>
    <row r="36" spans="2:11" ht="15.75" customHeight="1" x14ac:dyDescent="0.15">
      <c r="B36" s="80" t="s">
        <v>11</v>
      </c>
      <c r="C36" s="81"/>
      <c r="D36" s="24"/>
      <c r="E36" s="24"/>
      <c r="F36" s="25"/>
      <c r="G36" s="2"/>
      <c r="H36" s="1">
        <f>SUM(H10,H26,H34)</f>
        <v>1800000</v>
      </c>
      <c r="I36" s="49"/>
      <c r="J36" s="50"/>
      <c r="K36" s="51"/>
    </row>
    <row r="37" spans="2:11" ht="15.75" customHeight="1" x14ac:dyDescent="0.15">
      <c r="B37" s="30"/>
      <c r="C37" s="31"/>
      <c r="D37" s="24"/>
      <c r="E37" s="24"/>
      <c r="F37" s="25"/>
      <c r="G37" s="2"/>
      <c r="H37" s="1"/>
      <c r="I37" s="49"/>
      <c r="J37" s="50"/>
      <c r="K37" s="51"/>
    </row>
    <row r="38" spans="2:11" ht="15.75" customHeight="1" x14ac:dyDescent="0.15">
      <c r="B38" s="80" t="s">
        <v>10</v>
      </c>
      <c r="C38" s="81"/>
      <c r="D38" s="24"/>
      <c r="E38" s="24"/>
      <c r="F38" s="25"/>
      <c r="G38" s="2"/>
      <c r="H38" s="1">
        <f>ROUNDDOWN(H36*0.1,0)</f>
        <v>180000</v>
      </c>
      <c r="I38" s="49"/>
      <c r="J38" s="50"/>
      <c r="K38" s="51"/>
    </row>
    <row r="39" spans="2:11" ht="15.75" customHeight="1" x14ac:dyDescent="0.15">
      <c r="B39" s="30"/>
      <c r="C39" s="31"/>
      <c r="D39" s="24"/>
      <c r="E39" s="24"/>
      <c r="F39" s="25"/>
      <c r="G39" s="2"/>
      <c r="H39" s="1"/>
      <c r="I39" s="49"/>
      <c r="J39" s="50"/>
      <c r="K39" s="51"/>
    </row>
    <row r="40" spans="2:11" ht="15.75" customHeight="1" x14ac:dyDescent="0.15">
      <c r="B40" s="66" t="s">
        <v>9</v>
      </c>
      <c r="C40" s="67"/>
      <c r="D40" s="42"/>
      <c r="E40" s="42"/>
      <c r="F40" s="43"/>
      <c r="G40" s="12"/>
      <c r="H40" s="12">
        <f>H36+H38</f>
        <v>1980000</v>
      </c>
      <c r="I40" s="52"/>
      <c r="J40" s="53"/>
      <c r="K40" s="54"/>
    </row>
    <row r="41" spans="2:11" ht="29.25" customHeight="1" x14ac:dyDescent="0.15">
      <c r="B41" s="19"/>
      <c r="C41" s="20"/>
      <c r="I41" s="49"/>
      <c r="J41" s="50"/>
      <c r="K41" s="51"/>
    </row>
    <row r="42" spans="2:11" x14ac:dyDescent="0.15">
      <c r="I42" s="49"/>
      <c r="J42" s="50"/>
      <c r="K42" s="51"/>
    </row>
    <row r="43" spans="2:11" x14ac:dyDescent="0.15">
      <c r="I43" s="49"/>
      <c r="J43" s="50"/>
      <c r="K43" s="51"/>
    </row>
    <row r="44" spans="2:11" x14ac:dyDescent="0.15">
      <c r="I44" s="49"/>
      <c r="J44" s="50"/>
      <c r="K44" s="51"/>
    </row>
    <row r="45" spans="2:11" x14ac:dyDescent="0.15">
      <c r="I45" s="49"/>
      <c r="J45" s="50"/>
      <c r="K45" s="51"/>
    </row>
    <row r="46" spans="2:11" x14ac:dyDescent="0.15">
      <c r="I46" s="52"/>
      <c r="J46" s="53"/>
      <c r="K46" s="54"/>
    </row>
  </sheetData>
  <mergeCells count="9">
    <mergeCell ref="B40:C40"/>
    <mergeCell ref="E3:K3"/>
    <mergeCell ref="B4:C4"/>
    <mergeCell ref="I4:K4"/>
    <mergeCell ref="I6:K6"/>
    <mergeCell ref="I7:K7"/>
    <mergeCell ref="I8:K8"/>
    <mergeCell ref="B36:C36"/>
    <mergeCell ref="B38:C38"/>
  </mergeCells>
  <phoneticPr fontId="1"/>
  <conditionalFormatting sqref="C15 B17:F25 D36:F38">
    <cfRule type="cellIs" dxfId="4" priority="5" stopIfTrue="1" operator="equal">
      <formula>0</formula>
    </cfRule>
  </conditionalFormatting>
  <conditionalFormatting sqref="C32:C35">
    <cfRule type="cellIs" dxfId="3" priority="1" stopIfTrue="1" operator="equal">
      <formula>0</formula>
    </cfRule>
  </conditionalFormatting>
  <conditionalFormatting sqref="D9:E9 B37:C37 B40 D40:F40">
    <cfRule type="cellIs" dxfId="2" priority="10" stopIfTrue="1" operator="equal">
      <formula>0</formula>
    </cfRule>
  </conditionalFormatting>
  <conditionalFormatting sqref="E6:F8 B7:C9 B10:G11 E12:F16 B16:E16 E26:F35 B36 B38 B39:F39">
    <cfRule type="cellIs" dxfId="1" priority="3" stopIfTrue="1" operator="equal">
      <formula>0</formula>
    </cfRule>
  </conditionalFormatting>
  <conditionalFormatting sqref="F8:F9">
    <cfRule type="cellIs" dxfId="0" priority="9" stopIfTrue="1" operator="equal">
      <formula>0</formula>
    </cfRule>
  </conditionalFormatting>
  <printOptions horizontalCentered="1"/>
  <pageMargins left="0.39370078740157483" right="0.35433070866141736" top="0.53" bottom="0.23622047244094491" header="0.23622047244094491" footer="0.27559055118110237"/>
  <pageSetup paperSize="9" scale="83" orientation="portrait" verticalDpi="300" r:id="rId1" fitToWidth="1" fitToHeight="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933f81-0ab9-4421-96ca-e4810c32ef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0B71F3F3261FD4FB9C56D32A4119560" ma:contentTypeVersion="13" ma:contentTypeDescription="新しいドキュメントを作成します。" ma:contentTypeScope="" ma:versionID="096347e57f116912cb0797d82cc1cac0">
  <xsd:schema xmlns:xsd="http://www.w3.org/2001/XMLSchema" xmlns:xs="http://www.w3.org/2001/XMLSchema" xmlns:p="http://schemas.microsoft.com/office/2006/metadata/properties" xmlns:ns3="3e933f81-0ab9-4421-96ca-e4810c32ef43" xmlns:ns4="5d3a31f7-7ed8-4188-994b-3593cff28963" targetNamespace="http://schemas.microsoft.com/office/2006/metadata/properties" ma:root="true" ma:fieldsID="47c2daf262f5a4a09096a07e660316f8" ns3:_="" ns4:_="">
    <xsd:import namespace="3e933f81-0ab9-4421-96ca-e4810c32ef43"/>
    <xsd:import namespace="5d3a31f7-7ed8-4188-994b-3593cff289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33f81-0ab9-4421-96ca-e4810c32ef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a31f7-7ed8-4188-994b-3593cff289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22B42-F791-4047-B9ED-AA2EB5277B1A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e933f81-0ab9-4421-96ca-e4810c32ef43"/>
    <ds:schemaRef ds:uri="http://schemas.openxmlformats.org/package/2006/metadata/core-properties"/>
    <ds:schemaRef ds:uri="5d3a31f7-7ed8-4188-994b-3593cff2896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09E145F-C4F2-4F37-AC75-660D623B41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7B014D-7A19-45B9-B5E5-87D00BA87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933f81-0ab9-4421-96ca-e4810c32ef43"/>
    <ds:schemaRef ds:uri="5d3a31f7-7ed8-4188-994b-3593cff289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880fce9-668b-4e26-9ff5-91f1bb2aa657}" enabled="0" method="" siteId="{4880fce9-668b-4e26-9ff5-91f1bb2aa6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仕様書</vt:lpstr>
      <vt:lpstr>仕様書!Print_Area</vt:lpstr>
    </vt:vector>
  </TitlesOfParts>
  <Manager/>
  <Company>広島県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広島県</dc:creator>
  <cp:keywords/>
  <dc:description/>
  <cp:lastModifiedBy>山田　陽太</cp:lastModifiedBy>
  <cp:revision/>
  <cp:lastPrinted>2026-09-24T06:41:47Z</cp:lastPrinted>
  <dcterms:created xsi:type="dcterms:W3CDTF">2012-11-14T06:08:50Z</dcterms:created>
  <dcterms:modified xsi:type="dcterms:W3CDTF">2026-10-08T00:54:57Z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0x01010060B71F3F3261FD4FB9C56D32A4119560</vt:lpwstr>
  </property>
</Properties>
</file>