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紙" sheetId="1" state="visible" r:id="rId1"/>
    <sheet xmlns:r="http://schemas.openxmlformats.org/officeDocument/2006/relationships" name="明細(1)" sheetId="2" state="visible" r:id="rId2"/>
    <sheet xmlns:r="http://schemas.openxmlformats.org/officeDocument/2006/relationships" name="明細(2)" sheetId="3" state="visible" r:id="rId3"/>
  </sheets>
  <definedNames>
    <definedName name="_xlnm.Print_Area" localSheetId="0">'表紙'!$A$1:$H$47</definedName>
    <definedName name="_xlnm.Print_Area" localSheetId="1">'明細(1)'!$A$1:$G$50</definedName>
    <definedName name="_xlnm.Print_Area" localSheetId="2">'明細(2)'!$A$1:$G$50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(#,##0)"/>
  </numFmts>
  <fonts count="5">
    <font>
      <name val="ＭＳ 明朝"/>
      <sz val="10"/>
    </font>
    <font>
      <name val="ＭＳ 明朝"/>
      <sz val="9"/>
    </font>
    <font>
      <name val="ＭＳ 明朝"/>
      <sz val="20"/>
    </font>
    <font>
      <name val="ＭＳ 明朝"/>
      <sz val="11"/>
    </font>
    <font>
      <name val="ＭＳ 明朝"/>
      <sz val="13"/>
      <u val="single"/>
    </font>
  </fonts>
  <fills count="2">
    <fill>
      <patternFill/>
    </fill>
    <fill>
      <patternFill patternType="gray125"/>
    </fill>
  </fills>
  <borders count="2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 style="thin"/>
      <bottom style="thin"/>
    </border>
    <border>
      <left/>
      <right style="thin"/>
      <top style="thin"/>
      <bottom style="thin"/>
    </border>
    <border>
      <left style="thin"/>
      <top style="hair"/>
      <bottom style="hair"/>
    </border>
    <border>
      <top style="hair"/>
      <bottom style="hair"/>
    </border>
    <border>
      <left style="thin"/>
      <right style="thin"/>
      <top style="hair"/>
      <bottom style="hair"/>
    </border>
    <border>
      <left/>
      <right/>
      <top style="hair"/>
      <bottom/>
      <diagonal/>
    </border>
    <border>
      <left/>
      <right/>
      <top style="hair"/>
      <bottom style="hair"/>
      <diagonal/>
    </border>
    <border>
      <left style="thin"/>
      <top style="thin"/>
      <bottom style="hair"/>
    </border>
    <border>
      <top style="thin"/>
      <bottom style="hair"/>
    </border>
    <border>
      <left style="thin"/>
      <right style="thin"/>
      <top style="thin"/>
      <bottom style="hair"/>
    </border>
    <border>
      <left/>
      <right/>
      <top style="hair"/>
      <bottom style="hair"/>
    </border>
    <border>
      <left style="thin"/>
      <top style="hair"/>
      <bottom style="thin"/>
    </border>
    <border>
      <top style="hair"/>
      <bottom style="thin"/>
    </border>
    <border>
      <left style="thin"/>
      <right style="thin"/>
      <top style="hair"/>
      <bottom style="thin"/>
    </border>
    <border>
      <left style="thin"/>
      <right style="thin"/>
      <top style="thin"/>
      <bottom/>
    </border>
    <border>
      <left style="thin"/>
      <right style="thin"/>
      <top/>
      <bottom/>
    </border>
    <border>
      <left style="thin"/>
      <right style="thin"/>
      <top/>
      <bottom style="thin"/>
    </border>
    <border>
      <right style="thin"/>
      <top style="hair"/>
      <bottom style="hair"/>
    </border>
    <border>
      <right style="thin"/>
      <top style="thin"/>
      <bottom style="hair"/>
    </border>
    <border>
      <right style="thin"/>
      <top style="hair"/>
      <bottom style="thin"/>
    </border>
    <border>
      <left style="thin"/>
      <top style="thin"/>
      <bottom style="thin"/>
    </border>
    <border>
      <top style="thin"/>
      <bottom style="thin"/>
    </border>
    <border>
      <right style="thin"/>
      <top style="thin"/>
      <bottom style="thin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/>
    </xf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4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9" applyAlignment="1" pivotButton="0" quotePrefix="0" xfId="0">
      <alignment horizontal="center" vertical="center"/>
    </xf>
    <xf numFmtId="0" fontId="0" fillId="0" borderId="9" applyAlignment="1" pivotButton="0" quotePrefix="0" xfId="0">
      <alignment vertical="center"/>
    </xf>
    <xf numFmtId="0" fontId="0" fillId="0" borderId="10" pivotButton="0" quotePrefix="0" xfId="0"/>
    <xf numFmtId="0" fontId="0" fillId="0" borderId="9" pivotButton="0" quotePrefix="0" xfId="0"/>
    <xf numFmtId="0" fontId="0" fillId="0" borderId="20" pivotButton="0" quotePrefix="0" xfId="0"/>
    <xf numFmtId="0" fontId="0" fillId="0" borderId="4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0" borderId="5" pivotButton="0" quotePrefix="0" xfId="0"/>
    <xf numFmtId="164" fontId="0" fillId="0" borderId="4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19" pivotButton="0" quotePrefix="0" xfId="0"/>
    <xf numFmtId="165" fontId="0" fillId="0" borderId="4" applyAlignment="1" pivotButton="0" quotePrefix="0" xfId="0">
      <alignment horizontal="right" vertical="center"/>
    </xf>
    <xf numFmtId="0" fontId="0" fillId="0" borderId="22" applyAlignment="1" pivotButton="0" quotePrefix="0" xfId="0">
      <alignment vertical="center"/>
    </xf>
    <xf numFmtId="0" fontId="0" fillId="0" borderId="23" pivotButton="0" quotePrefix="0" xfId="0"/>
    <xf numFmtId="0" fontId="0" fillId="0" borderId="22" applyAlignment="1" pivotButton="0" quotePrefix="0" xfId="0">
      <alignment horizontal="center" vertical="center"/>
    </xf>
    <xf numFmtId="164" fontId="0" fillId="0" borderId="22" applyAlignment="1" pivotButton="0" quotePrefix="0" xfId="0">
      <alignment horizontal="right" vertical="center"/>
    </xf>
    <xf numFmtId="0" fontId="0" fillId="0" borderId="22" pivotButton="0" quotePrefix="0" xfId="0"/>
    <xf numFmtId="0" fontId="0" fillId="0" borderId="24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21" pivotButton="0" quotePrefix="0" xfId="0"/>
    <xf numFmtId="0" fontId="0" fillId="0" borderId="11" pivotButton="0" quotePrefix="0" xfId="0"/>
    <xf numFmtId="0" fontId="0" fillId="0" borderId="6" pivotButton="0" quotePrefix="0" xfId="0"/>
    <xf numFmtId="0" fontId="0" fillId="0" borderId="4" applyAlignment="1" pivotButton="0" quotePrefix="0" xfId="0">
      <alignment vertical="center" shrinkToFit="1"/>
    </xf>
    <xf numFmtId="1" fontId="0" fillId="0" borderId="4" applyAlignment="1" pivotButton="0" quotePrefix="0" xfId="0">
      <alignment horizontal="right" vertical="center"/>
    </xf>
    <xf numFmtId="0" fontId="0" fillId="0" borderId="5" applyAlignment="1" pivotButton="0" quotePrefix="0" xfId="0">
      <alignment horizontal="left" vertical="center"/>
    </xf>
    <xf numFmtId="0" fontId="1" fillId="0" borderId="6" applyAlignment="1" pivotButton="0" quotePrefix="0" xfId="0">
      <alignment vertical="center" shrinkToFit="1"/>
    </xf>
    <xf numFmtId="0" fontId="0" fillId="0" borderId="12" pivotButton="0" quotePrefix="0" xfId="0"/>
    <xf numFmtId="0" fontId="0" fillId="0" borderId="1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2:H47"/>
  <sheetViews>
    <sheetView showGridLines="0" workbookViewId="0">
      <selection activeCell="A1" sqref="A1"/>
    </sheetView>
  </sheetViews>
  <sheetFormatPr baseColWidth="8" defaultRowHeight="15"/>
  <cols>
    <col width="5.5" customWidth="1" min="1" max="1"/>
    <col width="9" customWidth="1" min="2" max="2"/>
    <col width="33.5" customWidth="1" min="3" max="3"/>
    <col width="10.5" customWidth="1" min="4" max="4"/>
    <col width="9" customWidth="1" min="5" max="5"/>
    <col width="9" customWidth="1" min="6" max="6"/>
    <col width="9" customWidth="1" min="7" max="7"/>
    <col width="9" customWidth="1" min="8" max="8"/>
  </cols>
  <sheetData>
    <row r="1" ht="6" customHeight="1"/>
    <row r="2" ht="30" customHeight="1">
      <c r="A2" s="1" t="inlineStr">
        <is>
          <t>御見積書</t>
        </is>
      </c>
    </row>
    <row r="3" ht="14.25" customHeight="1">
      <c r="A3" s="2" t="inlineStr">
        <is>
          <t>広島県立尾道商業高等学校　殿</t>
        </is>
      </c>
      <c r="G3" s="3" t="inlineStr">
        <is>
          <t>PAGE No. 1</t>
        </is>
      </c>
    </row>
    <row r="4" ht="14.25" customHeight="1">
      <c r="E4" s="4" t="inlineStr">
        <is>
          <t>見積番号　6330515-2</t>
        </is>
      </c>
    </row>
    <row r="5" ht="14.25" customHeight="1">
      <c r="E5" s="4" t="inlineStr">
        <is>
          <t>2026年9月30日</t>
        </is>
      </c>
    </row>
    <row r="6" ht="14.25" customHeight="1">
      <c r="A6" s="4" t="inlineStr">
        <is>
          <t>つぎのとおりお見積いたしました。</t>
        </is>
      </c>
      <c r="E6" s="2" t="inlineStr">
        <is>
          <t>宮地機工株式会社</t>
        </is>
      </c>
    </row>
    <row r="7" ht="14.25" customHeight="1">
      <c r="A7" s="4" t="inlineStr">
        <is>
          <t>なにとぞご用命くださいますようお願い申しあげます。</t>
        </is>
      </c>
    </row>
    <row r="8" ht="14.25" customHeight="1">
      <c r="A8" s="4" t="inlineStr">
        <is>
          <t>有効期間経過後のご註文は一応ご照会下さい</t>
        </is>
      </c>
    </row>
    <row r="9" ht="14.25" customHeight="1"/>
    <row r="10" ht="14.25" customHeight="1">
      <c r="E10" s="4" t="inlineStr">
        <is>
          <t>〒722-0051</t>
        </is>
      </c>
    </row>
    <row r="11" ht="14.25" customHeight="1">
      <c r="E11" s="4" t="inlineStr">
        <is>
          <t>広島県尾道市東尾道9-9</t>
        </is>
      </c>
    </row>
    <row r="12" ht="14.25" customHeight="1"/>
    <row r="13" ht="14.25" customHeight="1">
      <c r="A13" s="4" t="inlineStr">
        <is>
          <t>件名</t>
        </is>
      </c>
      <c r="C13" s="4" t="inlineStr">
        <is>
          <t>商業実践室　空調更新工事</t>
        </is>
      </c>
      <c r="E13" s="4" t="inlineStr">
        <is>
          <t>TEL 0848-20-2121</t>
        </is>
      </c>
    </row>
    <row r="14" ht="14.25" customHeight="1">
      <c r="A14" s="4" t="inlineStr">
        <is>
          <t>受渡場所</t>
        </is>
      </c>
      <c r="C14" s="4" t="inlineStr">
        <is>
          <t>御協議による</t>
        </is>
      </c>
      <c r="E14" s="4" t="inlineStr">
        <is>
          <t>FAX 0848-20-2126</t>
        </is>
      </c>
    </row>
    <row r="15" ht="14.25" customHeight="1">
      <c r="A15" s="4" t="inlineStr">
        <is>
          <t>受渡期間</t>
        </is>
      </c>
      <c r="C15" s="4" t="inlineStr">
        <is>
          <t>御協議による</t>
        </is>
      </c>
      <c r="E15" s="5" t="n"/>
      <c r="F15" s="5" t="n"/>
      <c r="G15" s="5" t="n"/>
      <c r="H15" s="5" t="n"/>
    </row>
    <row r="16" ht="14.25" customHeight="1">
      <c r="A16" s="4" t="inlineStr">
        <is>
          <t>支払条件</t>
        </is>
      </c>
      <c r="C16" s="4" t="inlineStr">
        <is>
          <t>御協議による</t>
        </is>
      </c>
      <c r="E16" s="6" t="n"/>
      <c r="F16" s="6" t="n"/>
      <c r="G16" s="6" t="n"/>
      <c r="H16" s="6" t="n"/>
    </row>
    <row r="17" ht="14.25" customHeight="1">
      <c r="A17" s="4" t="inlineStr">
        <is>
          <t>荷造運賃</t>
        </is>
      </c>
      <c r="C17" s="4" t="inlineStr">
        <is>
          <t>御協議による</t>
        </is>
      </c>
      <c r="E17" s="7" t="n"/>
      <c r="F17" s="7" t="n"/>
      <c r="G17" s="7" t="n"/>
      <c r="H17" s="7" t="n"/>
    </row>
    <row r="18" ht="14.25" customHeight="1">
      <c r="A18" s="4" t="inlineStr">
        <is>
          <t>本書有効期間</t>
        </is>
      </c>
      <c r="C18" s="4" t="inlineStr">
        <is>
          <t>６０日</t>
        </is>
      </c>
    </row>
    <row r="19" ht="22" customHeight="1">
      <c r="B19" s="8" t="str">
        <f>"お見積金額　　￥"&amp;TEXT(E33,"#,##0")&amp;"-　(税別)"</f>
        <v>お見積金額　　￥1,800,000-　(税別)</v>
      </c>
    </row>
    <row r="20" ht="6" customHeight="1"/>
    <row r="21" ht="18" customHeight="1">
      <c r="A21" s="9" t="inlineStr">
        <is>
          <t>項</t>
        </is>
      </c>
      <c r="B21" s="10" t="inlineStr">
        <is>
          <t>品　　　　　名</t>
        </is>
      </c>
      <c r="C21" s="11" t="n"/>
      <c r="D21" s="9" t="inlineStr">
        <is>
          <t>数　量</t>
        </is>
      </c>
      <c r="E21" s="10" t="inlineStr">
        <is>
          <t>金　　額</t>
        </is>
      </c>
      <c r="F21" s="11" t="n"/>
      <c r="G21" s="10" t="inlineStr">
        <is>
          <t>備　　　考</t>
        </is>
      </c>
      <c r="H21" s="11" t="n"/>
    </row>
    <row r="22" ht="15.75" customHeight="1">
      <c r="A22" s="12" t="n"/>
      <c r="B22" s="13" t="inlineStr">
        <is>
          <t>空気調和工事</t>
        </is>
      </c>
      <c r="C22" s="14" t="n"/>
      <c r="D22" s="12" t="n"/>
      <c r="E22" s="15" t="n"/>
      <c r="F22" s="14" t="n"/>
      <c r="G22" s="15" t="n"/>
      <c r="H22" s="16" t="n"/>
    </row>
    <row r="23" ht="15.75" customHeight="1">
      <c r="A23" s="17" t="inlineStr">
        <is>
          <t>1</t>
        </is>
      </c>
      <c r="B23" s="18" t="inlineStr">
        <is>
          <t>空調設備機器</t>
        </is>
      </c>
      <c r="C23" s="19" t="n"/>
      <c r="D23" s="17" t="inlineStr">
        <is>
          <t>一式</t>
        </is>
      </c>
      <c r="E23" s="20">
        <f>'明細(1)'!F31</f>
        <v>1655000</v>
      </c>
      <c r="F23" s="19" t="n"/>
      <c r="G23" s="21" t="n"/>
      <c r="H23" s="22" t="n"/>
    </row>
    <row r="24" ht="15.75" customHeight="1">
      <c r="A24" s="17" t="inlineStr">
        <is>
          <t>2</t>
        </is>
      </c>
      <c r="B24" s="18" t="inlineStr">
        <is>
          <t>空調設備工事</t>
        </is>
      </c>
      <c r="C24" s="19" t="n"/>
      <c r="D24" s="17" t="inlineStr">
        <is>
          <t>一式</t>
        </is>
      </c>
      <c r="E24" s="20">
        <f>'明細(1)'!F47</f>
        <v>711500</v>
      </c>
      <c r="F24" s="19" t="n"/>
      <c r="G24" s="21" t="n"/>
      <c r="H24" s="22" t="n"/>
    </row>
    <row r="25" ht="15.75" customHeight="1">
      <c r="A25" s="17" t="inlineStr">
        <is>
          <t>3</t>
        </is>
      </c>
      <c r="B25" s="18" t="inlineStr">
        <is>
          <t>アスベスト含有調査</t>
        </is>
      </c>
      <c r="C25" s="19" t="n"/>
      <c r="D25" s="17" t="inlineStr">
        <is>
          <t>一式</t>
        </is>
      </c>
      <c r="E25" s="20">
        <f>'明細(2)'!F12</f>
        <v>75000</v>
      </c>
      <c r="F25" s="19" t="n"/>
      <c r="G25" s="21" t="n"/>
      <c r="H25" s="22" t="n"/>
    </row>
    <row r="26" ht="15.75" customHeight="1">
      <c r="A26" s="21" t="n"/>
      <c r="B26" s="21" t="n"/>
      <c r="C26" s="19" t="n"/>
      <c r="D26" s="21" t="n"/>
      <c r="E26" s="21" t="n"/>
      <c r="F26" s="19" t="n"/>
      <c r="G26" s="21" t="n"/>
      <c r="H26" s="22" t="n"/>
    </row>
    <row r="27" ht="15.75" customHeight="1">
      <c r="A27" s="17" t="n"/>
      <c r="B27" s="18" t="inlineStr">
        <is>
          <t>機器本体</t>
        </is>
      </c>
      <c r="C27" s="19" t="n"/>
      <c r="D27" s="17" t="n"/>
      <c r="E27" s="21" t="n"/>
      <c r="F27" s="19" t="n"/>
      <c r="G27" s="21" t="n"/>
      <c r="H27" s="22" t="n"/>
    </row>
    <row r="28" ht="15.75" customHeight="1">
      <c r="A28" s="17" t="n"/>
      <c r="B28" s="18" t="inlineStr">
        <is>
          <t xml:space="preserve">　スカイエア</t>
        </is>
      </c>
      <c r="C28" s="19" t="n"/>
      <c r="D28" s="17" t="inlineStr">
        <is>
          <t>一式</t>
        </is>
      </c>
      <c r="E28" s="21" t="n"/>
      <c r="F28" s="19" t="n"/>
      <c r="G28" s="23">
        <f>'明細(1)'!F10</f>
        <v>1610000</v>
      </c>
      <c r="H28" s="22" t="n"/>
    </row>
    <row r="29" ht="15.75" customHeight="1">
      <c r="A29" s="17" t="n"/>
      <c r="B29" s="18" t="inlineStr">
        <is>
          <t>別売付属品</t>
        </is>
      </c>
      <c r="C29" s="19" t="n"/>
      <c r="D29" s="17" t="n"/>
      <c r="E29" s="21" t="n"/>
      <c r="F29" s="19" t="n"/>
      <c r="G29" s="21" t="n"/>
      <c r="H29" s="22" t="n"/>
    </row>
    <row r="30" ht="15.75" customHeight="1">
      <c r="A30" s="17" t="n"/>
      <c r="B30" s="18" t="inlineStr">
        <is>
          <t xml:space="preserve">　ダイキン別売品</t>
        </is>
      </c>
      <c r="C30" s="19" t="n"/>
      <c r="D30" s="17" t="inlineStr">
        <is>
          <t>一式</t>
        </is>
      </c>
      <c r="E30" s="21" t="n"/>
      <c r="F30" s="19" t="n"/>
      <c r="G30" s="23">
        <f>'明細(1)'!F26+'明細(1)'!F28</f>
        <v>45000</v>
      </c>
      <c r="H30" s="22" t="n"/>
    </row>
    <row r="31" ht="15.75" customHeight="1">
      <c r="A31" s="17" t="n"/>
      <c r="B31" s="18" t="inlineStr">
        <is>
          <t xml:space="preserve">　小計</t>
        </is>
      </c>
      <c r="C31" s="19" t="n"/>
      <c r="D31" s="17" t="n"/>
      <c r="E31" s="20">
        <f>SUM(E23,E24,E25)</f>
        <v>2441500</v>
      </c>
      <c r="F31" s="19" t="n"/>
      <c r="G31" s="21" t="n"/>
      <c r="H31" s="22" t="n"/>
    </row>
    <row r="32" ht="15.75" customHeight="1">
      <c r="A32" s="17" t="inlineStr">
        <is>
          <t>4</t>
        </is>
      </c>
      <c r="B32" s="18" t="inlineStr">
        <is>
          <t>出精値引</t>
        </is>
      </c>
      <c r="C32" s="19" t="n"/>
      <c r="D32" s="17" t="n"/>
      <c r="E32" s="20" t="n">
        <v>-641500</v>
      </c>
      <c r="F32" s="19" t="n"/>
      <c r="G32" s="21" t="n"/>
      <c r="H32" s="22" t="n"/>
    </row>
    <row r="33" ht="15.75" customHeight="1">
      <c r="A33" s="17" t="n"/>
      <c r="B33" s="24" t="inlineStr">
        <is>
          <t xml:space="preserve">　合計</t>
        </is>
      </c>
      <c r="C33" s="25" t="n"/>
      <c r="D33" s="26" t="n"/>
      <c r="E33" s="27">
        <f>E31+E32</f>
        <v>1800000</v>
      </c>
      <c r="F33" s="25" t="n"/>
      <c r="G33" s="28" t="n"/>
      <c r="H33" s="29" t="n"/>
    </row>
    <row r="34" ht="15.75" customHeight="1">
      <c r="A34" s="21" t="n"/>
      <c r="B34" s="21" t="n"/>
      <c r="C34" s="19" t="n"/>
      <c r="D34" s="21" t="n"/>
      <c r="E34" s="21" t="n"/>
      <c r="F34" s="19" t="n"/>
      <c r="G34" s="21" t="n"/>
      <c r="H34" s="22" t="n"/>
    </row>
    <row r="35" ht="15.75" customHeight="1">
      <c r="A35" s="21" t="n"/>
      <c r="B35" s="18" t="inlineStr">
        <is>
          <t>上記の工事費には、以下の法定福利費相当額を含んでいます。</t>
        </is>
      </c>
      <c r="C35" s="19" t="n"/>
      <c r="D35" s="19" t="n"/>
      <c r="E35" s="19" t="n"/>
      <c r="F35" s="19" t="n"/>
      <c r="G35" s="19" t="n"/>
      <c r="H35" s="22" t="n"/>
    </row>
    <row r="36" ht="15.75" customHeight="1">
      <c r="A36" s="21" t="n"/>
      <c r="B36" s="18" t="inlineStr">
        <is>
          <t>【法定福利相当額（Ａ）】29,016円　　　Ａ ＝ Ｙ × Ｚ</t>
        </is>
      </c>
      <c r="C36" s="19" t="n"/>
      <c r="D36" s="19" t="n"/>
      <c r="E36" s="19" t="n"/>
      <c r="F36" s="19" t="n"/>
      <c r="G36" s="19" t="n"/>
      <c r="H36" s="22" t="n"/>
    </row>
    <row r="37" ht="15.75" customHeight="1">
      <c r="A37" s="21" t="n"/>
      <c r="B37" s="18" t="inlineStr">
        <is>
          <t xml:space="preserve">　Ｙ：労務費相当額</t>
        </is>
      </c>
      <c r="C37" s="19" t="n"/>
      <c r="D37" s="19" t="n"/>
      <c r="E37" s="19" t="n"/>
      <c r="F37" s="19" t="n"/>
      <c r="G37" s="19" t="n"/>
      <c r="H37" s="22" t="n"/>
    </row>
    <row r="38" ht="15.75" customHeight="1">
      <c r="A38" s="21" t="n"/>
      <c r="B38" s="18" t="inlineStr">
        <is>
          <t xml:space="preserve">　Ｚ：法定福利費事業者負担率（合計値：　16.04／100）</t>
        </is>
      </c>
      <c r="C38" s="19" t="n"/>
      <c r="D38" s="19" t="n"/>
      <c r="E38" s="19" t="n"/>
      <c r="F38" s="19" t="n"/>
      <c r="G38" s="19" t="n"/>
      <c r="H38" s="22" t="n"/>
    </row>
    <row r="39" ht="15.75" customHeight="1">
      <c r="A39" s="21" t="n"/>
      <c r="B39" s="21" t="n"/>
      <c r="C39" s="19" t="n"/>
      <c r="D39" s="21" t="n"/>
      <c r="E39" s="21" t="n"/>
      <c r="F39" s="19" t="n"/>
      <c r="G39" s="21" t="n"/>
      <c r="H39" s="22" t="n"/>
    </row>
    <row r="40" ht="15.75" customHeight="1">
      <c r="A40" s="21" t="n"/>
      <c r="B40" s="21" t="n"/>
      <c r="C40" s="19" t="n"/>
      <c r="D40" s="21" t="n"/>
      <c r="E40" s="21" t="n"/>
      <c r="F40" s="19" t="n"/>
      <c r="G40" s="21" t="n"/>
      <c r="H40" s="22" t="n"/>
    </row>
    <row r="41" ht="15.75" customHeight="1">
      <c r="A41" s="21" t="n"/>
      <c r="B41" s="21" t="n"/>
      <c r="C41" s="19" t="n"/>
      <c r="D41" s="21" t="n"/>
      <c r="E41" s="21" t="n"/>
      <c r="F41" s="19" t="n"/>
      <c r="G41" s="21" t="n"/>
      <c r="H41" s="22" t="n"/>
    </row>
    <row r="42" ht="15.75" customHeight="1">
      <c r="A42" s="21" t="n"/>
      <c r="B42" s="21" t="n"/>
      <c r="C42" s="19" t="n"/>
      <c r="D42" s="21" t="n"/>
      <c r="E42" s="21" t="n"/>
      <c r="F42" s="19" t="n"/>
      <c r="G42" s="21" t="n"/>
      <c r="H42" s="22" t="n"/>
    </row>
    <row r="43" ht="15.75" customHeight="1">
      <c r="A43" s="21" t="n"/>
      <c r="B43" s="21" t="n"/>
      <c r="C43" s="19" t="n"/>
      <c r="D43" s="21" t="n"/>
      <c r="E43" s="21" t="n"/>
      <c r="F43" s="19" t="n"/>
      <c r="G43" s="21" t="n"/>
      <c r="H43" s="22" t="n"/>
    </row>
    <row r="44" ht="15.75" customHeight="1">
      <c r="A44" s="21" t="n"/>
      <c r="B44" s="21" t="n"/>
      <c r="C44" s="19" t="n"/>
      <c r="D44" s="21" t="n"/>
      <c r="E44" s="21" t="n"/>
      <c r="F44" s="19" t="n"/>
      <c r="G44" s="21" t="n"/>
      <c r="H44" s="22" t="n"/>
    </row>
    <row r="45" ht="15.75" customHeight="1">
      <c r="A45" s="21" t="n"/>
      <c r="B45" s="21" t="n"/>
      <c r="C45" s="19" t="n"/>
      <c r="D45" s="21" t="n"/>
      <c r="E45" s="21" t="n"/>
      <c r="F45" s="19" t="n"/>
      <c r="G45" s="21" t="n"/>
      <c r="H45" s="22" t="n"/>
    </row>
    <row r="46" ht="15.75" customHeight="1">
      <c r="A46" s="30" t="n"/>
      <c r="B46" s="30" t="n"/>
      <c r="C46" s="31" t="n"/>
      <c r="D46" s="30" t="n"/>
      <c r="E46" s="30" t="n"/>
      <c r="F46" s="31" t="n"/>
      <c r="G46" s="30" t="n"/>
      <c r="H46" s="32" t="n"/>
    </row>
    <row r="47" ht="16" customHeight="1">
      <c r="B47" s="4" t="inlineStr">
        <is>
          <t>※本見積は、2026/11月からの価格で作成しております。</t>
        </is>
      </c>
    </row>
  </sheetData>
  <mergeCells count="101">
    <mergeCell ref="G21:H21"/>
    <mergeCell ref="A15:B15"/>
    <mergeCell ref="C15:D15"/>
    <mergeCell ref="B22:C22"/>
    <mergeCell ref="E23:F23"/>
    <mergeCell ref="G23:H23"/>
    <mergeCell ref="B31:C31"/>
    <mergeCell ref="B21:C21"/>
    <mergeCell ref="B35:H35"/>
    <mergeCell ref="E34:F34"/>
    <mergeCell ref="G34:H34"/>
    <mergeCell ref="E27:F27"/>
    <mergeCell ref="A7:D7"/>
    <mergeCell ref="F15:F17"/>
    <mergeCell ref="A17:B17"/>
    <mergeCell ref="B40:C40"/>
    <mergeCell ref="C17:D17"/>
    <mergeCell ref="E10:H10"/>
    <mergeCell ref="B24:C24"/>
    <mergeCell ref="B33:C33"/>
    <mergeCell ref="E22:F22"/>
    <mergeCell ref="B32:C32"/>
    <mergeCell ref="G44:H44"/>
    <mergeCell ref="G22:H22"/>
    <mergeCell ref="B26:C26"/>
    <mergeCell ref="B41:C41"/>
    <mergeCell ref="B37:H37"/>
    <mergeCell ref="B25:C25"/>
    <mergeCell ref="C14:D14"/>
    <mergeCell ref="B27:C27"/>
    <mergeCell ref="E40:F40"/>
    <mergeCell ref="E5:H5"/>
    <mergeCell ref="E14:H14"/>
    <mergeCell ref="B29:C29"/>
    <mergeCell ref="G24:H24"/>
    <mergeCell ref="A2:H2"/>
    <mergeCell ref="E4:H4"/>
    <mergeCell ref="G33:H33"/>
    <mergeCell ref="E26:F26"/>
    <mergeCell ref="G26:H26"/>
    <mergeCell ref="E25:F25"/>
    <mergeCell ref="G25:H25"/>
    <mergeCell ref="C18:D18"/>
    <mergeCell ref="A8:D8"/>
    <mergeCell ref="G42:H42"/>
    <mergeCell ref="E39:F39"/>
    <mergeCell ref="G39:H39"/>
    <mergeCell ref="B43:C43"/>
    <mergeCell ref="E44:F44"/>
    <mergeCell ref="E29:F29"/>
    <mergeCell ref="H15:H17"/>
    <mergeCell ref="B42:C42"/>
    <mergeCell ref="B47:H47"/>
    <mergeCell ref="E31:F31"/>
    <mergeCell ref="B44:C44"/>
    <mergeCell ref="E46:F46"/>
    <mergeCell ref="B34:C34"/>
    <mergeCell ref="B28:C28"/>
    <mergeCell ref="A14:B14"/>
    <mergeCell ref="E13:H13"/>
    <mergeCell ref="B30:C30"/>
    <mergeCell ref="E32:F32"/>
    <mergeCell ref="G32:H32"/>
    <mergeCell ref="E41:F41"/>
    <mergeCell ref="E6:H6"/>
    <mergeCell ref="G41:H41"/>
    <mergeCell ref="B45:C45"/>
    <mergeCell ref="E15:E17"/>
    <mergeCell ref="G15:G17"/>
    <mergeCell ref="E43:F43"/>
    <mergeCell ref="G43:H43"/>
    <mergeCell ref="E24:F24"/>
    <mergeCell ref="E33:F33"/>
    <mergeCell ref="G27:H27"/>
    <mergeCell ref="B46:C46"/>
    <mergeCell ref="E42:F42"/>
    <mergeCell ref="B39:C39"/>
    <mergeCell ref="B36:H36"/>
    <mergeCell ref="B19:G19"/>
    <mergeCell ref="A16:B16"/>
    <mergeCell ref="C16:D16"/>
    <mergeCell ref="B23:C23"/>
    <mergeCell ref="E28:F28"/>
    <mergeCell ref="G28:H28"/>
    <mergeCell ref="A18:B18"/>
    <mergeCell ref="G3:H3"/>
    <mergeCell ref="E30:F30"/>
    <mergeCell ref="A6:D6"/>
    <mergeCell ref="G30:H30"/>
    <mergeCell ref="E45:F45"/>
    <mergeCell ref="G45:H45"/>
    <mergeCell ref="G29:H29"/>
    <mergeCell ref="A3:D3"/>
    <mergeCell ref="A13:B13"/>
    <mergeCell ref="B38:H38"/>
    <mergeCell ref="G31:H31"/>
    <mergeCell ref="C13:D13"/>
    <mergeCell ref="G46:H46"/>
    <mergeCell ref="G40:H40"/>
    <mergeCell ref="E11:H11"/>
    <mergeCell ref="E21:F21"/>
  </mergeCells>
  <printOptions horizontalCentered="1"/>
  <pageMargins left="0.45" right="0.45" top="0.5" bottom="0.4" header="0.2" footer="0.2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2:G5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4.5" customWidth="1" min="3" max="3"/>
    <col width="7.5" customWidth="1" min="4" max="4"/>
    <col width="7.5" customWidth="1" min="5" max="5"/>
    <col width="16" customWidth="1" min="6" max="6"/>
    <col width="18" customWidth="1" min="7" max="7"/>
  </cols>
  <sheetData>
    <row r="1" ht="6" customHeight="1"/>
    <row r="2" ht="14" customHeight="1">
      <c r="F2" s="4" t="inlineStr">
        <is>
          <t>PAGE No. 2</t>
        </is>
      </c>
    </row>
    <row r="3" ht="14" customHeight="1">
      <c r="F3" s="4" t="inlineStr">
        <is>
          <t>見積番号　6330515-2</t>
        </is>
      </c>
    </row>
    <row r="4" ht="8" customHeight="1"/>
    <row r="5" ht="18" customHeight="1">
      <c r="A5" s="9" t="inlineStr">
        <is>
          <t>品　　　　名</t>
        </is>
      </c>
      <c r="B5" s="10" t="inlineStr">
        <is>
          <t>数　量</t>
        </is>
      </c>
      <c r="C5" s="11" t="n"/>
      <c r="D5" s="10" t="inlineStr">
        <is>
          <t>単 価(税別)</t>
        </is>
      </c>
      <c r="E5" s="11" t="n"/>
      <c r="F5" s="9" t="inlineStr">
        <is>
          <t>価 格(税別)</t>
        </is>
      </c>
      <c r="G5" s="9" t="inlineStr">
        <is>
          <t>備　　　考</t>
        </is>
      </c>
    </row>
    <row r="6" ht="15.75" customHeight="1">
      <c r="A6" s="13" t="inlineStr">
        <is>
          <t>1 空調設備機器</t>
        </is>
      </c>
      <c r="B6" s="15" t="n"/>
      <c r="C6" s="14" t="n"/>
      <c r="D6" s="15" t="n"/>
      <c r="E6" s="14" t="n"/>
      <c r="F6" s="15" t="n"/>
      <c r="G6" s="33" t="n"/>
    </row>
    <row r="7" ht="15.75" customHeight="1">
      <c r="A7" s="18" t="inlineStr">
        <is>
          <t>ACP-1</t>
        </is>
      </c>
      <c r="B7" s="21" t="n"/>
      <c r="C7" s="19" t="n"/>
      <c r="D7" s="21" t="n"/>
      <c r="E7" s="19" t="n"/>
      <c r="F7" s="21" t="n"/>
      <c r="G7" s="34" t="n"/>
    </row>
    <row r="8" ht="15.75" customHeight="1">
      <c r="A8" s="18" t="inlineStr">
        <is>
          <t>スカイエア</t>
        </is>
      </c>
      <c r="B8" s="21" t="n"/>
      <c r="C8" s="19" t="n"/>
      <c r="D8" s="21" t="n"/>
      <c r="E8" s="19" t="n"/>
      <c r="F8" s="21" t="n"/>
      <c r="G8" s="34" t="n"/>
    </row>
    <row r="9" ht="15.75" customHeight="1">
      <c r="A9" s="18" t="inlineStr">
        <is>
          <t>ＦＩＶＥ　ＳＴＡＲ　天井吊形</t>
        </is>
      </c>
      <c r="B9" s="21" t="n"/>
      <c r="C9" s="19" t="n"/>
      <c r="D9" s="21" t="n"/>
      <c r="E9" s="19" t="n"/>
      <c r="F9" s="21" t="n"/>
      <c r="G9" s="34" t="n"/>
    </row>
    <row r="10" ht="15.75" customHeight="1">
      <c r="A10" s="35" t="inlineStr">
        <is>
          <t>SSRH280DD</t>
        </is>
      </c>
      <c r="B10" s="36" t="n">
        <v>1</v>
      </c>
      <c r="C10" s="37" t="inlineStr">
        <is>
          <t xml:space="preserve"> 台</t>
        </is>
      </c>
      <c r="D10" s="20" t="n">
        <v>1610000</v>
      </c>
      <c r="E10" s="19" t="n"/>
      <c r="F10" s="20">
        <f>B10*D10</f>
        <v>1610000</v>
      </c>
      <c r="G10" s="38" t="inlineStr">
        <is>
          <t>内機2台・外機1台</t>
        </is>
      </c>
    </row>
    <row r="11" ht="15.75" customHeight="1">
      <c r="A11" s="18" t="inlineStr">
        <is>
          <t xml:space="preserve">　グリーン購入法適合</t>
        </is>
      </c>
      <c r="B11" s="19" t="n"/>
      <c r="C11" s="19" t="n"/>
      <c r="D11" s="19" t="n"/>
      <c r="E11" s="19" t="n"/>
      <c r="F11" s="21" t="n"/>
      <c r="G11" s="34" t="n"/>
    </row>
    <row r="12" ht="15.75" customHeight="1">
      <c r="A12" s="18" t="inlineStr">
        <is>
          <t xml:space="preserve">　定格冷房標準能力</t>
        </is>
      </c>
      <c r="B12" s="37" t="inlineStr">
        <is>
          <t>25.0(11.3～28.0)</t>
        </is>
      </c>
      <c r="C12" s="39" t="n"/>
      <c r="D12" s="39" t="n"/>
      <c r="E12" s="37" t="inlineStr">
        <is>
          <t>ｋＷ</t>
        </is>
      </c>
      <c r="F12" s="21" t="n"/>
      <c r="G12" s="34" t="n"/>
    </row>
    <row r="13" ht="15.75" customHeight="1">
      <c r="A13" s="18" t="inlineStr">
        <is>
          <t xml:space="preserve">　定格暖房標準能力</t>
        </is>
      </c>
      <c r="B13" s="37" t="inlineStr">
        <is>
          <t>28.0(12.6～35.0)</t>
        </is>
      </c>
      <c r="C13" s="39" t="n"/>
      <c r="D13" s="39" t="n"/>
      <c r="E13" s="37" t="inlineStr">
        <is>
          <t>ｋＷ</t>
        </is>
      </c>
      <c r="F13" s="21" t="n"/>
      <c r="G13" s="34" t="n"/>
    </row>
    <row r="14" ht="15.75" customHeight="1">
      <c r="A14" s="18" t="inlineStr">
        <is>
          <t xml:space="preserve">　ＡＰＦ２０１５</t>
        </is>
      </c>
      <c r="B14" s="37" t="inlineStr">
        <is>
          <t>4.8</t>
        </is>
      </c>
      <c r="C14" s="39" t="n"/>
      <c r="D14" s="39" t="n"/>
      <c r="E14" s="19" t="n"/>
      <c r="F14" s="21" t="n"/>
      <c r="G14" s="34" t="n"/>
    </row>
    <row r="15" ht="15.75" customHeight="1">
      <c r="A15" s="18" t="inlineStr">
        <is>
          <t xml:space="preserve">　定格冷房消費電力</t>
        </is>
      </c>
      <c r="B15" s="37" t="inlineStr">
        <is>
          <t>9.75</t>
        </is>
      </c>
      <c r="C15" s="39" t="n"/>
      <c r="D15" s="39" t="n"/>
      <c r="E15" s="37" t="inlineStr">
        <is>
          <t>ｋＷ</t>
        </is>
      </c>
      <c r="F15" s="21" t="n"/>
      <c r="G15" s="34" t="n"/>
    </row>
    <row r="16" ht="15.75" customHeight="1">
      <c r="A16" s="18" t="inlineStr">
        <is>
          <t xml:space="preserve">　定格暖房消費電力</t>
        </is>
      </c>
      <c r="B16" s="37" t="inlineStr">
        <is>
          <t>8.57</t>
        </is>
      </c>
      <c r="C16" s="39" t="n"/>
      <c r="D16" s="39" t="n"/>
      <c r="E16" s="37" t="inlineStr">
        <is>
          <t>ｋＷ</t>
        </is>
      </c>
      <c r="F16" s="21" t="n"/>
      <c r="G16" s="34" t="n"/>
    </row>
    <row r="17" ht="15.75" customHeight="1">
      <c r="A17" s="18" t="inlineStr">
        <is>
          <t xml:space="preserve">　室内ファン風量強</t>
        </is>
      </c>
      <c r="B17" s="37" t="inlineStr">
        <is>
          <t>(28)×2</t>
        </is>
      </c>
      <c r="C17" s="39" t="n"/>
      <c r="D17" s="39" t="n"/>
      <c r="E17" s="37" t="inlineStr">
        <is>
          <t>ｍ３／ｍｉｎ</t>
        </is>
      </c>
      <c r="F17" s="21" t="n"/>
      <c r="G17" s="34" t="n"/>
    </row>
    <row r="18" ht="15.75" customHeight="1">
      <c r="A18" s="18" t="inlineStr">
        <is>
          <t xml:space="preserve">　室内ファン電動機出力</t>
        </is>
      </c>
      <c r="B18" s="37" t="inlineStr">
        <is>
          <t>(150×1)×2</t>
        </is>
      </c>
      <c r="C18" s="39" t="n"/>
      <c r="D18" s="39" t="n"/>
      <c r="E18" s="37" t="inlineStr">
        <is>
          <t>Ｗ</t>
        </is>
      </c>
      <c r="F18" s="21" t="n"/>
      <c r="G18" s="34" t="n"/>
    </row>
    <row r="19" ht="15.75" customHeight="1">
      <c r="A19" s="18" t="inlineStr">
        <is>
          <t xml:space="preserve">　室外ファン風量</t>
        </is>
      </c>
      <c r="B19" s="37" t="inlineStr">
        <is>
          <t>163</t>
        </is>
      </c>
      <c r="C19" s="39" t="n"/>
      <c r="D19" s="39" t="n"/>
      <c r="E19" s="37" t="inlineStr">
        <is>
          <t>ｍ３／ｍｉｎ</t>
        </is>
      </c>
      <c r="F19" s="21" t="n"/>
      <c r="G19" s="34" t="n"/>
    </row>
    <row r="20" ht="15.75" customHeight="1">
      <c r="A20" s="18" t="inlineStr">
        <is>
          <t xml:space="preserve">　室外ファン電動機出力</t>
        </is>
      </c>
      <c r="B20" s="37" t="inlineStr">
        <is>
          <t>(227+227)×1</t>
        </is>
      </c>
      <c r="C20" s="39" t="n"/>
      <c r="D20" s="39" t="n"/>
      <c r="E20" s="37" t="inlineStr">
        <is>
          <t>Ｗ</t>
        </is>
      </c>
      <c r="F20" s="21" t="n"/>
      <c r="G20" s="34" t="n"/>
    </row>
    <row r="21" ht="15.75" customHeight="1">
      <c r="A21" s="18" t="inlineStr">
        <is>
          <t xml:space="preserve">　圧縮機電動機出力</t>
        </is>
      </c>
      <c r="B21" s="37" t="inlineStr">
        <is>
          <t>5.90</t>
        </is>
      </c>
      <c r="C21" s="39" t="n"/>
      <c r="D21" s="39" t="n"/>
      <c r="E21" s="37" t="inlineStr">
        <is>
          <t>ｋＷ</t>
        </is>
      </c>
      <c r="F21" s="21" t="n"/>
      <c r="G21" s="34" t="n"/>
    </row>
    <row r="22" ht="15.75" customHeight="1">
      <c r="A22" s="18" t="inlineStr">
        <is>
          <t xml:space="preserve">　電源　３相　２００Ｖ６０Ｈｚ</t>
        </is>
      </c>
      <c r="B22" s="19" t="n"/>
      <c r="C22" s="19" t="n"/>
      <c r="D22" s="19" t="n"/>
      <c r="E22" s="19" t="n"/>
      <c r="F22" s="21" t="n"/>
      <c r="G22" s="34" t="n"/>
    </row>
    <row r="23" ht="15.75" customHeight="1">
      <c r="A23" s="18" t="inlineStr">
        <is>
          <t xml:space="preserve">　外形寸法（Ｗ×Ｌ×Ｈ）・質量</t>
        </is>
      </c>
      <c r="B23" s="19" t="n"/>
      <c r="C23" s="19" t="n"/>
      <c r="D23" s="19" t="n"/>
      <c r="E23" s="19" t="n"/>
      <c r="F23" s="21" t="n"/>
      <c r="G23" s="34" t="n"/>
    </row>
    <row r="24" ht="15.75" customHeight="1">
      <c r="A24" s="18" t="inlineStr">
        <is>
          <t xml:space="preserve">　　室内機　1590× 690× 235mm</t>
        </is>
      </c>
      <c r="B24" s="37" t="inlineStr">
        <is>
          <t>40kg　×2</t>
        </is>
      </c>
      <c r="C24" s="39" t="n"/>
      <c r="D24" s="39" t="n"/>
      <c r="E24" s="19" t="n"/>
      <c r="F24" s="21" t="n"/>
      <c r="G24" s="34" t="n"/>
    </row>
    <row r="25" ht="15.75" customHeight="1">
      <c r="A25" s="18" t="inlineStr">
        <is>
          <t xml:space="preserve">　　室外機　 940× 320×1430mm</t>
        </is>
      </c>
      <c r="B25" s="37" t="inlineStr">
        <is>
          <t>123kg　×1</t>
        </is>
      </c>
      <c r="C25" s="39" t="n"/>
      <c r="D25" s="39" t="n"/>
      <c r="E25" s="19" t="n"/>
      <c r="F25" s="21" t="n"/>
      <c r="G25" s="34" t="n"/>
    </row>
    <row r="26" ht="15.75" customHeight="1">
      <c r="A26" s="35" t="inlineStr">
        <is>
          <t>BRC1G4</t>
        </is>
      </c>
      <c r="B26" s="36" t="n">
        <v>1</v>
      </c>
      <c r="C26" s="37" t="inlineStr">
        <is>
          <t xml:space="preserve"> 式</t>
        </is>
      </c>
      <c r="D26" s="20" t="n">
        <v>23000</v>
      </c>
      <c r="E26" s="19" t="n"/>
      <c r="F26" s="20">
        <f>B26*D26</f>
        <v>23000</v>
      </c>
      <c r="G26" s="34" t="n"/>
    </row>
    <row r="27" ht="15.75" customHeight="1">
      <c r="A27" s="18" t="inlineStr">
        <is>
          <t xml:space="preserve">　運転リモコン・液晶ワイヤード</t>
        </is>
      </c>
      <c r="B27" s="19" t="n"/>
      <c r="C27" s="19" t="n"/>
      <c r="D27" s="19" t="n"/>
      <c r="E27" s="19" t="n"/>
      <c r="F27" s="21" t="n"/>
      <c r="G27" s="34" t="n"/>
    </row>
    <row r="28" ht="15.75" customHeight="1">
      <c r="A28" s="35" t="inlineStr">
        <is>
          <t>BRE50B2F</t>
        </is>
      </c>
      <c r="B28" s="36" t="n">
        <v>2</v>
      </c>
      <c r="C28" s="37" t="inlineStr">
        <is>
          <t xml:space="preserve"> 式</t>
        </is>
      </c>
      <c r="D28" s="20" t="n">
        <v>11000</v>
      </c>
      <c r="E28" s="19" t="n"/>
      <c r="F28" s="20">
        <f>B28*D28</f>
        <v>22000</v>
      </c>
      <c r="G28" s="34" t="n"/>
    </row>
    <row r="29" ht="15.75" customHeight="1">
      <c r="A29" s="18" t="inlineStr">
        <is>
          <t xml:space="preserve">　センシングユニット（センサーキット）</t>
        </is>
      </c>
      <c r="B29" s="19" t="n"/>
      <c r="C29" s="19" t="n"/>
      <c r="D29" s="19" t="n"/>
      <c r="E29" s="19" t="n"/>
      <c r="F29" s="21" t="n"/>
      <c r="G29" s="34" t="n"/>
    </row>
    <row r="30" ht="15.75" customHeight="1">
      <c r="A30" s="21" t="n"/>
      <c r="B30" s="21" t="n"/>
      <c r="C30" s="19" t="n"/>
      <c r="D30" s="21" t="n"/>
      <c r="E30" s="19" t="n"/>
      <c r="F30" s="21" t="n"/>
      <c r="G30" s="34" t="n"/>
    </row>
    <row r="31" ht="15.75" customHeight="1">
      <c r="A31" s="18" t="inlineStr">
        <is>
          <t xml:space="preserve">　機器合計</t>
        </is>
      </c>
      <c r="B31" s="21" t="n"/>
      <c r="C31" s="19" t="n"/>
      <c r="D31" s="21" t="n"/>
      <c r="E31" s="19" t="n"/>
      <c r="F31" s="20">
        <f>SUM(F10,F26,F28)</f>
        <v>1655000</v>
      </c>
      <c r="G31" s="34" t="n"/>
    </row>
    <row r="32" ht="15.75" customHeight="1">
      <c r="A32" s="21" t="n"/>
      <c r="B32" s="21" t="n"/>
      <c r="C32" s="19" t="n"/>
      <c r="D32" s="21" t="n"/>
      <c r="E32" s="19" t="n"/>
      <c r="F32" s="21" t="n"/>
      <c r="G32" s="34" t="n"/>
    </row>
    <row r="33" ht="15.75" customHeight="1">
      <c r="A33" s="18" t="inlineStr">
        <is>
          <t>2 空調設備工事</t>
        </is>
      </c>
      <c r="B33" s="21" t="n"/>
      <c r="C33" s="19" t="n"/>
      <c r="D33" s="21" t="n"/>
      <c r="E33" s="19" t="n"/>
      <c r="F33" s="21" t="n"/>
      <c r="G33" s="34" t="n"/>
    </row>
    <row r="34" ht="15.75" customHeight="1">
      <c r="A34" s="35" t="inlineStr">
        <is>
          <t xml:space="preserve">　搬入据付工事費</t>
        </is>
      </c>
      <c r="B34" s="36" t="n">
        <v>1</v>
      </c>
      <c r="C34" s="37" t="inlineStr">
        <is>
          <t xml:space="preserve"> 式</t>
        </is>
      </c>
      <c r="D34" s="21" t="n"/>
      <c r="E34" s="19" t="n"/>
      <c r="F34" s="20" t="n">
        <v>53750</v>
      </c>
      <c r="G34" s="34" t="n"/>
    </row>
    <row r="35" ht="15.75" customHeight="1">
      <c r="A35" s="35" t="inlineStr">
        <is>
          <t xml:space="preserve">　基礎工事費</t>
        </is>
      </c>
      <c r="B35" s="36" t="n">
        <v>1</v>
      </c>
      <c r="C35" s="37" t="inlineStr">
        <is>
          <t xml:space="preserve"> 式</t>
        </is>
      </c>
      <c r="D35" s="21" t="n"/>
      <c r="E35" s="19" t="n"/>
      <c r="F35" s="20" t="n">
        <v>7500</v>
      </c>
      <c r="G35" s="34" t="n"/>
    </row>
    <row r="36" ht="15.75" customHeight="1">
      <c r="A36" s="35" t="inlineStr">
        <is>
          <t xml:space="preserve">　リモコン配線工事費</t>
        </is>
      </c>
      <c r="B36" s="36" t="n">
        <v>1</v>
      </c>
      <c r="C36" s="37" t="inlineStr">
        <is>
          <t xml:space="preserve"> 式</t>
        </is>
      </c>
      <c r="D36" s="21" t="n"/>
      <c r="E36" s="19" t="n"/>
      <c r="F36" s="20" t="n">
        <v>9630</v>
      </c>
      <c r="G36" s="34" t="n"/>
    </row>
    <row r="37" ht="15.75" customHeight="1">
      <c r="A37" s="35" t="inlineStr">
        <is>
          <t xml:space="preserve">　冷媒配管工事費</t>
        </is>
      </c>
      <c r="B37" s="36" t="n">
        <v>1</v>
      </c>
      <c r="C37" s="37" t="inlineStr">
        <is>
          <t xml:space="preserve"> 式</t>
        </is>
      </c>
      <c r="D37" s="21" t="n"/>
      <c r="E37" s="19" t="n"/>
      <c r="F37" s="20" t="n">
        <v>246398</v>
      </c>
      <c r="G37" s="38" t="inlineStr">
        <is>
          <t>ドレン管・連絡線含む</t>
        </is>
      </c>
    </row>
    <row r="38" ht="15.75" customHeight="1">
      <c r="A38" s="35" t="inlineStr">
        <is>
          <t xml:space="preserve">　重機費（高所作業車）</t>
        </is>
      </c>
      <c r="B38" s="36" t="n">
        <v>1</v>
      </c>
      <c r="C38" s="37" t="inlineStr">
        <is>
          <t xml:space="preserve"> 式</t>
        </is>
      </c>
      <c r="D38" s="21" t="n"/>
      <c r="E38" s="19" t="n"/>
      <c r="F38" s="20" t="n">
        <v>56250</v>
      </c>
      <c r="G38" s="38" t="inlineStr">
        <is>
          <t>レッカー等</t>
        </is>
      </c>
    </row>
    <row r="39" ht="15.75" customHeight="1">
      <c r="A39" s="35" t="inlineStr">
        <is>
          <t xml:space="preserve">　既設機器撤去工事費</t>
        </is>
      </c>
      <c r="B39" s="36" t="n">
        <v>1</v>
      </c>
      <c r="C39" s="37" t="inlineStr">
        <is>
          <t xml:space="preserve"> 式</t>
        </is>
      </c>
      <c r="D39" s="21" t="n"/>
      <c r="E39" s="19" t="n"/>
      <c r="F39" s="20" t="n">
        <v>81250</v>
      </c>
      <c r="G39" s="34" t="n"/>
    </row>
    <row r="40" ht="15.75" customHeight="1">
      <c r="A40" s="35" t="inlineStr">
        <is>
          <t xml:space="preserve">　配管保温工事費（カラー鉄板ラッキング）</t>
        </is>
      </c>
      <c r="B40" s="36" t="n">
        <v>1</v>
      </c>
      <c r="C40" s="37" t="inlineStr">
        <is>
          <t xml:space="preserve"> 式</t>
        </is>
      </c>
      <c r="D40" s="21" t="n"/>
      <c r="E40" s="19" t="n"/>
      <c r="F40" s="20" t="n">
        <v>41000</v>
      </c>
      <c r="G40" s="38" t="inlineStr">
        <is>
          <t>ラッキング切廻し含む</t>
        </is>
      </c>
    </row>
    <row r="41" ht="15.75" customHeight="1">
      <c r="A41" s="35" t="inlineStr">
        <is>
          <t xml:space="preserve">　電気工事費</t>
        </is>
      </c>
      <c r="B41" s="36" t="n">
        <v>1</v>
      </c>
      <c r="C41" s="37" t="inlineStr">
        <is>
          <t xml:space="preserve"> 式</t>
        </is>
      </c>
      <c r="D41" s="21" t="n"/>
      <c r="E41" s="19" t="n"/>
      <c r="F41" s="20" t="n">
        <v>31250</v>
      </c>
      <c r="G41" s="38" t="inlineStr">
        <is>
          <t>電源線脱着</t>
        </is>
      </c>
    </row>
    <row r="42" ht="15.75" customHeight="1">
      <c r="A42" s="35" t="inlineStr">
        <is>
          <t xml:space="preserve">　試運転調整費</t>
        </is>
      </c>
      <c r="B42" s="36" t="n">
        <v>1</v>
      </c>
      <c r="C42" s="37" t="inlineStr">
        <is>
          <t xml:space="preserve"> 式</t>
        </is>
      </c>
      <c r="D42" s="21" t="n"/>
      <c r="E42" s="19" t="n"/>
      <c r="F42" s="20" t="n">
        <v>12500</v>
      </c>
      <c r="G42" s="34" t="n"/>
    </row>
    <row r="43" ht="15.75" customHeight="1">
      <c r="A43" s="35" t="inlineStr">
        <is>
          <t xml:space="preserve">　冷媒回収、破壊処理費</t>
        </is>
      </c>
      <c r="B43" s="36" t="n">
        <v>1</v>
      </c>
      <c r="C43" s="37" t="inlineStr">
        <is>
          <t xml:space="preserve"> 式</t>
        </is>
      </c>
      <c r="D43" s="21" t="n"/>
      <c r="E43" s="19" t="n"/>
      <c r="F43" s="20" t="n">
        <v>31250</v>
      </c>
      <c r="G43" s="34" t="n"/>
    </row>
    <row r="44" ht="15.75" customHeight="1">
      <c r="A44" s="35" t="inlineStr">
        <is>
          <t xml:space="preserve">　雑材消耗品</t>
        </is>
      </c>
      <c r="B44" s="36" t="n">
        <v>1</v>
      </c>
      <c r="C44" s="37" t="inlineStr">
        <is>
          <t xml:space="preserve"> 式</t>
        </is>
      </c>
      <c r="D44" s="21" t="n"/>
      <c r="E44" s="19" t="n"/>
      <c r="F44" s="20" t="n">
        <v>17400</v>
      </c>
      <c r="G44" s="34" t="n"/>
    </row>
    <row r="45" ht="15.75" customHeight="1">
      <c r="A45" s="35" t="inlineStr">
        <is>
          <t xml:space="preserve">　資材運搬交通費</t>
        </is>
      </c>
      <c r="B45" s="36" t="n">
        <v>1</v>
      </c>
      <c r="C45" s="37" t="inlineStr">
        <is>
          <t xml:space="preserve"> 式</t>
        </is>
      </c>
      <c r="D45" s="21" t="n"/>
      <c r="E45" s="19" t="n"/>
      <c r="F45" s="20" t="n">
        <v>27100</v>
      </c>
      <c r="G45" s="34" t="n"/>
    </row>
    <row r="46" ht="15.75" customHeight="1">
      <c r="A46" s="35" t="inlineStr">
        <is>
          <t xml:space="preserve">　現場雑費</t>
        </is>
      </c>
      <c r="B46" s="36" t="n">
        <v>1</v>
      </c>
      <c r="C46" s="37" t="inlineStr">
        <is>
          <t xml:space="preserve"> 式</t>
        </is>
      </c>
      <c r="D46" s="21" t="n"/>
      <c r="E46" s="19" t="n"/>
      <c r="F46" s="20" t="n">
        <v>96222</v>
      </c>
      <c r="G46" s="38" t="inlineStr">
        <is>
          <t>工事諸経費含む</t>
        </is>
      </c>
    </row>
    <row r="47" ht="15.75" customHeight="1">
      <c r="A47" s="18" t="inlineStr">
        <is>
          <t xml:space="preserve">　－ 計 －</t>
        </is>
      </c>
      <c r="B47" s="21" t="n"/>
      <c r="C47" s="19" t="n"/>
      <c r="D47" s="21" t="n"/>
      <c r="E47" s="19" t="n"/>
      <c r="F47" s="20">
        <f>SUM(F34:F46)</f>
        <v>711500</v>
      </c>
      <c r="G47" s="34" t="n"/>
    </row>
    <row r="48" ht="15.75" customHeight="1">
      <c r="A48" s="21" t="n"/>
      <c r="B48" s="21" t="n"/>
      <c r="C48" s="19" t="n"/>
      <c r="D48" s="21" t="n"/>
      <c r="E48" s="19" t="n"/>
      <c r="F48" s="21" t="n"/>
      <c r="G48" s="34" t="n"/>
    </row>
    <row r="49" ht="15.75" customHeight="1">
      <c r="A49" s="21" t="n"/>
      <c r="B49" s="21" t="n"/>
      <c r="C49" s="19" t="n"/>
      <c r="D49" s="21" t="n"/>
      <c r="E49" s="19" t="n"/>
      <c r="F49" s="21" t="n"/>
      <c r="G49" s="34" t="n"/>
    </row>
    <row r="50" ht="15.75" customHeight="1">
      <c r="A50" s="30" t="n"/>
      <c r="B50" s="30" t="n"/>
      <c r="C50" s="31" t="n"/>
      <c r="D50" s="30" t="n"/>
      <c r="E50" s="31" t="n"/>
      <c r="F50" s="30" t="n"/>
      <c r="G50" s="40" t="n"/>
    </row>
  </sheetData>
  <mergeCells count="44">
    <mergeCell ref="B14:D14"/>
    <mergeCell ref="D10:E10"/>
    <mergeCell ref="D34:E34"/>
    <mergeCell ref="B17:D17"/>
    <mergeCell ref="B13:D13"/>
    <mergeCell ref="D46:E46"/>
    <mergeCell ref="D40:E40"/>
    <mergeCell ref="D36:E36"/>
    <mergeCell ref="D31:E31"/>
    <mergeCell ref="D50:E50"/>
    <mergeCell ref="D45:E45"/>
    <mergeCell ref="F3:G3"/>
    <mergeCell ref="D6:E6"/>
    <mergeCell ref="B19:D19"/>
    <mergeCell ref="D49:E49"/>
    <mergeCell ref="D32:E32"/>
    <mergeCell ref="D41:E41"/>
    <mergeCell ref="B15:D15"/>
    <mergeCell ref="D48:E48"/>
    <mergeCell ref="B24:D24"/>
    <mergeCell ref="B20:D20"/>
    <mergeCell ref="F2:G2"/>
    <mergeCell ref="D47:E47"/>
    <mergeCell ref="D7:E7"/>
    <mergeCell ref="D43:E43"/>
    <mergeCell ref="D37:E37"/>
    <mergeCell ref="D28:E28"/>
    <mergeCell ref="D9:E9"/>
    <mergeCell ref="B25:D25"/>
    <mergeCell ref="B16:D16"/>
    <mergeCell ref="D39:E39"/>
    <mergeCell ref="D8:E8"/>
    <mergeCell ref="D30:E30"/>
    <mergeCell ref="D42:E42"/>
    <mergeCell ref="D33:E33"/>
    <mergeCell ref="B5:C5"/>
    <mergeCell ref="D5:E5"/>
    <mergeCell ref="D38:E38"/>
    <mergeCell ref="B18:D18"/>
    <mergeCell ref="B21:D21"/>
    <mergeCell ref="B12:D12"/>
    <mergeCell ref="D26:E26"/>
    <mergeCell ref="D44:E44"/>
    <mergeCell ref="D35:E35"/>
  </mergeCells>
  <printOptions horizontalCentered="1"/>
  <pageMargins left="0.45" right="0.45" top="0.5" bottom="0.4" header="0.2" footer="0.2"/>
  <pageSetup orientation="portrait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2:G50"/>
  <sheetViews>
    <sheetView showGridLines="0" workbookViewId="0">
      <selection activeCell="A1" sqref="A1"/>
    </sheetView>
  </sheetViews>
  <sheetFormatPr baseColWidth="8" defaultRowHeight="15"/>
  <cols>
    <col width="35" customWidth="1" min="1" max="1"/>
    <col width="6" customWidth="1" min="2" max="2"/>
    <col width="4.5" customWidth="1" min="3" max="3"/>
    <col width="7.5" customWidth="1" min="4" max="4"/>
    <col width="7.5" customWidth="1" min="5" max="5"/>
    <col width="16" customWidth="1" min="6" max="6"/>
    <col width="18" customWidth="1" min="7" max="7"/>
  </cols>
  <sheetData>
    <row r="1" ht="6" customHeight="1"/>
    <row r="2" ht="14" customHeight="1">
      <c r="F2" s="4" t="inlineStr">
        <is>
          <t>PAGE No. 3</t>
        </is>
      </c>
    </row>
    <row r="3" ht="14" customHeight="1">
      <c r="F3" s="4" t="inlineStr">
        <is>
          <t>見積番号　6330515-2</t>
        </is>
      </c>
    </row>
    <row r="4" ht="8" customHeight="1"/>
    <row r="5" ht="18" customHeight="1">
      <c r="A5" s="9" t="inlineStr">
        <is>
          <t>品　　　　名</t>
        </is>
      </c>
      <c r="B5" s="10" t="inlineStr">
        <is>
          <t>数　量</t>
        </is>
      </c>
      <c r="C5" s="11" t="n"/>
      <c r="D5" s="10" t="inlineStr">
        <is>
          <t>単 価(税別)</t>
        </is>
      </c>
      <c r="E5" s="11" t="n"/>
      <c r="F5" s="9" t="inlineStr">
        <is>
          <t>価 格(税別)</t>
        </is>
      </c>
      <c r="G5" s="9" t="inlineStr">
        <is>
          <t>備　　　考</t>
        </is>
      </c>
    </row>
    <row r="6" ht="15.75" customHeight="1">
      <c r="A6" s="13" t="inlineStr">
        <is>
          <t>3 アスベスト含有調査</t>
        </is>
      </c>
      <c r="B6" s="15" t="n"/>
      <c r="C6" s="14" t="n"/>
      <c r="D6" s="15" t="n"/>
      <c r="E6" s="14" t="n"/>
      <c r="F6" s="15" t="n"/>
      <c r="G6" s="33" t="n"/>
    </row>
    <row r="7" ht="15.75" customHeight="1">
      <c r="A7" s="35" t="inlineStr">
        <is>
          <t xml:space="preserve">　検体調査</t>
        </is>
      </c>
      <c r="B7" s="36" t="n">
        <v>2</v>
      </c>
      <c r="C7" s="37" t="inlineStr">
        <is>
          <t xml:space="preserve"> 式</t>
        </is>
      </c>
      <c r="D7" s="20" t="n">
        <v>22000</v>
      </c>
      <c r="E7" s="19" t="n"/>
      <c r="F7" s="20">
        <f>B7*D7</f>
        <v>44000</v>
      </c>
      <c r="G7" s="34" t="n"/>
    </row>
    <row r="8" ht="15.75" customHeight="1">
      <c r="A8" s="35" t="inlineStr">
        <is>
          <t xml:space="preserve">　現場収集</t>
        </is>
      </c>
      <c r="B8" s="36" t="n">
        <v>2</v>
      </c>
      <c r="C8" s="37" t="inlineStr">
        <is>
          <t xml:space="preserve"> 式</t>
        </is>
      </c>
      <c r="D8" s="20" t="n">
        <v>8000</v>
      </c>
      <c r="E8" s="19" t="n"/>
      <c r="F8" s="20">
        <f>B8*D8</f>
        <v>16000</v>
      </c>
      <c r="G8" s="34" t="n"/>
    </row>
    <row r="9" ht="15.75" customHeight="1">
      <c r="A9" s="35" t="inlineStr">
        <is>
          <t xml:space="preserve">　雑材消耗品</t>
        </is>
      </c>
      <c r="B9" s="36" t="n">
        <v>1</v>
      </c>
      <c r="C9" s="37" t="inlineStr">
        <is>
          <t xml:space="preserve"> 式</t>
        </is>
      </c>
      <c r="D9" s="21" t="n"/>
      <c r="E9" s="19" t="n"/>
      <c r="F9" s="20" t="n">
        <v>3000</v>
      </c>
      <c r="G9" s="34" t="n"/>
    </row>
    <row r="10" ht="15.75" customHeight="1">
      <c r="A10" s="35" t="inlineStr">
        <is>
          <t xml:space="preserve">　資材運搬交通費</t>
        </is>
      </c>
      <c r="B10" s="36" t="n">
        <v>1</v>
      </c>
      <c r="C10" s="37" t="inlineStr">
        <is>
          <t xml:space="preserve"> 式</t>
        </is>
      </c>
      <c r="D10" s="21" t="n"/>
      <c r="E10" s="19" t="n"/>
      <c r="F10" s="20" t="n">
        <v>5000</v>
      </c>
      <c r="G10" s="34" t="n"/>
    </row>
    <row r="11" ht="15.75" customHeight="1">
      <c r="A11" s="35" t="inlineStr">
        <is>
          <t xml:space="preserve">　現場雑費</t>
        </is>
      </c>
      <c r="B11" s="36" t="n">
        <v>1</v>
      </c>
      <c r="C11" s="37" t="inlineStr">
        <is>
          <t xml:space="preserve"> 式</t>
        </is>
      </c>
      <c r="D11" s="21" t="n"/>
      <c r="E11" s="19" t="n"/>
      <c r="F11" s="20" t="n">
        <v>7000</v>
      </c>
      <c r="G11" s="34" t="n"/>
    </row>
    <row r="12" ht="15.75" customHeight="1">
      <c r="A12" s="18" t="inlineStr">
        <is>
          <t xml:space="preserve">　－ 計 －</t>
        </is>
      </c>
      <c r="B12" s="21" t="n"/>
      <c r="C12" s="19" t="n"/>
      <c r="D12" s="21" t="n"/>
      <c r="E12" s="19" t="n"/>
      <c r="F12" s="20">
        <f>SUM(F7:F11)</f>
        <v>75000</v>
      </c>
      <c r="G12" s="34" t="n"/>
    </row>
    <row r="13" ht="15.75" customHeight="1">
      <c r="A13" s="21" t="n"/>
      <c r="B13" s="21" t="n"/>
      <c r="C13" s="19" t="n"/>
      <c r="D13" s="21" t="n"/>
      <c r="E13" s="19" t="n"/>
      <c r="F13" s="21" t="n"/>
      <c r="G13" s="34" t="n"/>
    </row>
    <row r="14" ht="15.75" customHeight="1">
      <c r="A14" s="21" t="n"/>
      <c r="B14" s="21" t="n"/>
      <c r="C14" s="19" t="n"/>
      <c r="D14" s="21" t="n"/>
      <c r="E14" s="19" t="n"/>
      <c r="F14" s="21" t="n"/>
      <c r="G14" s="34" t="n"/>
    </row>
    <row r="15" ht="15.75" customHeight="1">
      <c r="A15" s="21" t="n"/>
      <c r="B15" s="21" t="n"/>
      <c r="C15" s="19" t="n"/>
      <c r="D15" s="21" t="n"/>
      <c r="E15" s="19" t="n"/>
      <c r="F15" s="21" t="n"/>
      <c r="G15" s="34" t="n"/>
    </row>
    <row r="16" ht="15.75" customHeight="1">
      <c r="A16" s="21" t="n"/>
      <c r="B16" s="21" t="n"/>
      <c r="C16" s="19" t="n"/>
      <c r="D16" s="21" t="n"/>
      <c r="E16" s="19" t="n"/>
      <c r="F16" s="21" t="n"/>
      <c r="G16" s="34" t="n"/>
    </row>
    <row r="17" ht="15.75" customHeight="1">
      <c r="A17" s="21" t="n"/>
      <c r="B17" s="21" t="n"/>
      <c r="C17" s="19" t="n"/>
      <c r="D17" s="21" t="n"/>
      <c r="E17" s="19" t="n"/>
      <c r="F17" s="21" t="n"/>
      <c r="G17" s="34" t="n"/>
    </row>
    <row r="18" ht="15.75" customHeight="1">
      <c r="A18" s="21" t="n"/>
      <c r="B18" s="21" t="n"/>
      <c r="C18" s="19" t="n"/>
      <c r="D18" s="21" t="n"/>
      <c r="E18" s="19" t="n"/>
      <c r="F18" s="21" t="n"/>
      <c r="G18" s="34" t="n"/>
    </row>
    <row r="19" ht="15.75" customHeight="1">
      <c r="A19" s="21" t="n"/>
      <c r="B19" s="21" t="n"/>
      <c r="C19" s="19" t="n"/>
      <c r="D19" s="21" t="n"/>
      <c r="E19" s="19" t="n"/>
      <c r="F19" s="21" t="n"/>
      <c r="G19" s="34" t="n"/>
    </row>
    <row r="20" ht="15.75" customHeight="1">
      <c r="A20" s="21" t="n"/>
      <c r="B20" s="21" t="n"/>
      <c r="C20" s="19" t="n"/>
      <c r="D20" s="21" t="n"/>
      <c r="E20" s="19" t="n"/>
      <c r="F20" s="21" t="n"/>
      <c r="G20" s="34" t="n"/>
    </row>
    <row r="21" ht="15.75" customHeight="1">
      <c r="A21" s="21" t="n"/>
      <c r="B21" s="21" t="n"/>
      <c r="C21" s="19" t="n"/>
      <c r="D21" s="21" t="n"/>
      <c r="E21" s="19" t="n"/>
      <c r="F21" s="21" t="n"/>
      <c r="G21" s="34" t="n"/>
    </row>
    <row r="22" ht="15.75" customHeight="1">
      <c r="A22" s="21" t="n"/>
      <c r="B22" s="21" t="n"/>
      <c r="C22" s="19" t="n"/>
      <c r="D22" s="21" t="n"/>
      <c r="E22" s="19" t="n"/>
      <c r="F22" s="21" t="n"/>
      <c r="G22" s="34" t="n"/>
    </row>
    <row r="23" ht="15.75" customHeight="1">
      <c r="A23" s="21" t="n"/>
      <c r="B23" s="21" t="n"/>
      <c r="C23" s="19" t="n"/>
      <c r="D23" s="21" t="n"/>
      <c r="E23" s="19" t="n"/>
      <c r="F23" s="21" t="n"/>
      <c r="G23" s="34" t="n"/>
    </row>
    <row r="24" ht="15.75" customHeight="1">
      <c r="A24" s="21" t="n"/>
      <c r="B24" s="21" t="n"/>
      <c r="C24" s="19" t="n"/>
      <c r="D24" s="21" t="n"/>
      <c r="E24" s="19" t="n"/>
      <c r="F24" s="21" t="n"/>
      <c r="G24" s="34" t="n"/>
    </row>
    <row r="25" ht="15.75" customHeight="1">
      <c r="A25" s="21" t="n"/>
      <c r="B25" s="21" t="n"/>
      <c r="C25" s="19" t="n"/>
      <c r="D25" s="21" t="n"/>
      <c r="E25" s="19" t="n"/>
      <c r="F25" s="21" t="n"/>
      <c r="G25" s="34" t="n"/>
    </row>
    <row r="26" ht="15.75" customHeight="1">
      <c r="A26" s="21" t="n"/>
      <c r="B26" s="21" t="n"/>
      <c r="C26" s="19" t="n"/>
      <c r="D26" s="21" t="n"/>
      <c r="E26" s="19" t="n"/>
      <c r="F26" s="21" t="n"/>
      <c r="G26" s="34" t="n"/>
    </row>
    <row r="27" ht="15.75" customHeight="1">
      <c r="A27" s="21" t="n"/>
      <c r="B27" s="21" t="n"/>
      <c r="C27" s="19" t="n"/>
      <c r="D27" s="21" t="n"/>
      <c r="E27" s="19" t="n"/>
      <c r="F27" s="21" t="n"/>
      <c r="G27" s="34" t="n"/>
    </row>
    <row r="28" ht="15.75" customHeight="1">
      <c r="A28" s="21" t="n"/>
      <c r="B28" s="21" t="n"/>
      <c r="C28" s="19" t="n"/>
      <c r="D28" s="21" t="n"/>
      <c r="E28" s="19" t="n"/>
      <c r="F28" s="21" t="n"/>
      <c r="G28" s="34" t="n"/>
    </row>
    <row r="29" ht="15.75" customHeight="1">
      <c r="A29" s="21" t="n"/>
      <c r="B29" s="21" t="n"/>
      <c r="C29" s="19" t="n"/>
      <c r="D29" s="21" t="n"/>
      <c r="E29" s="19" t="n"/>
      <c r="F29" s="21" t="n"/>
      <c r="G29" s="34" t="n"/>
    </row>
    <row r="30" ht="15.75" customHeight="1">
      <c r="A30" s="21" t="n"/>
      <c r="B30" s="21" t="n"/>
      <c r="C30" s="19" t="n"/>
      <c r="D30" s="21" t="n"/>
      <c r="E30" s="19" t="n"/>
      <c r="F30" s="21" t="n"/>
      <c r="G30" s="34" t="n"/>
    </row>
    <row r="31" ht="15.75" customHeight="1">
      <c r="A31" s="21" t="n"/>
      <c r="B31" s="21" t="n"/>
      <c r="C31" s="19" t="n"/>
      <c r="D31" s="21" t="n"/>
      <c r="E31" s="19" t="n"/>
      <c r="F31" s="21" t="n"/>
      <c r="G31" s="34" t="n"/>
    </row>
    <row r="32" ht="15.75" customHeight="1">
      <c r="A32" s="21" t="n"/>
      <c r="B32" s="21" t="n"/>
      <c r="C32" s="19" t="n"/>
      <c r="D32" s="21" t="n"/>
      <c r="E32" s="19" t="n"/>
      <c r="F32" s="21" t="n"/>
      <c r="G32" s="34" t="n"/>
    </row>
    <row r="33" ht="15.75" customHeight="1">
      <c r="A33" s="21" t="n"/>
      <c r="B33" s="21" t="n"/>
      <c r="C33" s="19" t="n"/>
      <c r="D33" s="21" t="n"/>
      <c r="E33" s="19" t="n"/>
      <c r="F33" s="21" t="n"/>
      <c r="G33" s="34" t="n"/>
    </row>
    <row r="34" ht="15.75" customHeight="1">
      <c r="A34" s="21" t="n"/>
      <c r="B34" s="21" t="n"/>
      <c r="C34" s="19" t="n"/>
      <c r="D34" s="21" t="n"/>
      <c r="E34" s="19" t="n"/>
      <c r="F34" s="21" t="n"/>
      <c r="G34" s="34" t="n"/>
    </row>
    <row r="35" ht="15.75" customHeight="1">
      <c r="A35" s="21" t="n"/>
      <c r="B35" s="21" t="n"/>
      <c r="C35" s="19" t="n"/>
      <c r="D35" s="21" t="n"/>
      <c r="E35" s="19" t="n"/>
      <c r="F35" s="21" t="n"/>
      <c r="G35" s="34" t="n"/>
    </row>
    <row r="36" ht="15.75" customHeight="1">
      <c r="A36" s="21" t="n"/>
      <c r="B36" s="21" t="n"/>
      <c r="C36" s="19" t="n"/>
      <c r="D36" s="21" t="n"/>
      <c r="E36" s="19" t="n"/>
      <c r="F36" s="21" t="n"/>
      <c r="G36" s="34" t="n"/>
    </row>
    <row r="37" ht="15.75" customHeight="1">
      <c r="A37" s="21" t="n"/>
      <c r="B37" s="21" t="n"/>
      <c r="C37" s="19" t="n"/>
      <c r="D37" s="21" t="n"/>
      <c r="E37" s="19" t="n"/>
      <c r="F37" s="21" t="n"/>
      <c r="G37" s="34" t="n"/>
    </row>
    <row r="38" ht="15.75" customHeight="1">
      <c r="A38" s="21" t="n"/>
      <c r="B38" s="21" t="n"/>
      <c r="C38" s="19" t="n"/>
      <c r="D38" s="21" t="n"/>
      <c r="E38" s="19" t="n"/>
      <c r="F38" s="21" t="n"/>
      <c r="G38" s="34" t="n"/>
    </row>
    <row r="39" ht="15.75" customHeight="1">
      <c r="A39" s="21" t="n"/>
      <c r="B39" s="21" t="n"/>
      <c r="C39" s="19" t="n"/>
      <c r="D39" s="21" t="n"/>
      <c r="E39" s="19" t="n"/>
      <c r="F39" s="21" t="n"/>
      <c r="G39" s="34" t="n"/>
    </row>
    <row r="40" ht="15.75" customHeight="1">
      <c r="A40" s="21" t="n"/>
      <c r="B40" s="21" t="n"/>
      <c r="C40" s="19" t="n"/>
      <c r="D40" s="21" t="n"/>
      <c r="E40" s="19" t="n"/>
      <c r="F40" s="21" t="n"/>
      <c r="G40" s="34" t="n"/>
    </row>
    <row r="41" ht="15.75" customHeight="1">
      <c r="A41" s="21" t="n"/>
      <c r="B41" s="21" t="n"/>
      <c r="C41" s="19" t="n"/>
      <c r="D41" s="21" t="n"/>
      <c r="E41" s="19" t="n"/>
      <c r="F41" s="21" t="n"/>
      <c r="G41" s="34" t="n"/>
    </row>
    <row r="42" ht="15.75" customHeight="1">
      <c r="A42" s="21" t="n"/>
      <c r="B42" s="21" t="n"/>
      <c r="C42" s="19" t="n"/>
      <c r="D42" s="21" t="n"/>
      <c r="E42" s="19" t="n"/>
      <c r="F42" s="21" t="n"/>
      <c r="G42" s="34" t="n"/>
    </row>
    <row r="43" ht="15.75" customHeight="1">
      <c r="A43" s="21" t="n"/>
      <c r="B43" s="21" t="n"/>
      <c r="C43" s="19" t="n"/>
      <c r="D43" s="21" t="n"/>
      <c r="E43" s="19" t="n"/>
      <c r="F43" s="21" t="n"/>
      <c r="G43" s="34" t="n"/>
    </row>
    <row r="44" ht="15.75" customHeight="1">
      <c r="A44" s="21" t="n"/>
      <c r="B44" s="21" t="n"/>
      <c r="C44" s="19" t="n"/>
      <c r="D44" s="21" t="n"/>
      <c r="E44" s="19" t="n"/>
      <c r="F44" s="21" t="n"/>
      <c r="G44" s="34" t="n"/>
    </row>
    <row r="45" ht="15.75" customHeight="1">
      <c r="A45" s="21" t="n"/>
      <c r="B45" s="21" t="n"/>
      <c r="C45" s="19" t="n"/>
      <c r="D45" s="21" t="n"/>
      <c r="E45" s="19" t="n"/>
      <c r="F45" s="21" t="n"/>
      <c r="G45" s="34" t="n"/>
    </row>
    <row r="46" ht="15.75" customHeight="1">
      <c r="A46" s="21" t="n"/>
      <c r="B46" s="21" t="n"/>
      <c r="C46" s="19" t="n"/>
      <c r="D46" s="21" t="n"/>
      <c r="E46" s="19" t="n"/>
      <c r="F46" s="21" t="n"/>
      <c r="G46" s="34" t="n"/>
    </row>
    <row r="47" ht="15.75" customHeight="1">
      <c r="A47" s="21" t="n"/>
      <c r="B47" s="21" t="n"/>
      <c r="C47" s="19" t="n"/>
      <c r="D47" s="21" t="n"/>
      <c r="E47" s="19" t="n"/>
      <c r="F47" s="21" t="n"/>
      <c r="G47" s="34" t="n"/>
    </row>
    <row r="48" ht="15.75" customHeight="1">
      <c r="A48" s="21" t="n"/>
      <c r="B48" s="21" t="n"/>
      <c r="C48" s="19" t="n"/>
      <c r="D48" s="21" t="n"/>
      <c r="E48" s="19" t="n"/>
      <c r="F48" s="21" t="n"/>
      <c r="G48" s="34" t="n"/>
    </row>
    <row r="49" ht="15.75" customHeight="1">
      <c r="A49" s="21" t="n"/>
      <c r="B49" s="21" t="n"/>
      <c r="C49" s="19" t="n"/>
      <c r="D49" s="21" t="n"/>
      <c r="E49" s="19" t="n"/>
      <c r="F49" s="21" t="n"/>
      <c r="G49" s="34" t="n"/>
    </row>
    <row r="50" ht="15.75" customHeight="1">
      <c r="A50" s="30" t="n"/>
      <c r="B50" s="30" t="n"/>
      <c r="C50" s="31" t="n"/>
      <c r="D50" s="30" t="n"/>
      <c r="E50" s="31" t="n"/>
      <c r="F50" s="30" t="n"/>
      <c r="G50" s="40" t="n"/>
    </row>
  </sheetData>
  <mergeCells count="49">
    <mergeCell ref="D20:E20"/>
    <mergeCell ref="D10:E10"/>
    <mergeCell ref="D19:E19"/>
    <mergeCell ref="D34:E34"/>
    <mergeCell ref="D46:E46"/>
    <mergeCell ref="D22:E22"/>
    <mergeCell ref="D40:E40"/>
    <mergeCell ref="D36:E36"/>
    <mergeCell ref="D31:E31"/>
    <mergeCell ref="D45:E45"/>
    <mergeCell ref="D21:E21"/>
    <mergeCell ref="F3:G3"/>
    <mergeCell ref="D6:E6"/>
    <mergeCell ref="D11:E11"/>
    <mergeCell ref="D13:E13"/>
    <mergeCell ref="D27:E27"/>
    <mergeCell ref="D49:E49"/>
    <mergeCell ref="D32:E32"/>
    <mergeCell ref="D41:E41"/>
    <mergeCell ref="D48:E48"/>
    <mergeCell ref="D17:E17"/>
    <mergeCell ref="F2:G2"/>
    <mergeCell ref="D16:E16"/>
    <mergeCell ref="D47:E47"/>
    <mergeCell ref="D7:E7"/>
    <mergeCell ref="D43:E43"/>
    <mergeCell ref="D37:E37"/>
    <mergeCell ref="D28:E28"/>
    <mergeCell ref="D18:E18"/>
    <mergeCell ref="D9:E9"/>
    <mergeCell ref="D12:E12"/>
    <mergeCell ref="D39:E39"/>
    <mergeCell ref="D8:E8"/>
    <mergeCell ref="D25:E25"/>
    <mergeCell ref="D24:E24"/>
    <mergeCell ref="D30:E30"/>
    <mergeCell ref="D42:E42"/>
    <mergeCell ref="D15:E15"/>
    <mergeCell ref="D33:E33"/>
    <mergeCell ref="B5:C5"/>
    <mergeCell ref="D29:E29"/>
    <mergeCell ref="D5:E5"/>
    <mergeCell ref="D23:E23"/>
    <mergeCell ref="D38:E38"/>
    <mergeCell ref="D14:E14"/>
    <mergeCell ref="D50:E50"/>
    <mergeCell ref="D26:E26"/>
    <mergeCell ref="D44:E44"/>
    <mergeCell ref="D35:E35"/>
  </mergeCells>
  <printOptions horizontalCentered="1"/>
  <pageMargins left="0.45" right="0.45" top="0.5" bottom="0.4" header="0.2" footer="0.2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宮地機工株式会社</dc:creator>
  <dc:title xmlns:dc="http://purl.org/dc/elements/1.1/">御見積書 6330515-2 広島県立尾道商業高等学校 商業実践室　空調更新工事</dc:title>
  <dcterms:created xmlns:dcterms="http://purl.org/dc/terms/" xmlns:xsi="http://www.w3.org/2001/XMLSchema-instance" xsi:type="dcterms:W3CDTF">2026-10-08T18:52:18Z</dcterms:created>
  <dcterms:modified xmlns:dcterms="http://purl.org/dc/terms/" xmlns:xsi="http://www.w3.org/2001/XMLSchema-instance" xsi:type="dcterms:W3CDTF">2026-10-08T18:52:18Z</dcterms:modified>
</cp:coreProperties>
</file>