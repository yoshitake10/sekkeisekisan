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工事)" sheetId="1" state="visible" r:id="rId1"/>
    <sheet xmlns:r="http://schemas.openxmlformats.org/officeDocument/2006/relationships" name="内訳書(空調設備工事)" sheetId="2" state="visible" r:id="rId2"/>
    <sheet xmlns:r="http://schemas.openxmlformats.org/officeDocument/2006/relationships" name="法定福利費内訳明細書" sheetId="3" state="visible" r:id="rId3"/>
    <sheet xmlns:r="http://schemas.openxmlformats.org/officeDocument/2006/relationships" name="御見積条件" sheetId="4" state="visible" r:id="rId4"/>
    <sheet xmlns:r="http://schemas.openxmlformats.org/officeDocument/2006/relationships" name="単価出典(内部)" sheetId="5" state="visible" r:id="rId5"/>
    <sheet xmlns:r="http://schemas.openxmlformats.org/officeDocument/2006/relationships" name="エストマスタ(参考)" sheetId="6" state="visible" r:id="rId6"/>
    <sheet xmlns:r="http://schemas.openxmlformats.org/officeDocument/2006/relationships" name="数量拾い根拠(内部)" sheetId="7" state="visible" r:id="rId7"/>
    <sheet xmlns:r="http://schemas.openxmlformats.org/officeDocument/2006/relationships" name="原価根拠(内部)" sheetId="8" state="visible" r:id="rId8"/>
  </sheets>
  <definedNames>
    <definedName name="TARGET_MARGIN">'表紙(工事)'!$N$4</definedName>
    <definedName name="ROUND_UNIT">'表紙(工事)'!$N$5</definedName>
    <definedName name="LABOR_COST">'表紙(工事)'!$N$6</definedName>
    <definedName name="MAT_RATIO">'表紙(工事)'!$N$7</definedName>
    <definedName name="EST_LABOR_PIPE">'表紙(工事)'!$N$8</definedName>
    <definedName name="EST_LABOR_ELEC">'表紙(工事)'!$N$9</definedName>
    <definedName name="WELFARE_RATE">'法定福利費内訳明細書'!$E$28</definedName>
    <definedName name="INCLUDE_TBD">'表紙(工事)'!$N$11</definedName>
    <definedName name="TARGET">'表紙(工事)'!$N$12</definedName>
    <definedName name="SUBMIT">'表紙(工事)'!$N$13</definedName>
    <definedName name="COST_TOTAL">'表紙(工事)'!$O$29</definedName>
    <definedName name="_xlnm.Print_Area" localSheetId="0">'表紙(工事)'!$A$1:$L$40</definedName>
    <definedName name="_xlnm.Print_Titles" localSheetId="1">'内訳書(空調設備工事)'!$1:$3</definedName>
    <definedName name="_xlnm.Print_Area" localSheetId="1">'内訳書(空調設備工事)'!$A$1:$I$104</definedName>
    <definedName name="_xlnm.Print_Area" localSheetId="2">'法定福利費内訳明細書'!$B$1:$G$31</definedName>
    <definedName name="_xlnm.Print_Area" localSheetId="3">'御見積条件'!$A$1:$F$39</definedName>
    <definedName name="_xlnm.Print_Area" localSheetId="4">'単価出典(内部)'!$A$1:$J$59</definedName>
    <definedName name="_xlnm.Print_Area" localSheetId="5">'エストマスタ(参考)'!$A$1:$C$17</definedName>
    <definedName name="_xlnm.Print_Area" localSheetId="6">'数量拾い根拠(内部)'!$A$1:$F$38</definedName>
    <definedName name="_xlnm.Print_Area" localSheetId="7">'原価根拠(内部)'!$A$1:$C$37</definedName>
  </definedNames>
  <calcPr calcId="124519" fullCalcOnLoad="1"/>
</workbook>
</file>

<file path=xl/styles.xml><?xml version="1.0" encoding="utf-8"?>
<styleSheet xmlns="http://schemas.openxmlformats.org/spreadsheetml/2006/main">
  <numFmts count="11">
    <numFmt numFmtId="164" formatCode="#,##0_ "/>
    <numFmt numFmtId="165" formatCode="#,##0_ ;[Red]-#,##0_ "/>
    <numFmt numFmtId="166" formatCode="0.000"/>
    <numFmt numFmtId="167" formatCode="0.0%"/>
    <numFmt numFmtId="168" formatCode="yyyy&quot;年&quot;m&quot;月&quot;d&quot;日&quot;"/>
    <numFmt numFmtId="169" formatCode="0.000%_ "/>
    <numFmt numFmtId="170" formatCode="yyyy-mm-dd"/>
    <numFmt numFmtId="171" formatCode="0.000%"/>
    <numFmt numFmtId="172" formatCode="&quot;粗利率 &quot;0%"/>
    <numFmt numFmtId="173" formatCode="#,##0.##"/>
    <numFmt numFmtId="174" formatCode="#,##0_ ;[Red]-#,##0_ ;&quot;別途見積&quot;_ "/>
  </numFmts>
  <fonts count="17">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
      <name val="ＭＳ Ｐゴシック"/>
      <charset val="128"/>
      <family val="3"/>
      <b val="1"/>
      <color rgb="00C00000"/>
      <sz val="11"/>
    </font>
    <font>
      <name val="ＭＳ Ｐゴシック"/>
      <charset val="128"/>
      <family val="3"/>
      <color rgb="00C00000"/>
      <sz val="10"/>
    </font>
  </fonts>
  <fills count="8">
    <fill>
      <patternFill/>
    </fill>
    <fill>
      <patternFill patternType="gray125"/>
    </fill>
    <fill>
      <patternFill patternType="solid">
        <fgColor rgb="00D9D9D9"/>
      </patternFill>
    </fill>
    <fill>
      <patternFill patternType="solid">
        <fgColor rgb="00FFF2CC"/>
      </patternFill>
    </fill>
    <fill>
      <patternFill patternType="solid">
        <fgColor rgb="00FFE699"/>
      </patternFill>
    </fill>
    <fill>
      <patternFill patternType="solid">
        <fgColor rgb="00FDE9E9"/>
      </patternFill>
    </fill>
    <fill>
      <patternFill patternType="solid">
        <fgColor rgb="00F2F2F2"/>
      </patternFill>
    </fill>
    <fill>
      <patternFill patternType="solid">
        <fgColor rgb="00F8CBAD"/>
      </patternFill>
    </fill>
  </fills>
  <borders count="42">
    <border>
      <left/>
      <right/>
      <top/>
      <bottom/>
      <diagonal/>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hair">
        <color rgb="00000000"/>
      </top>
      <bottom style="thin">
        <color rgb="00000000"/>
      </bottom>
    </border>
    <border>
      <left style="thin">
        <color rgb="00000000"/>
      </left>
      <right style="medium">
        <color rgb="00000000"/>
      </right>
      <top style="hair">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thin">
        <color rgb="00000000"/>
      </bottom>
    </border>
    <border>
      <left/>
      <right/>
      <top style="thin">
        <color rgb="00000000"/>
      </top>
      <bottom/>
    </border>
    <border>
      <left/>
      <right/>
      <top/>
      <bottom style="double">
        <color rgb="00000000"/>
      </bottom>
    </border>
    <border>
      <left/>
      <right/>
      <top style="double">
        <color rgb="00000000"/>
      </top>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style="thin">
        <color rgb="00000000"/>
      </bottom>
    </border>
    <border>
      <left/>
      <right style="thin">
        <color rgb="00000000"/>
      </right>
      <top/>
      <bottom style="thin">
        <color rgb="00000000"/>
      </bottom>
    </border>
  </borders>
  <cellStyleXfs count="1">
    <xf numFmtId="0" fontId="0" fillId="0" borderId="0"/>
  </cellStyleXfs>
  <cellXfs count="220">
    <xf numFmtId="0" fontId="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34" applyAlignment="1" pivotButton="0" quotePrefix="0" xfId="0">
      <alignment horizontal="center" vertical="center"/>
    </xf>
    <xf numFmtId="0" fontId="0" fillId="0" borderId="34" pivotButton="0" quotePrefix="0" xfId="0"/>
    <xf numFmtId="0" fontId="2" fillId="2" borderId="17" applyAlignment="1" pivotButton="0" quotePrefix="0" xfId="0">
      <alignment vertical="center"/>
    </xf>
    <xf numFmtId="0" fontId="0" fillId="2" borderId="17" applyAlignment="1" pivotButton="0" quotePrefix="0" xfId="0">
      <alignment vertical="center"/>
    </xf>
    <xf numFmtId="168" fontId="0" fillId="0" borderId="0" applyAlignment="1" pivotButton="0" quotePrefix="0" xfId="0">
      <alignment horizontal="right" vertical="center"/>
    </xf>
    <xf numFmtId="0" fontId="14" fillId="2" borderId="17" applyAlignment="1" pivotButton="0" quotePrefix="0" xfId="0">
      <alignment vertical="center" shrinkToFit="1"/>
    </xf>
    <xf numFmtId="9" fontId="0" fillId="3" borderId="17" applyAlignment="1" pivotButton="0" quotePrefix="0" xfId="0">
      <alignment horizontal="right" vertical="center"/>
    </xf>
    <xf numFmtId="0" fontId="10" fillId="0" borderId="34" applyAlignment="1" pivotButton="0" quotePrefix="0" xfId="0">
      <alignment horizontal="center" vertical="center"/>
    </xf>
    <xf numFmtId="0" fontId="11" fillId="0" borderId="0" applyAlignment="1" pivotButton="0" quotePrefix="0" xfId="0">
      <alignment horizontal="left" vertical="center"/>
    </xf>
    <xf numFmtId="3" fontId="0" fillId="3" borderId="17" applyAlignment="1" pivotButton="0" quotePrefix="0" xfId="0">
      <alignment horizontal="right" vertical="center"/>
    </xf>
    <xf numFmtId="0" fontId="0" fillId="0" borderId="35" pivotButton="0" quotePrefix="0" xfId="0"/>
    <xf numFmtId="0" fontId="11" fillId="0" borderId="0" applyAlignment="1" pivotButton="0" quotePrefix="0" xfId="0">
      <alignment horizontal="center" vertical="center"/>
    </xf>
    <xf numFmtId="0" fontId="8" fillId="0" borderId="36" applyAlignment="1" pivotButton="0" quotePrefix="0" xfId="0">
      <alignment horizontal="center" vertical="center"/>
    </xf>
    <xf numFmtId="0" fontId="0" fillId="0" borderId="36" pivotButton="0" quotePrefix="0" xfId="0"/>
    <xf numFmtId="0" fontId="0" fillId="0" borderId="0" applyAlignment="1" pivotButton="0" quotePrefix="0" xfId="0">
      <alignment horizontal="left" vertical="center"/>
    </xf>
    <xf numFmtId="0" fontId="12" fillId="0" borderId="0" applyAlignment="1" pivotButton="0" quotePrefix="0" xfId="0">
      <alignment vertical="center"/>
    </xf>
    <xf numFmtId="2" fontId="0" fillId="3" borderId="17" applyAlignment="1" pivotButton="0" quotePrefix="0" xfId="0">
      <alignment horizontal="right" vertical="center"/>
    </xf>
    <xf numFmtId="0" fontId="0" fillId="0" borderId="37" pivotButton="0" quotePrefix="0" xfId="0"/>
    <xf numFmtId="0" fontId="0" fillId="0" borderId="0" applyAlignment="1" pivotButton="0" quotePrefix="0" xfId="0">
      <alignment vertical="center"/>
    </xf>
    <xf numFmtId="171" fontId="0" fillId="0" borderId="17" applyAlignment="1" pivotButton="0" quotePrefix="0" xfId="0">
      <alignment horizontal="right" vertical="center"/>
    </xf>
    <xf numFmtId="1" fontId="0" fillId="3" borderId="17" applyAlignment="1" pivotButton="0" quotePrefix="0" xfId="0">
      <alignment horizontal="righ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3" fontId="4" fillId="0" borderId="17" applyAlignment="1" pivotButton="0" quotePrefix="0" xfId="0">
      <alignment horizontal="right" vertical="center"/>
    </xf>
    <xf numFmtId="0" fontId="6" fillId="0" borderId="0" applyAlignment="1" pivotButton="0" quotePrefix="0" xfId="0">
      <alignment vertical="center" shrinkToFit="1"/>
    </xf>
    <xf numFmtId="0" fontId="3" fillId="0" borderId="0" applyAlignment="1" pivotButton="0" quotePrefix="0" xfId="0">
      <alignment vertical="center"/>
    </xf>
    <xf numFmtId="0" fontId="0" fillId="0" borderId="0" applyAlignment="1" pivotButton="0" quotePrefix="0" xfId="0">
      <alignment horizontal="distributed" vertical="center" shrinkToFit="1" indent="1"/>
    </xf>
    <xf numFmtId="0" fontId="6" fillId="2" borderId="12" applyAlignment="1" pivotButton="0" quotePrefix="0" xfId="0">
      <alignment horizontal="center" vertical="center" shrinkToFit="1"/>
    </xf>
    <xf numFmtId="0" fontId="0" fillId="2" borderId="14" applyAlignment="1" pivotButton="0" quotePrefix="0" xfId="0">
      <alignment horizontal="center" vertical="center" shrinkToFit="1"/>
    </xf>
    <xf numFmtId="0" fontId="0" fillId="2" borderId="14" pivotButton="0" quotePrefix="0" xfId="0"/>
    <xf numFmtId="0" fontId="6" fillId="2" borderId="14" applyAlignment="1" pivotButton="0" quotePrefix="0" xfId="0">
      <alignment horizontal="center" vertical="center" shrinkToFit="1"/>
    </xf>
    <xf numFmtId="0" fontId="0" fillId="2" borderId="15" applyAlignment="1" pivotButton="0" quotePrefix="0" xfId="0">
      <alignment horizontal="center" vertical="center" shrinkToFit="1"/>
    </xf>
    <xf numFmtId="0" fontId="14" fillId="2" borderId="10" applyAlignment="1" pivotButton="0" quotePrefix="0" xfId="0">
      <alignment horizontal="center" vertical="center" shrinkToFit="1"/>
    </xf>
    <xf numFmtId="0" fontId="0" fillId="0" borderId="23" pivotButton="0" quotePrefix="0" xfId="0"/>
    <xf numFmtId="0" fontId="0" fillId="0" borderId="17" applyAlignment="1" pivotButton="0" quotePrefix="0" xfId="0">
      <alignment horizontal="left" vertical="center" shrinkToFit="1" indent="1"/>
    </xf>
    <xf numFmtId="0" fontId="0" fillId="0" borderId="17" pivotButton="0" quotePrefix="0" xfId="0"/>
    <xf numFmtId="0" fontId="0" fillId="0" borderId="24" pivotButton="0" quotePrefix="0" xfId="0"/>
    <xf numFmtId="0" fontId="0" fillId="0" borderId="5" pivotButton="0" quotePrefix="0" xfId="0"/>
    <xf numFmtId="0" fontId="6" fillId="0" borderId="17" applyAlignment="1" pivotButton="0" quotePrefix="0" xfId="0">
      <alignment horizontal="left" vertical="center" shrinkToFit="1" indent="1"/>
    </xf>
    <xf numFmtId="0" fontId="0" fillId="0" borderId="23" applyAlignment="1" pivotButton="0" quotePrefix="0" xfId="0">
      <alignment horizontal="center" vertical="center"/>
    </xf>
    <xf numFmtId="164" fontId="0" fillId="0" borderId="17" applyAlignment="1" pivotButton="0" quotePrefix="0" xfId="0">
      <alignment horizontal="right" vertical="center"/>
    </xf>
    <xf numFmtId="0" fontId="0" fillId="0" borderId="17" applyAlignment="1" pivotButton="0" quotePrefix="0" xfId="0">
      <alignment horizontal="center" vertical="center"/>
    </xf>
    <xf numFmtId="165" fontId="0" fillId="0" borderId="17" applyAlignment="1" pivotButton="0" quotePrefix="0" xfId="0">
      <alignment horizontal="right" vertical="center"/>
    </xf>
    <xf numFmtId="0" fontId="6" fillId="0" borderId="24" applyAlignment="1" pivotButton="0" quotePrefix="0" xfId="0">
      <alignment horizontal="center" vertical="center" shrinkToFit="1"/>
    </xf>
    <xf numFmtId="0" fontId="6" fillId="0" borderId="5" applyAlignment="1" pivotButton="0" quotePrefix="0" xfId="0">
      <alignment vertical="center" shrinkToFit="1"/>
    </xf>
    <xf numFmtId="165" fontId="0" fillId="0" borderId="5" applyAlignment="1" pivotButton="0" quotePrefix="0" xfId="0">
      <alignment horizontal="right" vertical="center"/>
    </xf>
    <xf numFmtId="167" fontId="0" fillId="0" borderId="5" applyAlignment="1" pivotButton="0" quotePrefix="0" xfId="0">
      <alignment horizontal="right" vertical="center"/>
    </xf>
    <xf numFmtId="0" fontId="0" fillId="0" borderId="25" applyAlignment="1" pivotButton="0" quotePrefix="0" xfId="0">
      <alignment horizontal="center" vertical="center"/>
    </xf>
    <xf numFmtId="0" fontId="0" fillId="0" borderId="26" applyAlignment="1" pivotButton="0" quotePrefix="0" xfId="0">
      <alignment horizontal="left" vertical="center" shrinkToFit="1" indent="1"/>
    </xf>
    <xf numFmtId="0" fontId="0" fillId="0" borderId="26" pivotButton="0" quotePrefix="0" xfId="0"/>
    <xf numFmtId="164" fontId="0" fillId="0" borderId="26" applyAlignment="1" pivotButton="0" quotePrefix="0" xfId="0">
      <alignment horizontal="right" vertical="center"/>
    </xf>
    <xf numFmtId="0" fontId="0" fillId="0" borderId="26" applyAlignment="1" pivotButton="0" quotePrefix="0" xfId="0">
      <alignment horizontal="center" vertical="center"/>
    </xf>
    <xf numFmtId="165" fontId="0" fillId="0" borderId="26" applyAlignment="1" pivotButton="0" quotePrefix="0" xfId="0">
      <alignment horizontal="right" vertical="center"/>
    </xf>
    <xf numFmtId="0" fontId="6" fillId="0" borderId="27" applyAlignment="1" pivotButton="0" quotePrefix="0" xfId="0">
      <alignment horizontal="center" vertical="center" shrinkToFit="1"/>
    </xf>
    <xf numFmtId="0" fontId="0" fillId="0" borderId="12" pivotButton="0" quotePrefix="0" xfId="0"/>
    <xf numFmtId="0" fontId="0" fillId="0" borderId="14" applyAlignment="1" pivotButton="0" quotePrefix="0" xfId="0">
      <alignment horizontal="left" vertical="center" indent="1"/>
    </xf>
    <xf numFmtId="0" fontId="0" fillId="0" borderId="14" pivotButton="0" quotePrefix="0" xfId="0"/>
    <xf numFmtId="165" fontId="0" fillId="0" borderId="14" applyAlignment="1" pivotButton="0" quotePrefix="0" xfId="0">
      <alignment horizontal="right" vertical="center"/>
    </xf>
    <xf numFmtId="0" fontId="0" fillId="0" borderId="15" pivotButton="0" quotePrefix="0" xfId="0"/>
    <xf numFmtId="0" fontId="0" fillId="0" borderId="29" applyAlignment="1" pivotButton="0" quotePrefix="0" xfId="0">
      <alignment horizontal="center" vertical="center"/>
    </xf>
    <xf numFmtId="0" fontId="0" fillId="0" borderId="31" applyAlignment="1" pivotButton="0" quotePrefix="0" xfId="0">
      <alignment horizontal="left" vertical="center" indent="1"/>
    </xf>
    <xf numFmtId="0" fontId="0" fillId="0" borderId="31" pivotButton="0" quotePrefix="0" xfId="0"/>
    <xf numFmtId="165" fontId="0" fillId="0" borderId="31" applyAlignment="1" pivotButton="0" quotePrefix="0" xfId="0">
      <alignment horizontal="right" vertical="center"/>
    </xf>
    <xf numFmtId="0" fontId="0" fillId="0" borderId="33" pivotButton="0" quotePrefix="0" xfId="0"/>
    <xf numFmtId="0" fontId="5" fillId="0" borderId="5" applyAlignment="1" pivotButton="0" quotePrefix="0" xfId="0">
      <alignment vertical="center" shrinkToFit="1"/>
    </xf>
    <xf numFmtId="165" fontId="4" fillId="0" borderId="5" applyAlignment="1" pivotButton="0" quotePrefix="0" xfId="0">
      <alignment horizontal="right" vertical="center"/>
    </xf>
    <xf numFmtId="0" fontId="0" fillId="0" borderId="28" pivotButton="0" quotePrefix="0" xfId="0"/>
    <xf numFmtId="0" fontId="4" fillId="0" borderId="30" applyAlignment="1" pivotButton="0" quotePrefix="0" xfId="0">
      <alignment horizontal="left" vertical="center" indent="1"/>
    </xf>
    <xf numFmtId="0" fontId="0" fillId="0" borderId="30" pivotButton="0" quotePrefix="0" xfId="0"/>
    <xf numFmtId="164" fontId="4" fillId="0" borderId="30" applyAlignment="1" pivotButton="0" quotePrefix="0" xfId="0">
      <alignment horizontal="right" vertical="center"/>
    </xf>
    <xf numFmtId="0" fontId="6" fillId="0" borderId="32" applyAlignment="1" pivotButton="0" quotePrefix="0" xfId="0">
      <alignment horizontal="center" vertical="center"/>
    </xf>
    <xf numFmtId="0" fontId="5" fillId="0" borderId="11" applyAlignment="1" pivotButton="0" quotePrefix="0" xfId="0">
      <alignment vertical="center" shrinkToFit="1"/>
    </xf>
    <xf numFmtId="164" fontId="4" fillId="0" borderId="11" applyAlignment="1" pivotButton="0" quotePrefix="0" xfId="0">
      <alignment horizontal="right" vertical="center"/>
    </xf>
    <xf numFmtId="164" fontId="0" fillId="0" borderId="11" applyAlignment="1" pivotButton="0" quotePrefix="0" xfId="0">
      <alignment horizontal="right" vertical="center"/>
    </xf>
    <xf numFmtId="165" fontId="4" fillId="0" borderId="11" applyAlignment="1" pivotButton="0" quotePrefix="0" xfId="0">
      <alignment horizontal="right" vertical="center"/>
    </xf>
    <xf numFmtId="167" fontId="4" fillId="0" borderId="11" applyAlignment="1" pivotButton="0" quotePrefix="0" xfId="0">
      <alignment horizontal="right" vertical="center"/>
    </xf>
    <xf numFmtId="0" fontId="6" fillId="0" borderId="38" applyAlignment="1" pivotButton="0" quotePrefix="0" xfId="0">
      <alignment horizontal="left" vertical="center" indent="1"/>
    </xf>
    <xf numFmtId="0" fontId="0" fillId="0" borderId="39" pivotButton="0" quotePrefix="0" xfId="0"/>
    <xf numFmtId="0" fontId="6" fillId="0" borderId="40" applyAlignment="1" pivotButton="0" quotePrefix="0" xfId="0">
      <alignment horizontal="left" vertical="center" shrinkToFit="1" indent="1"/>
    </xf>
    <xf numFmtId="0" fontId="0" fillId="0" borderId="41" pivotButton="0" quotePrefix="0" xfId="0"/>
    <xf numFmtId="0" fontId="15" fillId="7" borderId="10" applyAlignment="1" pivotButton="0" quotePrefix="0" xfId="0">
      <alignment vertical="center"/>
    </xf>
    <xf numFmtId="0" fontId="0" fillId="7" borderId="10" applyAlignment="1" pivotButton="0" quotePrefix="0" xfId="0">
      <alignment vertical="center"/>
    </xf>
    <xf numFmtId="0" fontId="16" fillId="0" borderId="5" applyAlignment="1" pivotButton="0" quotePrefix="0" xfId="0">
      <alignment vertical="center" shrinkToFit="1"/>
    </xf>
    <xf numFmtId="164" fontId="0" fillId="0" borderId="5" applyAlignment="1" pivotButton="0" quotePrefix="0" xfId="0">
      <alignment horizontal="right" vertical="center"/>
    </xf>
    <xf numFmtId="0" fontId="13" fillId="0" borderId="0" applyAlignment="1" pivotButton="0" quotePrefix="0" xfId="0">
      <alignment horizontal="center" vertical="top"/>
    </xf>
    <xf numFmtId="0" fontId="13" fillId="0" borderId="0" applyAlignment="1" pivotButton="0" quotePrefix="0" xfId="0">
      <alignment vertical="top" wrapText="1"/>
    </xf>
    <xf numFmtId="0" fontId="16" fillId="0" borderId="11" applyAlignment="1" pivotButton="0" quotePrefix="0" xfId="0">
      <alignment vertical="center" shrinkToFit="1"/>
    </xf>
    <xf numFmtId="0" fontId="6" fillId="0" borderId="11" applyAlignment="1" pivotButton="0" quotePrefix="0" xfId="0">
      <alignment vertical="center" shrinkToFit="1"/>
    </xf>
    <xf numFmtId="0" fontId="0" fillId="0" borderId="11" pivotButton="0" quotePrefix="0" xfId="0"/>
    <xf numFmtId="0" fontId="2" fillId="2" borderId="10" applyAlignment="1" pivotButton="0" quotePrefix="0" xfId="0">
      <alignment vertical="center"/>
    </xf>
    <xf numFmtId="0" fontId="14" fillId="2" borderId="10" applyAlignment="1" pivotButton="0" quotePrefix="0" xfId="0">
      <alignment horizontal="center" vertical="center"/>
    </xf>
    <xf numFmtId="0" fontId="6" fillId="0" borderId="5" applyAlignment="1" pivotButton="0" quotePrefix="0" xfId="0">
      <alignment vertical="center"/>
    </xf>
    <xf numFmtId="2" fontId="0" fillId="0" borderId="5" applyAlignment="1" pivotButton="0" quotePrefix="0" xfId="0">
      <alignment horizontal="right" vertical="center"/>
    </xf>
    <xf numFmtId="0" fontId="14" fillId="0" borderId="11" applyAlignment="1" pivotButton="0" quotePrefix="0" xfId="0">
      <alignment vertical="center"/>
    </xf>
    <xf numFmtId="164" fontId="0" fillId="3" borderId="11" applyAlignment="1" pivotButton="0" quotePrefix="0" xfId="0">
      <alignment horizontal="right" vertical="center"/>
    </xf>
    <xf numFmtId="0" fontId="14" fillId="2" borderId="17" applyAlignment="1" pivotButton="0" quotePrefix="0" xfId="0">
      <alignment horizontal="center" vertical="center"/>
    </xf>
    <xf numFmtId="172" fontId="0" fillId="0" borderId="17" applyAlignment="1" pivotButton="0" quotePrefix="0" xfId="0">
      <alignment horizontal="center" vertical="center"/>
    </xf>
    <xf numFmtId="167" fontId="0" fillId="0" borderId="17"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2" applyAlignment="1" pivotButton="0" quotePrefix="0" xfId="0">
      <alignment horizontal="center" vertical="center"/>
    </xf>
    <xf numFmtId="0" fontId="0" fillId="2" borderId="14" applyAlignment="1" pivotButton="0" quotePrefix="0" xfId="0">
      <alignment horizontal="center" vertical="center"/>
    </xf>
    <xf numFmtId="0" fontId="0" fillId="2" borderId="15" applyAlignment="1" pivotButton="0" quotePrefix="0" xfId="0">
      <alignment horizontal="center" vertical="center"/>
    </xf>
    <xf numFmtId="0" fontId="3" fillId="2" borderId="17" applyAlignment="1" pivotButton="0" quotePrefix="0" xfId="0">
      <alignment horizontal="center" vertical="center" shrinkToFit="1"/>
    </xf>
    <xf numFmtId="0" fontId="4" fillId="0" borderId="13" applyAlignment="1" pivotButton="0" quotePrefix="0" xfId="0">
      <alignment vertical="center"/>
    </xf>
    <xf numFmtId="0" fontId="0" fillId="0" borderId="10" pivotButton="0" quotePrefix="0" xfId="0"/>
    <xf numFmtId="0" fontId="0" fillId="0" borderId="16" pivotButton="0" quotePrefix="0" xfId="0"/>
    <xf numFmtId="0" fontId="4" fillId="0" borderId="4" applyAlignment="1" pivotButton="0" quotePrefix="0" xfId="0">
      <alignment vertical="center"/>
    </xf>
    <xf numFmtId="0" fontId="0" fillId="0" borderId="6" pivotButton="0" quotePrefix="0" xfId="0"/>
    <xf numFmtId="0" fontId="5" fillId="0" borderId="4" applyAlignment="1" pivotButton="0" quotePrefix="0" xfId="0">
      <alignment vertical="center"/>
    </xf>
    <xf numFmtId="0" fontId="6" fillId="0" borderId="4" applyAlignment="1" pivotButton="0" quotePrefix="0" xfId="0">
      <alignment vertical="center" shrinkToFit="1"/>
    </xf>
    <xf numFmtId="0" fontId="6" fillId="0" borderId="5" applyAlignment="1" pivotButton="0" quotePrefix="0" xfId="0">
      <alignment horizontal="left" vertical="center" shrinkToFit="1" indent="1"/>
    </xf>
    <xf numFmtId="164" fontId="6" fillId="0" borderId="5" applyAlignment="1" pivotButton="0" quotePrefix="0" xfId="0">
      <alignment horizontal="right" vertical="center"/>
    </xf>
    <xf numFmtId="0" fontId="6" fillId="0" borderId="5" applyAlignment="1" pivotButton="0" quotePrefix="0" xfId="0">
      <alignment horizontal="center" vertical="center"/>
    </xf>
    <xf numFmtId="165" fontId="6" fillId="0" borderId="5" applyAlignment="1" pivotButton="0" quotePrefix="0" xfId="0">
      <alignment horizontal="right" vertical="center"/>
    </xf>
    <xf numFmtId="0" fontId="6" fillId="0" borderId="6" applyAlignment="1" pivotButton="0" quotePrefix="0" xfId="0">
      <alignment horizontal="center" vertical="center" shrinkToFit="1"/>
    </xf>
    <xf numFmtId="0" fontId="7" fillId="0" borderId="5" applyAlignment="1" pivotButton="0" quotePrefix="0" xfId="0">
      <alignment horizontal="center" vertical="center" shrinkToFit="1"/>
    </xf>
    <xf numFmtId="164" fontId="6" fillId="3" borderId="5" applyAlignment="1" pivotButton="0" quotePrefix="0" xfId="0">
      <alignment horizontal="right" vertical="center"/>
    </xf>
    <xf numFmtId="166" fontId="6" fillId="3" borderId="5" applyAlignment="1" pivotButton="0" quotePrefix="0" xfId="0">
      <alignment horizontal="right" vertical="center"/>
    </xf>
    <xf numFmtId="167" fontId="6" fillId="0" borderId="5" applyAlignment="1" pivotButton="0" quotePrefix="0" xfId="0">
      <alignment horizontal="right" vertical="center"/>
    </xf>
    <xf numFmtId="0" fontId="7" fillId="0" borderId="5" applyAlignment="1" pivotButton="0" quotePrefix="0" xfId="0">
      <alignment vertical="center"/>
    </xf>
    <xf numFmtId="0" fontId="6" fillId="0" borderId="18" applyAlignment="1" pivotButton="0" quotePrefix="0" xfId="0">
      <alignment vertical="center" shrinkToFit="1"/>
    </xf>
    <xf numFmtId="0" fontId="6" fillId="0" borderId="11" applyAlignment="1" pivotButton="0" quotePrefix="0" xfId="0">
      <alignment horizontal="left" vertical="center" shrinkToFit="1" indent="1"/>
    </xf>
    <xf numFmtId="164" fontId="6" fillId="0" borderId="11" applyAlignment="1" pivotButton="0" quotePrefix="0" xfId="0">
      <alignment horizontal="right" vertical="center"/>
    </xf>
    <xf numFmtId="0" fontId="6" fillId="0" borderId="11" applyAlignment="1" pivotButton="0" quotePrefix="0" xfId="0">
      <alignment horizontal="center" vertical="center"/>
    </xf>
    <xf numFmtId="165" fontId="6" fillId="0" borderId="11" applyAlignment="1" pivotButton="0" quotePrefix="0" xfId="0">
      <alignment horizontal="right" vertical="center"/>
    </xf>
    <xf numFmtId="0" fontId="6" fillId="0" borderId="19" applyAlignment="1" pivotButton="0" quotePrefix="0" xfId="0">
      <alignment horizontal="center" vertical="center" shrinkToFit="1"/>
    </xf>
    <xf numFmtId="0" fontId="7" fillId="0" borderId="11" applyAlignment="1" pivotButton="0" quotePrefix="0" xfId="0">
      <alignment horizontal="center" vertical="center" shrinkToFit="1"/>
    </xf>
    <xf numFmtId="164" fontId="6" fillId="3" borderId="11" applyAlignment="1" pivotButton="0" quotePrefix="0" xfId="0">
      <alignment horizontal="right" vertical="center"/>
    </xf>
    <xf numFmtId="166" fontId="6" fillId="3" borderId="11" applyAlignment="1" pivotButton="0" quotePrefix="0" xfId="0">
      <alignment horizontal="right" vertical="center"/>
    </xf>
    <xf numFmtId="167" fontId="6" fillId="0" borderId="11" applyAlignment="1" pivotButton="0" quotePrefix="0" xfId="0">
      <alignment horizontal="right" vertical="center"/>
    </xf>
    <xf numFmtId="0" fontId="7" fillId="0" borderId="11" applyAlignment="1" pivotButton="0" quotePrefix="0" xfId="0">
      <alignment vertical="center"/>
    </xf>
    <xf numFmtId="0" fontId="4" fillId="0" borderId="13" applyAlignment="1" pivotButton="0" quotePrefix="0" xfId="0">
      <alignment horizontal="center" vertical="center"/>
    </xf>
    <xf numFmtId="165" fontId="4" fillId="0" borderId="10" applyAlignment="1" pivotButton="0" quotePrefix="0" xfId="0">
      <alignment horizontal="right" vertical="center"/>
    </xf>
    <xf numFmtId="2" fontId="4" fillId="0" borderId="10" applyAlignment="1" pivotButton="0" quotePrefix="0" xfId="0">
      <alignment horizontal="right" vertical="center"/>
    </xf>
    <xf numFmtId="167" fontId="4" fillId="0" borderId="10" applyAlignment="1" pivotButton="0" quotePrefix="0" xfId="0">
      <alignment horizontal="right" vertical="center"/>
    </xf>
    <xf numFmtId="0" fontId="0" fillId="0" borderId="4" pivotButton="0" quotePrefix="0" xfId="0"/>
    <xf numFmtId="0" fontId="7" fillId="0" borderId="5" applyAlignment="1" pivotButton="0" quotePrefix="0" xfId="0">
      <alignment horizontal="left" vertical="center" wrapText="1" indent="1"/>
    </xf>
    <xf numFmtId="0" fontId="7" fillId="4" borderId="5" applyAlignment="1" pivotButton="0" quotePrefix="0" xfId="0">
      <alignment horizontal="center" vertical="center" shrinkToFit="1"/>
    </xf>
    <xf numFmtId="0" fontId="7" fillId="0" borderId="5" applyAlignment="1" pivotButton="0" quotePrefix="0" xfId="0">
      <alignment horizontal="center" vertical="center"/>
    </xf>
    <xf numFmtId="9" fontId="6" fillId="3" borderId="5" applyAlignment="1" pivotButton="0" quotePrefix="0" xfId="0">
      <alignment horizontal="right" vertical="center"/>
    </xf>
    <xf numFmtId="0" fontId="0" fillId="0" borderId="19" pivotButton="0" quotePrefix="0" xfId="0"/>
    <xf numFmtId="0" fontId="7" fillId="0" borderId="11" applyAlignment="1" pivotButton="0" quotePrefix="0" xfId="0">
      <alignment horizontal="center" vertical="center"/>
    </xf>
    <xf numFmtId="9" fontId="6" fillId="3" borderId="11" applyAlignment="1" pivotButton="0" quotePrefix="0" xfId="0">
      <alignment horizontal="right" vertical="center"/>
    </xf>
    <xf numFmtId="0" fontId="7" fillId="5" borderId="5" applyAlignment="1" pivotButton="0" quotePrefix="0" xfId="0">
      <alignment horizontal="center" vertical="center" shrinkToFit="1"/>
    </xf>
    <xf numFmtId="166" fontId="6" fillId="0" borderId="5" applyAlignment="1" pivotButton="0" quotePrefix="0" xfId="0">
      <alignment horizontal="right" vertical="center"/>
    </xf>
    <xf numFmtId="0" fontId="7" fillId="0" borderId="11" applyAlignment="1" pivotButton="0" quotePrefix="0" xfId="0">
      <alignment horizontal="left" vertical="center" wrapText="1" indent="1"/>
    </xf>
    <xf numFmtId="0" fontId="0" fillId="0" borderId="7" pivotButton="0" quotePrefix="0" xfId="0"/>
    <xf numFmtId="0" fontId="0" fillId="0" borderId="8" pivotButton="0" quotePrefix="0" xfId="0"/>
    <xf numFmtId="0" fontId="0" fillId="0" borderId="9" pivotButton="0" quotePrefix="0" xfId="0"/>
    <xf numFmtId="0" fontId="4" fillId="0" borderId="20" applyAlignment="1" pivotButton="0" quotePrefix="0" xfId="0">
      <alignment horizontal="center" vertical="center"/>
    </xf>
    <xf numFmtId="0" fontId="0" fillId="0" borderId="21" pivotButton="0" quotePrefix="0" xfId="0"/>
    <xf numFmtId="165" fontId="4" fillId="0" borderId="21" applyAlignment="1" pivotButton="0" quotePrefix="0" xfId="0">
      <alignment horizontal="right" vertical="center"/>
    </xf>
    <xf numFmtId="0" fontId="7" fillId="0" borderId="22" applyAlignment="1" pivotButton="0" quotePrefix="0" xfId="0">
      <alignment horizontal="center" vertical="center" shrinkToFit="1"/>
    </xf>
    <xf numFmtId="2" fontId="4" fillId="0" borderId="14" applyAlignment="1" pivotButton="0" quotePrefix="0" xfId="0">
      <alignment horizontal="right" vertical="center"/>
    </xf>
    <xf numFmtId="165" fontId="4" fillId="0" borderId="14" applyAlignment="1" pivotButton="0" quotePrefix="0" xfId="0">
      <alignment horizontal="right" vertical="center"/>
    </xf>
    <xf numFmtId="167" fontId="4" fillId="0" borderId="14" applyAlignment="1" pivotButton="0" quotePrefix="0" xfId="0">
      <alignment horizontal="right" vertical="center"/>
    </xf>
    <xf numFmtId="0" fontId="8" fillId="0" borderId="0" applyAlignment="1" pivotButton="0" quotePrefix="0" xfId="0">
      <alignment horizontal="center" vertical="center"/>
    </xf>
    <xf numFmtId="0" fontId="6" fillId="0" borderId="0" applyAlignment="1" pivotButton="0" quotePrefix="0" xfId="0">
      <alignment horizontal="center" vertical="center"/>
    </xf>
    <xf numFmtId="0" fontId="0" fillId="6" borderId="17" applyAlignment="1" pivotButton="0" quotePrefix="0" xfId="0">
      <alignment horizontal="left" vertical="center" indent="1"/>
    </xf>
    <xf numFmtId="168" fontId="0" fillId="0" borderId="17" applyAlignment="1" pivotButton="0" quotePrefix="0" xfId="0">
      <alignment horizontal="left" vertical="center" indent="1"/>
    </xf>
    <xf numFmtId="0" fontId="0" fillId="0" borderId="17"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6" fillId="2" borderId="14" applyAlignment="1" pivotButton="0" quotePrefix="0" xfId="0">
      <alignment horizontal="center" vertical="center"/>
    </xf>
    <xf numFmtId="0" fontId="0" fillId="2" borderId="15" pivotButton="0" quotePrefix="0" xfId="0"/>
    <xf numFmtId="0" fontId="0" fillId="0" borderId="23" applyAlignment="1" pivotButton="0" quotePrefix="0" xfId="0">
      <alignment horizontal="left" vertical="center" indent="1"/>
    </xf>
    <xf numFmtId="0" fontId="6" fillId="0" borderId="17" applyAlignment="1" pivotButton="0" quotePrefix="0" xfId="0">
      <alignment horizontal="left" vertical="center" indent="1"/>
    </xf>
    <xf numFmtId="0" fontId="0" fillId="0" borderId="29" applyAlignment="1" pivotButton="0" quotePrefix="0" xfId="0">
      <alignment horizontal="left" vertical="center" indent="1"/>
    </xf>
    <xf numFmtId="164" fontId="0" fillId="0" borderId="31" applyAlignment="1" pivotButton="0" quotePrefix="0" xfId="0">
      <alignment horizontal="right" vertical="center"/>
    </xf>
    <xf numFmtId="0" fontId="6" fillId="0" borderId="31" applyAlignment="1" pivotButton="0" quotePrefix="0" xfId="0">
      <alignment horizontal="left" vertical="center" indent="1"/>
    </xf>
    <xf numFmtId="0" fontId="4" fillId="0" borderId="28" applyAlignment="1" pivotButton="0" quotePrefix="0" xfId="0">
      <alignment horizontal="left" vertical="center" indent="1"/>
    </xf>
    <xf numFmtId="0" fontId="6" fillId="0" borderId="30" applyAlignment="1" pivotButton="0" quotePrefix="0" xfId="0">
      <alignment horizontal="left" vertical="center" indent="1"/>
    </xf>
    <xf numFmtId="0" fontId="0" fillId="0" borderId="32" pivotButton="0" quotePrefix="0" xfId="0"/>
    <xf numFmtId="0" fontId="6" fillId="0" borderId="0" applyAlignment="1" pivotButton="0" quotePrefix="0" xfId="0">
      <alignment vertical="center"/>
    </xf>
    <xf numFmtId="0" fontId="6" fillId="2" borderId="12" applyAlignment="1" pivotButton="0" quotePrefix="0" xfId="0">
      <alignment horizontal="center" vertical="center"/>
    </xf>
    <xf numFmtId="0" fontId="6" fillId="2" borderId="15" applyAlignment="1" pivotButton="0" quotePrefix="0" xfId="0">
      <alignment horizontal="center" vertical="center"/>
    </xf>
    <xf numFmtId="169" fontId="0" fillId="0" borderId="17" applyAlignment="1" pivotButton="0" quotePrefix="0" xfId="0">
      <alignment horizontal="right" vertical="center"/>
    </xf>
    <xf numFmtId="0" fontId="7" fillId="0" borderId="24" applyAlignment="1" pivotButton="0" quotePrefix="0" xfId="0">
      <alignment vertical="center" wrapText="1"/>
    </xf>
    <xf numFmtId="169" fontId="0" fillId="0" borderId="31" applyAlignment="1" pivotButton="0" quotePrefix="0" xfId="0">
      <alignment horizontal="right" vertical="center"/>
    </xf>
    <xf numFmtId="0" fontId="7" fillId="0" borderId="33" applyAlignment="1" pivotButton="0" quotePrefix="0" xfId="0">
      <alignment vertical="center" wrapText="1"/>
    </xf>
    <xf numFmtId="0" fontId="4" fillId="0" borderId="28" applyAlignment="1" pivotButton="0" quotePrefix="0" xfId="0">
      <alignment horizontal="center" vertical="center"/>
    </xf>
    <xf numFmtId="169" fontId="4" fillId="0" borderId="30" applyAlignment="1" pivotButton="0" quotePrefix="0" xfId="0">
      <alignment horizontal="right" vertical="center"/>
    </xf>
    <xf numFmtId="0" fontId="8"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0" borderId="23" applyAlignment="1" pivotButton="0" quotePrefix="0" xfId="0">
      <alignment horizontal="center" vertical="center"/>
    </xf>
    <xf numFmtId="0" fontId="6" fillId="0" borderId="17" applyAlignment="1" pivotButton="0" quotePrefix="0" xfId="0">
      <alignment horizontal="center" vertical="center"/>
    </xf>
    <xf numFmtId="0" fontId="6" fillId="0" borderId="17" applyAlignment="1" pivotButton="0" quotePrefix="0" xfId="0">
      <alignment horizontal="left" vertical="center" wrapText="1" indent="1"/>
    </xf>
    <xf numFmtId="0" fontId="6" fillId="0" borderId="24" applyAlignment="1" pivotButton="0" quotePrefix="0" xfId="0">
      <alignment horizontal="center" vertical="center" wrapText="1"/>
    </xf>
    <xf numFmtId="0" fontId="6" fillId="0" borderId="25" applyAlignment="1" pivotButton="0" quotePrefix="0" xfId="0">
      <alignment horizontal="center" vertical="center"/>
    </xf>
    <xf numFmtId="0" fontId="6" fillId="0" borderId="26" applyAlignment="1" pivotButton="0" quotePrefix="0" xfId="0">
      <alignment horizontal="center" vertical="center"/>
    </xf>
    <xf numFmtId="0" fontId="6" fillId="0" borderId="26" applyAlignment="1" pivotButton="0" quotePrefix="0" xfId="0">
      <alignment horizontal="left" vertical="center" wrapText="1" indent="1"/>
    </xf>
    <xf numFmtId="0" fontId="6" fillId="0" borderId="27" applyAlignment="1" pivotButton="0" quotePrefix="0" xfId="0">
      <alignment horizontal="center" vertical="center" wrapText="1"/>
    </xf>
    <xf numFmtId="0" fontId="5" fillId="2" borderId="10" applyAlignment="1" pivotButton="0" quotePrefix="0" xfId="0">
      <alignment horizontal="center" vertical="center"/>
    </xf>
    <xf numFmtId="0" fontId="7" fillId="0" borderId="5" applyAlignment="1" pivotButton="0" quotePrefix="0" xfId="0">
      <alignment vertical="center" shrinkToFit="1"/>
    </xf>
    <xf numFmtId="173" fontId="6" fillId="0" borderId="5" applyAlignment="1" pivotButton="0" quotePrefix="0" xfId="0">
      <alignment horizontal="right" vertical="center"/>
    </xf>
    <xf numFmtId="174" fontId="6" fillId="0" borderId="5" applyAlignment="1" pivotButton="0" quotePrefix="0" xfId="0">
      <alignment horizontal="right" vertical="center"/>
    </xf>
    <xf numFmtId="0" fontId="7" fillId="4" borderId="5" applyAlignment="1" pivotButton="0" quotePrefix="0" xfId="0">
      <alignment horizontal="center" vertical="center"/>
    </xf>
    <xf numFmtId="0" fontId="6" fillId="0" borderId="11" applyAlignment="1" pivotButton="0" quotePrefix="0" xfId="0">
      <alignment vertical="center"/>
    </xf>
    <xf numFmtId="0" fontId="7" fillId="0" borderId="11" applyAlignment="1" pivotButton="0" quotePrefix="0" xfId="0">
      <alignment vertical="center" shrinkToFit="1"/>
    </xf>
    <xf numFmtId="173" fontId="6" fillId="0" borderId="11" applyAlignment="1" pivotButton="0" quotePrefix="0" xfId="0">
      <alignment horizontal="right" vertical="center"/>
    </xf>
    <xf numFmtId="174" fontId="6" fillId="0" borderId="11" applyAlignment="1" pivotButton="0" quotePrefix="0" xfId="0">
      <alignment horizontal="right" vertical="center"/>
    </xf>
    <xf numFmtId="0" fontId="7" fillId="4" borderId="11" applyAlignment="1" pivotButton="0" quotePrefix="0" xfId="0">
      <alignment horizontal="center" vertical="center"/>
    </xf>
    <xf numFmtId="0" fontId="5" fillId="0" borderId="0" applyAlignment="1" pivotButton="0" quotePrefix="0" xfId="0">
      <alignment vertical="center"/>
    </xf>
    <xf numFmtId="0" fontId="7" fillId="0" borderId="0" applyAlignment="1" pivotButton="0" quotePrefix="0" xfId="0">
      <alignment vertical="center"/>
    </xf>
    <xf numFmtId="0" fontId="4" fillId="6" borderId="0" applyAlignment="1" pivotButton="0" quotePrefix="0" xfId="0">
      <alignment vertical="center"/>
    </xf>
    <xf numFmtId="0" fontId="6" fillId="0" borderId="5" applyAlignment="1" pivotButton="0" quotePrefix="0" xfId="0">
      <alignment horizontal="left" vertical="center"/>
    </xf>
    <xf numFmtId="0" fontId="6" fillId="0" borderId="5" applyAlignment="1" pivotButton="0" quotePrefix="0" xfId="0">
      <alignment horizontal="right" vertical="center"/>
    </xf>
    <xf numFmtId="4" fontId="6" fillId="0" borderId="5" applyAlignment="1" pivotButton="0" quotePrefix="0" xfId="0">
      <alignment horizontal="right" vertical="center"/>
    </xf>
    <xf numFmtId="0" fontId="6" fillId="0" borderId="11" applyAlignment="1" pivotButton="0" quotePrefix="0" xfId="0">
      <alignment horizontal="left" vertical="center"/>
    </xf>
    <xf numFmtId="0" fontId="6" fillId="0" borderId="11" applyAlignment="1" pivotButton="0" quotePrefix="0" xfId="0">
      <alignment horizontal="right" vertical="center"/>
    </xf>
    <xf numFmtId="4" fontId="6" fillId="0" borderId="11" applyAlignment="1" pivotButton="0" quotePrefix="0" xfId="0">
      <alignment horizontal="right" vertical="center"/>
    </xf>
    <xf numFmtId="0" fontId="7" fillId="0" borderId="0" applyAlignment="1" pivotButton="0" quotePrefix="0" xfId="0">
      <alignment vertical="center" wrapText="1"/>
    </xf>
    <xf numFmtId="164" fontId="6" fillId="0" borderId="0" applyAlignment="1" pivotButton="0" quotePrefix="0" xfId="0">
      <alignment horizontal="right" vertical="center"/>
    </xf>
    <xf numFmtId="166" fontId="6"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54"/>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46" customWidth="1" min="13" max="13"/>
    <col width="13" customWidth="1" min="14" max="14"/>
    <col width="13" customWidth="1" min="15" max="15"/>
    <col width="13" customWidth="1" min="16" max="16"/>
    <col width="10" customWidth="1" min="17" max="17"/>
  </cols>
  <sheetData>
    <row r="1" ht="22" customHeight="1">
      <c r="A1" s="1" t="inlineStr">
        <is>
          <t>御　見　積　書</t>
        </is>
      </c>
    </row>
    <row r="2" ht="22" customHeight="1"/>
    <row r="3">
      <c r="J3" s="2" t="inlineStr">
        <is>
          <t>No.</t>
        </is>
      </c>
      <c r="K3" s="3" t="n"/>
      <c r="L3" s="4" t="n"/>
      <c r="M3" s="5" t="inlineStr">
        <is>
          <t>【設定・内部用】（印刷範囲外）黄セル＝入力</t>
        </is>
      </c>
      <c r="N3" s="6" t="n"/>
    </row>
    <row r="4">
      <c r="J4" s="7" t="n">
        <v>46304</v>
      </c>
      <c r="M4" s="8" t="inlineStr">
        <is>
          <t>目標粗利率</t>
        </is>
      </c>
      <c r="N4" s="9" t="n">
        <v>0.2</v>
      </c>
    </row>
    <row r="5" ht="26" customHeight="1">
      <c r="A5" s="10" t="inlineStr">
        <is>
          <t>宗教法人　安楽寺</t>
        </is>
      </c>
      <c r="B5" s="4" t="n"/>
      <c r="C5" s="4" t="n"/>
      <c r="D5" s="4" t="n"/>
      <c r="E5" s="4" t="n"/>
      <c r="F5" s="4" t="n"/>
      <c r="G5" s="11" t="inlineStr">
        <is>
          <t>御中</t>
        </is>
      </c>
      <c r="M5" s="8" t="inlineStr">
        <is>
          <t>提出額の丸め単位（切上げ）</t>
        </is>
      </c>
      <c r="N5" s="12" t="n">
        <v>10000</v>
      </c>
    </row>
    <row r="6" ht="12" customHeight="1">
      <c r="A6" s="13" t="n"/>
      <c r="B6" s="13" t="n"/>
      <c r="C6" s="13" t="n"/>
      <c r="D6" s="13" t="n"/>
      <c r="E6" s="13" t="n"/>
      <c r="F6" s="13" t="n"/>
      <c r="M6" s="8" t="inlineStr">
        <is>
          <t>労務原価日額（円/人工、当社）</t>
        </is>
      </c>
      <c r="N6" s="12" t="n">
        <v>19000</v>
      </c>
    </row>
    <row r="7" ht="28" customHeight="1">
      <c r="A7" s="14" t="inlineStr">
        <is>
          <t>金額</t>
        </is>
      </c>
      <c r="B7" s="15" t="str">
        <f>"¥"&amp;TEXT(K30,"#,##0")&amp;"-"</f>
        <v>¥2,810,000-</v>
      </c>
      <c r="C7" s="16" t="n"/>
      <c r="D7" s="16" t="n"/>
      <c r="E7" s="16" t="n"/>
      <c r="F7" s="17" t="inlineStr">
        <is>
          <t>（税別）</t>
        </is>
      </c>
      <c r="H7" s="18" t="inlineStr">
        <is>
          <t>宮地機工株式会社</t>
        </is>
      </c>
      <c r="M7" s="8" t="inlineStr">
        <is>
          <t>材料原価率（エスト材料単価＝建設物価相当に対する比率）</t>
        </is>
      </c>
      <c r="N7" s="19" t="n">
        <v>1</v>
      </c>
    </row>
    <row r="8" ht="10" customHeight="1">
      <c r="B8" s="20" t="n"/>
      <c r="C8" s="20" t="n"/>
      <c r="D8" s="20" t="n"/>
      <c r="E8" s="20" t="n"/>
      <c r="M8" s="8" t="inlineStr">
        <is>
          <t>エスト労務単価 配管工費（円/人）</t>
        </is>
      </c>
      <c r="N8" s="12" t="n">
        <v>33750</v>
      </c>
    </row>
    <row r="9" ht="19" customHeight="1">
      <c r="A9" s="17" t="inlineStr">
        <is>
          <t>つぎのとおりお見積いたしました。</t>
        </is>
      </c>
      <c r="H9" s="21" t="inlineStr">
        <is>
          <t>代表取締役　濱本　義樹</t>
        </is>
      </c>
      <c r="M9" s="8" t="inlineStr">
        <is>
          <t>エスト労務単価 電線材料施工費（円/人）</t>
        </is>
      </c>
      <c r="N9" s="12" t="n">
        <v>33600</v>
      </c>
    </row>
    <row r="10" ht="19" customHeight="1">
      <c r="A10" s="21" t="inlineStr">
        <is>
          <t>なにとぞご用命くださいますようお願い申しあげます。</t>
        </is>
      </c>
      <c r="M10" s="8" t="inlineStr">
        <is>
          <t>法定福利費率（事業主負担）</t>
        </is>
      </c>
      <c r="N10" s="22">
        <f>WELFARE_RATE</f>
        <v>0.16375</v>
      </c>
    </row>
    <row r="11" ht="19" customHeight="1">
      <c r="H11" s="21" t="inlineStr">
        <is>
          <t>〒722-0051</t>
        </is>
      </c>
      <c r="M11" s="8" t="inlineStr">
        <is>
          <t>要見積（概算）を提出額に含める（1=含める／0=別途見積）</t>
        </is>
      </c>
      <c r="N11" s="23" t="n">
        <v>0</v>
      </c>
    </row>
    <row r="12" ht="19" customHeight="1">
      <c r="A12" s="24" t="inlineStr">
        <is>
          <t>件名</t>
        </is>
      </c>
      <c r="D12" s="25" t="inlineStr">
        <is>
          <t>安楽寺　本堂　新築工事</t>
        </is>
      </c>
      <c r="H12" s="21" t="inlineStr">
        <is>
          <t>広島県尾道市東尾道9-9</t>
        </is>
      </c>
      <c r="M12" s="8" t="inlineStr">
        <is>
          <t>目標提出額（税別・空欄なら粗利率から自動）</t>
        </is>
      </c>
      <c r="N12" s="12" t="n"/>
    </row>
    <row r="13" ht="19" customHeight="1">
      <c r="D13" s="25" t="inlineStr">
        <is>
          <t>空調・換気設備工事</t>
        </is>
      </c>
      <c r="H13" s="21" t="inlineStr">
        <is>
          <t>TEL.0848-20-2121</t>
        </is>
      </c>
      <c r="K13" s="21" t="inlineStr">
        <is>
          <t>FAX.0848-20-2126</t>
        </is>
      </c>
      <c r="M13" s="8" t="inlineStr">
        <is>
          <t>提出額（自動計算）</t>
        </is>
      </c>
      <c r="N13" s="26">
        <f>IF(TARGET="",ROUNDUP(COST_TOTAL/(1-TARGET_MARGIN)/ROUND_UNIT,0)*ROUND_UNIT,TARGET)</f>
        <v>2810000</v>
      </c>
    </row>
    <row r="14" ht="19" customHeight="1">
      <c r="A14" s="24" t="inlineStr">
        <is>
          <t>施工場所</t>
        </is>
      </c>
      <c r="D14" s="27" t="inlineStr">
        <is>
          <t>安楽寺 本堂 新築工事現場（所在地は確認申請書による）</t>
        </is>
      </c>
      <c r="H14" s="21" t="inlineStr">
        <is>
          <t>担当者</t>
        </is>
      </c>
      <c r="J14" s="21" t="inlineStr">
        <is>
          <t>濱本　義武</t>
        </is>
      </c>
      <c r="M14" s="28" t="inlineStr">
        <is>
          <t>※ 提出額＝原価合計÷（1－目標粗利率）を丸め単位で切上げ。小計（エスト単価の定価ベース）との差を出精値引に計上</t>
        </is>
      </c>
    </row>
    <row r="15" ht="19" customHeight="1">
      <c r="A15" s="29" t="inlineStr">
        <is>
          <t>工事期限</t>
        </is>
      </c>
      <c r="D15" s="25" t="inlineStr">
        <is>
          <t>御協議による（建築工程に合わせて施工）</t>
        </is>
      </c>
      <c r="M15" s="28" t="inlineStr">
        <is>
          <t>※ 原価＝材料（エスト材料単価×材料原価率＝建設物価相当）＋人工×労務原価日額＋法定福利費（事業主負担）</t>
        </is>
      </c>
    </row>
    <row r="16" ht="19" customHeight="1">
      <c r="A16" s="29" t="inlineStr">
        <is>
          <t>支払条件</t>
        </is>
      </c>
      <c r="D16" s="25" t="inlineStr">
        <is>
          <t>御協議による</t>
        </is>
      </c>
    </row>
    <row r="17" ht="19" customHeight="1">
      <c r="A17" s="29" t="inlineStr">
        <is>
          <t>本書有効期間</t>
        </is>
      </c>
      <c r="D17" s="25" t="inlineStr">
        <is>
          <t>10日</t>
        </is>
      </c>
    </row>
    <row r="18" ht="12" customHeight="1"/>
    <row r="19" ht="24" customHeight="1">
      <c r="A19" s="30" t="inlineStr">
        <is>
          <t>項</t>
        </is>
      </c>
      <c r="B19" s="31" t="inlineStr">
        <is>
          <t>品　　　名</t>
        </is>
      </c>
      <c r="C19" s="32" t="n"/>
      <c r="D19" s="32" t="n"/>
      <c r="E19" s="32" t="n"/>
      <c r="F19" s="32" t="n"/>
      <c r="G19" s="31" t="inlineStr">
        <is>
          <t>数 量</t>
        </is>
      </c>
      <c r="H19" s="33" t="inlineStr">
        <is>
          <t>単位</t>
        </is>
      </c>
      <c r="I19" s="31" t="inlineStr">
        <is>
          <t>単  価</t>
        </is>
      </c>
      <c r="J19" s="32" t="n"/>
      <c r="K19" s="31" t="inlineStr">
        <is>
          <t>金　　額</t>
        </is>
      </c>
      <c r="L19" s="34" t="inlineStr">
        <is>
          <t>備　考</t>
        </is>
      </c>
      <c r="M19" s="35" t="inlineStr">
        <is>
          <t>内部集計</t>
        </is>
      </c>
      <c r="N19" s="35" t="inlineStr">
        <is>
          <t>定価ベース</t>
        </is>
      </c>
      <c r="O19" s="35" t="inlineStr">
        <is>
          <t>原価</t>
        </is>
      </c>
      <c r="P19" s="35" t="inlineStr">
        <is>
          <t>粗利</t>
        </is>
      </c>
      <c r="Q19" s="35" t="inlineStr">
        <is>
          <t>粗利率</t>
        </is>
      </c>
    </row>
    <row r="20" ht="22" customHeight="1">
      <c r="A20" s="36" t="n"/>
      <c r="B20" s="37" t="inlineStr">
        <is>
          <t>【安楽寺　本堂　新築工事　空調・換気設備工事】　空気調和・換気設備工事</t>
        </is>
      </c>
      <c r="C20" s="38" t="n"/>
      <c r="D20" s="38" t="n"/>
      <c r="E20" s="38" t="n"/>
      <c r="F20" s="38" t="n"/>
      <c r="G20" s="38" t="n"/>
      <c r="H20" s="38" t="n"/>
      <c r="I20" s="38" t="n"/>
      <c r="J20" s="38" t="n"/>
      <c r="K20" s="38" t="n"/>
      <c r="L20" s="39" t="n"/>
      <c r="M20" s="40" t="n"/>
      <c r="N20" s="40" t="n"/>
      <c r="O20" s="40" t="n"/>
      <c r="P20" s="40" t="n"/>
      <c r="Q20" s="40" t="n"/>
    </row>
    <row r="21" ht="20" customHeight="1">
      <c r="A21" s="36" t="n"/>
      <c r="B21" s="41" t="str">
        <f>IF(INCLUDE_TBD=1,"［空調機・換気機器を含む（材工）。電源・スイッチ等の電気工事、外壁開口補強・仕上げ補修等の建築工事は別途］","［空調機・換気機器を含む（材工）。電源・スイッチ等の電気工事、外壁開口補強・仕上げ補修等の建築工事は別途］")</f>
        <v>［空調機・換気機器を含む（材工）。電源・スイッチ等の電気工事、外壁開口補強・仕上げ補修等の建築工事は別途］</v>
      </c>
      <c r="C21" s="38" t="n"/>
      <c r="D21" s="38" t="n"/>
      <c r="E21" s="38" t="n"/>
      <c r="F21" s="38" t="n"/>
      <c r="G21" s="38" t="n"/>
      <c r="H21" s="38" t="n"/>
      <c r="I21" s="38" t="n"/>
      <c r="J21" s="38" t="n"/>
      <c r="K21" s="38" t="n"/>
      <c r="L21" s="39" t="n"/>
      <c r="M21" s="40" t="n"/>
      <c r="N21" s="40" t="n"/>
      <c r="O21" s="40" t="n"/>
      <c r="P21" s="40" t="n"/>
      <c r="Q21" s="40" t="n"/>
    </row>
    <row r="22" ht="24" customHeight="1">
      <c r="A22" s="42" t="inlineStr">
        <is>
          <t>①</t>
        </is>
      </c>
      <c r="B22" s="37" t="inlineStr">
        <is>
          <t>空調設備機器</t>
        </is>
      </c>
      <c r="C22" s="38" t="n"/>
      <c r="D22" s="38" t="n"/>
      <c r="E22" s="38" t="n"/>
      <c r="F22" s="38" t="n"/>
      <c r="G22" s="43" t="n">
        <v>1</v>
      </c>
      <c r="H22" s="44" t="inlineStr">
        <is>
          <t>式</t>
        </is>
      </c>
      <c r="I22" s="45">
        <f>K22</f>
        <v>1086750</v>
      </c>
      <c r="J22" s="38" t="n"/>
      <c r="K22" s="45">
        <f>'内訳書(空調設備工事)'!H11</f>
        <v>1086750</v>
      </c>
      <c r="L22" s="46" t="inlineStr">
        <is>
          <t>内訳書 １</t>
        </is>
      </c>
      <c r="M22" s="47" t="inlineStr">
        <is>
          <t>①空調設備機器</t>
        </is>
      </c>
      <c r="N22" s="48">
        <f>K22</f>
        <v>1086750</v>
      </c>
      <c r="O22" s="48">
        <f>'内訳書(空調設備工事)'!P11</f>
        <v>869400</v>
      </c>
      <c r="P22" s="48">
        <f>N22-O22</f>
        <v>217350</v>
      </c>
      <c r="Q22" s="49">
        <f>IF(N22=0,"",P22/N22)</f>
        <v>0.2</v>
      </c>
    </row>
    <row r="23" ht="24" customHeight="1">
      <c r="A23" s="42" t="inlineStr">
        <is>
          <t>②</t>
        </is>
      </c>
      <c r="B23" s="37" t="inlineStr">
        <is>
          <t>空調設備工事</t>
        </is>
      </c>
      <c r="C23" s="38" t="n"/>
      <c r="D23" s="38" t="n"/>
      <c r="E23" s="38" t="n"/>
      <c r="F23" s="38" t="n"/>
      <c r="G23" s="43" t="n">
        <v>1</v>
      </c>
      <c r="H23" s="44" t="inlineStr">
        <is>
          <t>式</t>
        </is>
      </c>
      <c r="I23" s="45">
        <f>K23</f>
        <v>157000</v>
      </c>
      <c r="J23" s="38" t="n"/>
      <c r="K23" s="45">
        <f>'内訳書(空調設備工事)'!H28</f>
        <v>157000</v>
      </c>
      <c r="L23" s="46" t="inlineStr">
        <is>
          <t>内訳書 ２</t>
        </is>
      </c>
      <c r="M23" s="47" t="inlineStr">
        <is>
          <t>②空調設備工事</t>
        </is>
      </c>
      <c r="N23" s="48">
        <f>K23</f>
        <v>157000</v>
      </c>
      <c r="O23" s="48">
        <f>'内訳書(空調設備工事)'!P28</f>
        <v>172450</v>
      </c>
      <c r="P23" s="48">
        <f>N23-O23</f>
        <v>-15450</v>
      </c>
      <c r="Q23" s="49">
        <f>IF(N23=0,"",P23/N23)</f>
        <v>-0.09840764331210192</v>
      </c>
    </row>
    <row r="24" ht="24" customHeight="1">
      <c r="A24" s="42" t="inlineStr">
        <is>
          <t>③</t>
        </is>
      </c>
      <c r="B24" s="37" t="inlineStr">
        <is>
          <t>配管設備工事</t>
        </is>
      </c>
      <c r="C24" s="38" t="n"/>
      <c r="D24" s="38" t="n"/>
      <c r="E24" s="38" t="n"/>
      <c r="F24" s="38" t="n"/>
      <c r="G24" s="43" t="n">
        <v>1</v>
      </c>
      <c r="H24" s="44" t="inlineStr">
        <is>
          <t>式</t>
        </is>
      </c>
      <c r="I24" s="45">
        <f>K24</f>
        <v>480000</v>
      </c>
      <c r="J24" s="38" t="n"/>
      <c r="K24" s="45">
        <f>'内訳書(空調設備工事)'!H60</f>
        <v>480000</v>
      </c>
      <c r="L24" s="46" t="inlineStr">
        <is>
          <t>内訳書 ３</t>
        </is>
      </c>
      <c r="M24" s="47" t="inlineStr">
        <is>
          <t>③配管設備工事</t>
        </is>
      </c>
      <c r="N24" s="48">
        <f>K24</f>
        <v>480000</v>
      </c>
      <c r="O24" s="48">
        <f>'内訳書(空調設備工事)'!P60</f>
        <v>320399</v>
      </c>
      <c r="P24" s="48">
        <f>N24-O24</f>
        <v>159601</v>
      </c>
      <c r="Q24" s="49">
        <f>IF(N24=0,"",P24/N24)</f>
        <v>0.3325020833333333</v>
      </c>
    </row>
    <row r="25" ht="24" customHeight="1">
      <c r="A25" s="42" t="inlineStr">
        <is>
          <t>④</t>
        </is>
      </c>
      <c r="B25" s="37" t="inlineStr">
        <is>
          <t>換気設備機器</t>
        </is>
      </c>
      <c r="C25" s="38" t="n"/>
      <c r="D25" s="38" t="n"/>
      <c r="E25" s="38" t="n"/>
      <c r="F25" s="38" t="n"/>
      <c r="G25" s="43" t="n">
        <v>1</v>
      </c>
      <c r="H25" s="44" t="inlineStr">
        <is>
          <t>式</t>
        </is>
      </c>
      <c r="I25" s="45">
        <f>K25</f>
        <v>257040</v>
      </c>
      <c r="J25" s="38" t="n"/>
      <c r="K25" s="45">
        <f>'内訳書(空調設備工事)'!H77</f>
        <v>257040</v>
      </c>
      <c r="L25" s="46" t="inlineStr">
        <is>
          <t>内訳書 ４</t>
        </is>
      </c>
      <c r="M25" s="47" t="inlineStr">
        <is>
          <t>④換気設備機器</t>
        </is>
      </c>
      <c r="N25" s="48">
        <f>K25</f>
        <v>257040</v>
      </c>
      <c r="O25" s="48">
        <f>'内訳書(空調設備工事)'!P77</f>
        <v>205632</v>
      </c>
      <c r="P25" s="48">
        <f>N25-O25</f>
        <v>51408</v>
      </c>
      <c r="Q25" s="49">
        <f>IF(N25=0,"",P25/N25)</f>
        <v>0.2</v>
      </c>
    </row>
    <row r="26" ht="24" customHeight="1">
      <c r="A26" s="42" t="inlineStr">
        <is>
          <t>⑤</t>
        </is>
      </c>
      <c r="B26" s="37" t="inlineStr">
        <is>
          <t>換気設備工事</t>
        </is>
      </c>
      <c r="C26" s="38" t="n"/>
      <c r="D26" s="38" t="n"/>
      <c r="E26" s="38" t="n"/>
      <c r="F26" s="38" t="n"/>
      <c r="G26" s="43" t="n">
        <v>1</v>
      </c>
      <c r="H26" s="44" t="inlineStr">
        <is>
          <t>式</t>
        </is>
      </c>
      <c r="I26" s="45">
        <f>K26</f>
        <v>832000</v>
      </c>
      <c r="J26" s="38" t="n"/>
      <c r="K26" s="45">
        <f>'内訳書(空調設備工事)'!H100</f>
        <v>832000</v>
      </c>
      <c r="L26" s="46" t="inlineStr">
        <is>
          <t>内訳書 ５</t>
        </is>
      </c>
      <c r="M26" s="47" t="inlineStr">
        <is>
          <t>⑤換気設備工事</t>
        </is>
      </c>
      <c r="N26" s="48">
        <f>K26</f>
        <v>832000</v>
      </c>
      <c r="O26" s="48">
        <f>'内訳書(空調設備工事)'!P100</f>
        <v>555270</v>
      </c>
      <c r="P26" s="48">
        <f>N26-O26</f>
        <v>276730</v>
      </c>
      <c r="Q26" s="49">
        <f>IF(N26=0,"",P26/N26)</f>
        <v>0.3326081730769231</v>
      </c>
    </row>
    <row r="27" ht="24" customHeight="1">
      <c r="A27" s="50" t="inlineStr">
        <is>
          <t>⑥</t>
        </is>
      </c>
      <c r="B27" s="51" t="inlineStr">
        <is>
          <t>工事諸経費</t>
        </is>
      </c>
      <c r="C27" s="52" t="n"/>
      <c r="D27" s="52" t="n"/>
      <c r="E27" s="52" t="n"/>
      <c r="F27" s="52" t="n"/>
      <c r="G27" s="53" t="n">
        <v>1</v>
      </c>
      <c r="H27" s="54" t="inlineStr">
        <is>
          <t>式</t>
        </is>
      </c>
      <c r="I27" s="55">
        <f>K27</f>
        <v>73500</v>
      </c>
      <c r="J27" s="52" t="n"/>
      <c r="K27" s="55">
        <f>'内訳書(空調設備工事)'!H102</f>
        <v>73500</v>
      </c>
      <c r="L27" s="56" t="inlineStr">
        <is>
          <t>内訳書 ６</t>
        </is>
      </c>
      <c r="M27" s="47" t="inlineStr">
        <is>
          <t>⑥工事諸経費（原価なし）</t>
        </is>
      </c>
      <c r="N27" s="48">
        <f>K27</f>
        <v>73500</v>
      </c>
      <c r="O27" s="48" t="n">
        <v>0</v>
      </c>
      <c r="P27" s="48">
        <f>N27-O27</f>
        <v>73500</v>
      </c>
      <c r="Q27" s="49">
        <f>IF(N27=0,"",P27/N27)</f>
        <v>1</v>
      </c>
    </row>
    <row r="28" ht="24" customHeight="1">
      <c r="A28" s="57" t="n"/>
      <c r="B28" s="58" t="inlineStr">
        <is>
          <t xml:space="preserve">　小　　計</t>
        </is>
      </c>
      <c r="C28" s="59" t="n"/>
      <c r="D28" s="59" t="n"/>
      <c r="E28" s="59" t="n"/>
      <c r="F28" s="59" t="n"/>
      <c r="G28" s="59" t="n"/>
      <c r="H28" s="59" t="n"/>
      <c r="I28" s="59" t="n"/>
      <c r="J28" s="59" t="n"/>
      <c r="K28" s="60">
        <f>SUM(K22:K27)</f>
        <v>2886290</v>
      </c>
      <c r="L28" s="61" t="n"/>
      <c r="M28" s="47" t="inlineStr">
        <is>
          <t>法定福利費（事業主負担・原価）</t>
        </is>
      </c>
      <c r="N28" s="48" t="n"/>
      <c r="O28" s="48">
        <f>ROUND('内訳書(空調設備工事)'!Q104*WELFARE_RATE,0)</f>
        <v>119488</v>
      </c>
      <c r="P28" s="40" t="n"/>
      <c r="Q28" s="40" t="n"/>
    </row>
    <row r="29" ht="24" customHeight="1">
      <c r="A29" s="62" t="inlineStr">
        <is>
          <t>⑦</t>
        </is>
      </c>
      <c r="B29" s="63" t="inlineStr">
        <is>
          <t>出精値引</t>
        </is>
      </c>
      <c r="C29" s="64" t="n"/>
      <c r="D29" s="64" t="n"/>
      <c r="E29" s="64" t="n"/>
      <c r="F29" s="64" t="n"/>
      <c r="G29" s="64" t="n"/>
      <c r="H29" s="64" t="n"/>
      <c r="I29" s="64" t="n"/>
      <c r="J29" s="64" t="n"/>
      <c r="K29" s="65">
        <f>IF(SUBMIT&lt;K28,SUBMIT-K28,0)</f>
        <v>-76290</v>
      </c>
      <c r="L29" s="66" t="n"/>
      <c r="M29" s="67" t="inlineStr">
        <is>
          <t>原価合計</t>
        </is>
      </c>
      <c r="N29" s="48">
        <f>K28</f>
        <v>2886290</v>
      </c>
      <c r="O29" s="68">
        <f>SUM(O22:O28)</f>
        <v>2242639</v>
      </c>
      <c r="P29" s="40" t="n"/>
      <c r="Q29" s="40" t="n"/>
    </row>
    <row r="30" ht="24" customHeight="1">
      <c r="A30" s="69" t="n"/>
      <c r="B30" s="70" t="inlineStr">
        <is>
          <t xml:space="preserve">　合　　計</t>
        </is>
      </c>
      <c r="C30" s="71" t="n"/>
      <c r="D30" s="71" t="n"/>
      <c r="E30" s="71" t="n"/>
      <c r="F30" s="71" t="n"/>
      <c r="G30" s="71" t="n"/>
      <c r="H30" s="71" t="n"/>
      <c r="I30" s="71" t="n"/>
      <c r="J30" s="71" t="n"/>
      <c r="K30" s="72">
        <f>K28+K29</f>
        <v>2810000</v>
      </c>
      <c r="L30" s="73" t="inlineStr">
        <is>
          <t>（税別）</t>
        </is>
      </c>
      <c r="M30" s="74" t="inlineStr">
        <is>
          <t>提出額（合計）／粗利／粗利率</t>
        </is>
      </c>
      <c r="N30" s="75">
        <f>K30</f>
        <v>2810000</v>
      </c>
      <c r="O30" s="76">
        <f>O29</f>
        <v>2242639</v>
      </c>
      <c r="P30" s="77">
        <f>N30-O30</f>
        <v>567361</v>
      </c>
      <c r="Q30" s="78">
        <f>IF(N30=0,"",P30/N30)</f>
        <v>0.20190782918149466</v>
      </c>
    </row>
    <row r="31" ht="8" customHeight="1"/>
    <row r="32">
      <c r="A32" s="79" t="inlineStr">
        <is>
          <t>上記の工事費には、以下の法定福利費相当額を含んでいます。</t>
        </is>
      </c>
      <c r="B32" s="13" t="n"/>
      <c r="C32" s="13" t="n"/>
      <c r="D32" s="13" t="n"/>
      <c r="E32" s="13" t="n"/>
      <c r="F32" s="13" t="n"/>
      <c r="G32" s="13" t="n"/>
      <c r="H32" s="13" t="n"/>
      <c r="I32" s="13" t="n"/>
      <c r="J32" s="13" t="n"/>
      <c r="K32" s="13" t="n"/>
      <c r="L32" s="80" t="n"/>
    </row>
    <row r="33">
      <c r="A33" s="81" t="str">
        <f>"【法定福利費相当額（Ａ）】"&amp;TEXT('法定福利費内訳明細書'!$F$28,"#,##0")&amp;"円　　Ａ＝Ｙ×Ｚ　Ｙ：労務費相当額 "&amp;TEXT('法定福利費内訳明細書'!$C$17,"#,##0")&amp;"円　Ｚ：法定福利費事業者負担率（合計値："&amp;TEXT('法定福利費内訳明細書'!$E$28*100,"0.000")&amp;"／100）"</f>
        <v>【法定福利費相当額（Ａ）】164,469円　　Ａ＝Ｙ×Ｚ　Ｙ：労務費相当額 1,004,413円　Ｚ：法定福利費事業者負担率（合計値：16.375／100）</v>
      </c>
      <c r="B33" s="4" t="n"/>
      <c r="C33" s="4" t="n"/>
      <c r="D33" s="4" t="n"/>
      <c r="E33" s="4" t="n"/>
      <c r="F33" s="4" t="n"/>
      <c r="G33" s="4" t="n"/>
      <c r="H33" s="4" t="n"/>
      <c r="I33" s="4" t="n"/>
      <c r="J33" s="4" t="n"/>
      <c r="K33" s="4" t="n"/>
      <c r="L33" s="82" t="n"/>
      <c r="M33" s="83" t="inlineStr">
        <is>
          <t>⚠ アラート（提出前に確認）</t>
        </is>
      </c>
      <c r="N33" s="84" t="n"/>
      <c r="O33" s="84" t="n"/>
      <c r="P33" s="84" t="n"/>
      <c r="Q33" s="84" t="n"/>
    </row>
    <row r="34">
      <c r="M34" s="85" t="inlineStr">
        <is>
          <t>要見積 0件：（概算原価の合計）</t>
        </is>
      </c>
      <c r="N34" s="86">
        <f>0</f>
        <v>0</v>
      </c>
      <c r="O34" s="47" t="str">
        <f>IF(INCLUDE_TBD=1,"概算を提出額に含めています","別途見積（提出額に含めていません）")</f>
        <v>別途見積（提出額に含めていません）</v>
      </c>
      <c r="P34" s="40" t="n"/>
      <c r="Q34" s="40" t="n"/>
    </row>
    <row r="35" ht="26.8" customHeight="1">
      <c r="A35" s="87" t="inlineStr">
        <is>
          <t>※</t>
        </is>
      </c>
      <c r="B35" s="88" t="inlineStr">
        <is>
          <t>本見積は当社作図の空調設備平面図（M-1）・換気設備平面図（M-2）および24時間換気計算書に基づき作成しております。数量は図面より当社にて拾い出しており、実施数量との差異は別途精算とさせていただきます。</t>
        </is>
      </c>
      <c r="M35" s="85" t="inlineStr">
        <is>
          <t>要見積を概算で含めた場合の提出額（目安）</t>
        </is>
      </c>
      <c r="N35" s="86">
        <f>IF(INCLUDE_TBD=1,SUBMIT,ROUNDUP((COST_TOTAL+N34)/(1-TARGET_MARGIN)/ROUND_UNIT,0)*ROUND_UNIT)</f>
        <v>2810000</v>
      </c>
      <c r="O35" s="47" t="inlineStr">
        <is>
          <t>N11 を 1 にすると反映</t>
        </is>
      </c>
      <c r="P35" s="40" t="n"/>
      <c r="Q35" s="40" t="n"/>
    </row>
    <row r="36" ht="26.8" customHeight="1">
      <c r="A36" s="87" t="inlineStr">
        <is>
          <t>※</t>
        </is>
      </c>
      <c r="B36" s="88" t="inlineStr">
        <is>
          <t>空調機（ダイキン SZRV80BZV×2組、S284ATEV-W×2組、S404ATEV-W×1組）および換気機器（三菱電機 パイプ用ファン・天井埋込形換気扇・給排気グリル・深形フード）を含みます（材工）。</t>
        </is>
      </c>
      <c r="M36" s="85" t="inlineStr">
        <is>
          <t>単価要確認 15件：室外機置台・スリーブインサート費・パイプ用ファン取付・天井埋込形換気扇取付・天井埋込形換気扇取付・給排気グリル取付・屋外フード取付・スパイラルダクト・スパイラルダクト・スパイラルダクト・ダクト保温・外壁貫通処理・外壁貫通処理・外壁貫通処理・試運転調整費</t>
        </is>
      </c>
      <c r="N36" s="86" t="n"/>
      <c r="O36" s="47" t="inlineStr">
        <is>
          <t>エストに単価なし。当社単価・推定単価で仮計上（単価出典シート）</t>
        </is>
      </c>
      <c r="P36" s="40" t="n"/>
      <c r="Q36" s="40" t="n"/>
    </row>
    <row r="37" ht="26.8" customHeight="1">
      <c r="A37" s="87" t="inlineStr">
        <is>
          <t>※</t>
        </is>
      </c>
      <c r="B37" s="88" t="inlineStr">
        <is>
          <t>電源・専用回路・スイッチ（24時間換気の常時運転表示を含む）等の電気工事、外壁開口の補強・外装仕上げ補修・天井開口補強等の建築工事、揚重機、足場・仮設、産業廃棄物処分は含みません。</t>
        </is>
      </c>
      <c r="M37" s="85" t="inlineStr">
        <is>
          <t>定価ベース（エスト単価）で目標粗利に届くか</t>
        </is>
      </c>
      <c r="N37" s="86" t="n"/>
      <c r="O37" s="47" t="str">
        <f>IF(SUBMIT&gt;K28,"⚠ 値引きなしでも粗利率 "&amp;TEXT((K28-COST_TOTAL)/K28,"0.0%")&amp;"（目標未達）","OK（出精値引で調整）")</f>
        <v>OK（出精値引で調整）</v>
      </c>
      <c r="P37" s="40" t="n"/>
      <c r="Q37" s="40" t="n"/>
    </row>
    <row r="38" ht="14.9" customHeight="1">
      <c r="A38" s="87" t="inlineStr">
        <is>
          <t>※</t>
        </is>
      </c>
      <c r="B38" s="88" t="inlineStr">
        <is>
          <t>天井高・機器の取付位置は意匠図確定前の想定です。変更が生じた場合は御協議のうえ精算させていただきます。</t>
        </is>
      </c>
      <c r="M38" s="85" t="inlineStr">
        <is>
          <t>機器の仕入率はダイキン業務用0.20・家庭用0.30・三菱電機換気0.32（job.py の EQ_RATES）。目標粗利率を変えた場合は機器の提出単価も job.py で再生成</t>
        </is>
      </c>
      <c r="N38" s="86" t="n"/>
      <c r="O38" s="47" t="n"/>
      <c r="P38" s="40" t="n"/>
      <c r="Q38" s="40" t="n"/>
    </row>
    <row r="39" ht="26.8" customHeight="1">
      <c r="A39" s="87" t="inlineStr">
        <is>
          <t>※</t>
        </is>
      </c>
      <c r="B39" s="88" t="inlineStr">
        <is>
          <t>本見積書に記載なき事項については別途とさせて頂きます。工事に係る電気・水道は無償支給願います。本見積金額には消費税は含まれておりません。</t>
        </is>
      </c>
      <c r="M39" s="85" t="inlineStr">
        <is>
          <t>空調機の定価は VE案（8/10付）の値。三菱電機機器は WIN2K／販売店掲載の価格（税別）</t>
        </is>
      </c>
      <c r="N39" s="86" t="n"/>
      <c r="O39" s="47" t="n"/>
      <c r="P39" s="40" t="n"/>
      <c r="Q39" s="40" t="n"/>
    </row>
    <row r="40" ht="14.9" customHeight="1">
      <c r="A40" s="87" t="inlineStr">
        <is>
          <t>※</t>
        </is>
      </c>
      <c r="B40" s="88" t="inlineStr">
        <is>
          <t>詳細条件は別紙「御見積条件」をご参照ください。</t>
        </is>
      </c>
      <c r="M40" s="85" t="inlineStr">
        <is>
          <t>天井高・冷媒管長・ダクト立上りは想定値（items.py 先頭で変更可）</t>
        </is>
      </c>
      <c r="N40" s="86" t="n"/>
      <c r="O40" s="47" t="n"/>
      <c r="P40" s="40" t="n"/>
      <c r="Q40" s="40" t="n"/>
    </row>
    <row r="41">
      <c r="M41" s="89" t="inlineStr">
        <is>
          <t>施工場所（地番）未確定</t>
        </is>
      </c>
      <c r="N41" s="76" t="n"/>
      <c r="O41" s="90" t="n"/>
      <c r="P41" s="91" t="n"/>
      <c r="Q41" s="91" t="n"/>
    </row>
    <row r="43">
      <c r="M43" s="92" t="inlineStr">
        <is>
          <t>参考（感度）</t>
        </is>
      </c>
      <c r="N43" s="93" t="inlineStr">
        <is>
          <t>金額</t>
        </is>
      </c>
      <c r="O43" s="93" t="inlineStr">
        <is>
          <t>原価</t>
        </is>
      </c>
      <c r="P43" s="93" t="n"/>
      <c r="Q43" s="93" t="inlineStr">
        <is>
          <t>粗利率</t>
        </is>
      </c>
    </row>
    <row r="44">
      <c r="M44" s="47" t="inlineStr">
        <is>
          <t>労務を公共工事設計労務単価（広島 配管工）で計算した場合</t>
        </is>
      </c>
      <c r="N44" s="86">
        <f>K30</f>
        <v>2810000</v>
      </c>
      <c r="O44" s="86">
        <f>COST_TOTAL+'内訳書(空調設備工事)'!M104*(N47-LABOR_COST)*(1+WELFARE_RATE)</f>
        <v>2497393.766875</v>
      </c>
      <c r="P44" s="40" t="n"/>
      <c r="Q44" s="49">
        <f>(N44-O44)/N44</f>
        <v>0.1112477697953736</v>
      </c>
    </row>
    <row r="45">
      <c r="M45" s="47" t="inlineStr">
        <is>
          <t>出精値引率（変更増減の算定に使用：増減額×(1－この率)）</t>
        </is>
      </c>
      <c r="N45" s="49">
        <f>IF(K28=0,"",-K29/K28)</f>
        <v>0.026431855426862858</v>
      </c>
      <c r="O45" s="40" t="n"/>
      <c r="P45" s="40" t="n"/>
      <c r="Q45" s="40" t="n"/>
    </row>
    <row r="46">
      <c r="M46" s="94" t="inlineStr">
        <is>
          <t>人工合計（内訳書）</t>
        </is>
      </c>
      <c r="N46" s="95">
        <f>'内訳書(空調設備工事)'!M104</f>
        <v>38.405</v>
      </c>
      <c r="O46" s="40" t="n"/>
      <c r="P46" s="40" t="n"/>
      <c r="Q46" s="40" t="n"/>
    </row>
    <row r="47">
      <c r="M47" s="96" t="inlineStr">
        <is>
          <t>公共工事設計労務単価 広島 配管工（R8.3）</t>
        </is>
      </c>
      <c r="N47" s="97" t="n">
        <v>24700</v>
      </c>
      <c r="O47" s="91" t="n"/>
      <c r="P47" s="91" t="n"/>
      <c r="Q47" s="91" t="n"/>
    </row>
    <row r="49">
      <c r="M49" s="8" t="inlineStr">
        <is>
          <t>粗利率別 参考提出額（税別・万円未満切上げ）</t>
        </is>
      </c>
      <c r="N49" s="98" t="inlineStr">
        <is>
          <t>参考提出額</t>
        </is>
      </c>
      <c r="O49" s="98" t="inlineStr">
        <is>
          <t>出精値引率</t>
        </is>
      </c>
    </row>
    <row r="50">
      <c r="M50" s="99" t="n">
        <v>0.1</v>
      </c>
      <c r="N50" s="43">
        <f>ROUNDUP(COST_TOTAL/(1-M50),-4)</f>
        <v>2500000</v>
      </c>
      <c r="O50" s="100">
        <f>IF(K28=0,"",1-N50/K28)</f>
        <v>0.13383617030859685</v>
      </c>
    </row>
    <row r="51">
      <c r="M51" s="99" t="n">
        <v>0.15</v>
      </c>
      <c r="N51" s="43">
        <f>ROUNDUP(COST_TOTAL/(1-M51),-4)</f>
        <v>2640000</v>
      </c>
      <c r="O51" s="100">
        <f>IF(K28=0,"",1-N51/K28)</f>
        <v>0.08533099584587822</v>
      </c>
    </row>
    <row r="52">
      <c r="M52" s="99" t="n">
        <v>0.2</v>
      </c>
      <c r="N52" s="43">
        <f>ROUNDUP(COST_TOTAL/(1-M52),-4)</f>
        <v>2810000</v>
      </c>
      <c r="O52" s="100">
        <f>IF(K28=0,"",1-N52/K28)</f>
        <v>0.026431855426862882</v>
      </c>
    </row>
    <row r="53">
      <c r="M53" s="99" t="n">
        <v>0.25</v>
      </c>
      <c r="N53" s="43">
        <f>ROUNDUP(COST_TOTAL/(1-M53),-4)</f>
        <v>3000000</v>
      </c>
      <c r="O53" s="100">
        <f>IF(K28=0,"",1-N53/K28)</f>
        <v>-0.039396595629683784</v>
      </c>
    </row>
    <row r="54">
      <c r="M54" s="99" t="n">
        <v>0.3</v>
      </c>
      <c r="N54" s="43">
        <f>ROUNDUP(COST_TOTAL/(1-M54),-4)</f>
        <v>3210000</v>
      </c>
      <c r="O54" s="100">
        <f>IF(K28=0,"",1-N54/K28)</f>
        <v>-0.11215435732376156</v>
      </c>
    </row>
  </sheetData>
  <mergeCells count="55">
    <mergeCell ref="I30:J30"/>
    <mergeCell ref="B35:L35"/>
    <mergeCell ref="A15:B15"/>
    <mergeCell ref="O41:Q41"/>
    <mergeCell ref="D12:G12"/>
    <mergeCell ref="O35:Q35"/>
    <mergeCell ref="B25:F25"/>
    <mergeCell ref="I27:J27"/>
    <mergeCell ref="D17:L17"/>
    <mergeCell ref="J4:L4"/>
    <mergeCell ref="B22:F22"/>
    <mergeCell ref="I26:J26"/>
    <mergeCell ref="B27:F27"/>
    <mergeCell ref="D16:L16"/>
    <mergeCell ref="D14:G14"/>
    <mergeCell ref="A16:B16"/>
    <mergeCell ref="B21:L21"/>
    <mergeCell ref="A33:L33"/>
    <mergeCell ref="O40:Q40"/>
    <mergeCell ref="A5:F5"/>
    <mergeCell ref="I25:J25"/>
    <mergeCell ref="B39:L39"/>
    <mergeCell ref="A1:L2"/>
    <mergeCell ref="A32:L32"/>
    <mergeCell ref="B7:E7"/>
    <mergeCell ref="B23:F23"/>
    <mergeCell ref="I22:J22"/>
    <mergeCell ref="I28:J28"/>
    <mergeCell ref="A12:B12"/>
    <mergeCell ref="D15:L15"/>
    <mergeCell ref="B29:F29"/>
    <mergeCell ref="B38:L38"/>
    <mergeCell ref="O38:Q38"/>
    <mergeCell ref="I24:J24"/>
    <mergeCell ref="B28:F28"/>
    <mergeCell ref="A9:F9"/>
    <mergeCell ref="B19:F19"/>
    <mergeCell ref="B37:L37"/>
    <mergeCell ref="O37:Q37"/>
    <mergeCell ref="A14:B14"/>
    <mergeCell ref="I23:J23"/>
    <mergeCell ref="D13:G13"/>
    <mergeCell ref="A17:B17"/>
    <mergeCell ref="B40:L40"/>
    <mergeCell ref="O34:Q34"/>
    <mergeCell ref="B30:F30"/>
    <mergeCell ref="I29:J29"/>
    <mergeCell ref="B24:F24"/>
    <mergeCell ref="I19:J19"/>
    <mergeCell ref="O36:Q36"/>
    <mergeCell ref="B20:L20"/>
    <mergeCell ref="O39:Q39"/>
    <mergeCell ref="B36:L36"/>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Z104"/>
  <sheetViews>
    <sheetView showGridLines="0" tabSelected="0" workbookViewId="0">
      <pane ySplit="3" topLeftCell="A4" activePane="bottomLeft" state="frozen"/>
      <selection pane="bottomLeft"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3" customWidth="1" min="10" max="10"/>
    <col width="13" customWidth="1" min="11" max="11"/>
    <col width="10" customWidth="1" min="12" max="12"/>
    <col width="7" customWidth="1" min="13" max="13"/>
    <col width="10" customWidth="1" min="14" max="14"/>
    <col width="10" customWidth="1" min="15" max="15"/>
    <col width="12" customWidth="1" min="16" max="16"/>
    <col width="11" customWidth="1" min="17" max="17"/>
    <col width="12" customWidth="1" min="18" max="18"/>
    <col width="11" customWidth="1" min="19" max="19"/>
    <col width="8" customWidth="1" min="20" max="20"/>
    <col width="8" customWidth="1" min="21" max="21"/>
    <col width="11" customWidth="1" min="22" max="22"/>
    <col width="46" customWidth="1" min="23" max="23"/>
    <col width="36" customWidth="1" min="24" max="24"/>
    <col width="11" customWidth="1" min="25" max="25"/>
    <col width="70" customWidth="1" min="26" max="26"/>
  </cols>
  <sheetData>
    <row r="1" ht="26" customHeight="1">
      <c r="A1" s="101" t="inlineStr">
        <is>
          <t>内　訳　書</t>
        </is>
      </c>
      <c r="J1" s="102" t="inlineStr">
        <is>
          <t>原　価・単価出典（内部用・印刷範囲外）　黄セル＝入力、赤＝要見積、橙＝単価要確認</t>
        </is>
      </c>
      <c r="K1" s="103" t="n"/>
      <c r="L1" s="103" t="n"/>
      <c r="M1" s="103" t="n"/>
      <c r="N1" s="103" t="n"/>
      <c r="O1" s="103" t="n"/>
      <c r="P1" s="103" t="n"/>
      <c r="Q1" s="103" t="n"/>
      <c r="R1" s="103" t="n"/>
      <c r="S1" s="103" t="n"/>
      <c r="T1" s="103" t="n"/>
      <c r="U1" s="103" t="n"/>
      <c r="V1" s="103" t="n"/>
      <c r="W1" s="103" t="n"/>
      <c r="X1" s="103" t="n"/>
      <c r="Y1" s="103" t="n"/>
      <c r="Z1" s="103" t="n"/>
    </row>
    <row r="2">
      <c r="A2" s="21" t="inlineStr">
        <is>
          <t>工事名：安楽寺　本堂　新築工事　空調・換気設備工事</t>
        </is>
      </c>
      <c r="I2" s="2" t="inlineStr">
        <is>
          <t>内訳書 No.1</t>
        </is>
      </c>
    </row>
    <row r="3" ht="22" customHeight="1">
      <c r="A3" s="104" t="inlineStr">
        <is>
          <t>品　　名</t>
        </is>
      </c>
      <c r="B3" s="32" t="n"/>
      <c r="C3" s="105" t="inlineStr">
        <is>
          <t>規格・寸法</t>
        </is>
      </c>
      <c r="D3" s="32" t="n"/>
      <c r="E3" s="105" t="inlineStr">
        <is>
          <t>数 量</t>
        </is>
      </c>
      <c r="F3" s="105" t="inlineStr">
        <is>
          <t>単位</t>
        </is>
      </c>
      <c r="G3" s="105" t="inlineStr">
        <is>
          <t>単　価</t>
        </is>
      </c>
      <c r="H3" s="105" t="inlineStr">
        <is>
          <t>金　　額</t>
        </is>
      </c>
      <c r="I3" s="106" t="inlineStr">
        <is>
          <t>備　考</t>
        </is>
      </c>
      <c r="J3" s="107" t="inlineStr">
        <is>
          <t>単価区分</t>
        </is>
      </c>
      <c r="K3" s="107" t="inlineStr">
        <is>
          <t>アラート</t>
        </is>
      </c>
      <c r="L3" s="107" t="inlineStr">
        <is>
          <t>材料原価/単位</t>
        </is>
      </c>
      <c r="M3" s="107" t="inlineStr">
        <is>
          <t>人工/単位</t>
        </is>
      </c>
      <c r="N3" s="107" t="inlineStr">
        <is>
          <t>労務原価/単位</t>
        </is>
      </c>
      <c r="O3" s="107" t="inlineStr">
        <is>
          <t>原価単価</t>
        </is>
      </c>
      <c r="P3" s="107" t="inlineStr">
        <is>
          <t>原価金額</t>
        </is>
      </c>
      <c r="Q3" s="107" t="inlineStr">
        <is>
          <t>労務原価金額</t>
        </is>
      </c>
      <c r="R3" s="107" t="inlineStr">
        <is>
          <t>労務費相当額(提出)</t>
        </is>
      </c>
      <c r="S3" s="107" t="inlineStr">
        <is>
          <t>粗利(定価)</t>
        </is>
      </c>
      <c r="T3" s="107" t="inlineStr">
        <is>
          <t>粗利率</t>
        </is>
      </c>
      <c r="U3" s="107" t="inlineStr">
        <is>
          <t>率・歩掛</t>
        </is>
      </c>
      <c r="V3" s="107" t="inlineStr">
        <is>
          <t>要見積 概算原価/単位</t>
        </is>
      </c>
      <c r="W3" s="107" t="inlineStr">
        <is>
          <t>単価の参照元</t>
        </is>
      </c>
      <c r="X3" s="107" t="inlineStr">
        <is>
          <t>エストマスタ参考</t>
        </is>
      </c>
      <c r="Y3" s="107" t="inlineStr">
        <is>
          <t>数量根拠</t>
        </is>
      </c>
      <c r="Z3" s="107" t="inlineStr">
        <is>
          <t>出典・メモ（内部）</t>
        </is>
      </c>
    </row>
    <row r="4">
      <c r="A4" s="108" t="inlineStr">
        <is>
          <t>空気調和・換気設備工事</t>
        </is>
      </c>
      <c r="B4" s="109" t="n"/>
      <c r="C4" s="109" t="n"/>
      <c r="D4" s="109" t="n"/>
      <c r="E4" s="109" t="n"/>
      <c r="F4" s="109" t="n"/>
      <c r="G4" s="109" t="n"/>
      <c r="H4" s="109" t="n"/>
      <c r="I4" s="110" t="n"/>
      <c r="J4" s="109" t="n"/>
      <c r="K4" s="109" t="n"/>
      <c r="L4" s="109" t="n"/>
      <c r="M4" s="109" t="n"/>
      <c r="N4" s="109" t="n"/>
      <c r="O4" s="109" t="n"/>
      <c r="P4" s="109" t="n"/>
      <c r="Q4" s="109" t="n"/>
      <c r="R4" s="109" t="n"/>
      <c r="S4" s="109" t="n"/>
      <c r="T4" s="109" t="n"/>
      <c r="U4" s="109" t="n"/>
      <c r="V4" s="109" t="n"/>
      <c r="W4" s="109" t="n"/>
      <c r="X4" s="109" t="n"/>
      <c r="Y4" s="109" t="n"/>
      <c r="Z4" s="109" t="n"/>
    </row>
    <row r="5" ht="20" customHeight="1">
      <c r="A5" s="111" t="inlineStr">
        <is>
          <t>１　空調設備機器</t>
        </is>
      </c>
      <c r="B5" s="40" t="n"/>
      <c r="C5" s="40" t="n"/>
      <c r="D5" s="40" t="n"/>
      <c r="E5" s="40" t="n"/>
      <c r="F5" s="40" t="n"/>
      <c r="G5" s="40" t="n"/>
      <c r="H5" s="40" t="n"/>
      <c r="I5" s="112" t="n"/>
      <c r="J5" s="40" t="n"/>
      <c r="K5" s="40" t="n"/>
      <c r="L5" s="40" t="n"/>
      <c r="M5" s="40" t="n"/>
      <c r="N5" s="40" t="n"/>
      <c r="O5" s="40" t="n"/>
      <c r="P5" s="40" t="n"/>
      <c r="Q5" s="40" t="n"/>
      <c r="R5" s="40" t="n"/>
      <c r="S5" s="40" t="n"/>
      <c r="T5" s="40" t="n"/>
      <c r="U5" s="40" t="n"/>
      <c r="V5" s="40" t="n"/>
      <c r="W5" s="40" t="n"/>
      <c r="X5" s="40" t="n"/>
      <c r="Y5" s="40" t="n"/>
      <c r="Z5" s="40" t="n"/>
    </row>
    <row r="6" ht="18" customHeight="1">
      <c r="A6" s="113" t="inlineStr">
        <is>
          <t xml:space="preserve">　業務用パッケージエアコン（ダイキン）</t>
        </is>
      </c>
      <c r="B6" s="40" t="n"/>
      <c r="C6" s="40" t="n"/>
      <c r="D6" s="40" t="n"/>
      <c r="E6" s="40" t="n"/>
      <c r="F6" s="40" t="n"/>
      <c r="G6" s="40" t="n"/>
      <c r="H6" s="40" t="n"/>
      <c r="I6" s="112" t="n"/>
      <c r="J6" s="40" t="n"/>
      <c r="K6" s="40" t="n"/>
      <c r="L6" s="40" t="n"/>
      <c r="M6" s="40" t="n"/>
      <c r="N6" s="40" t="n"/>
      <c r="O6" s="40" t="n"/>
      <c r="P6" s="40" t="n"/>
      <c r="Q6" s="40" t="n"/>
      <c r="R6" s="40" t="n"/>
      <c r="S6" s="40" t="n"/>
      <c r="T6" s="40" t="n"/>
      <c r="U6" s="40" t="n"/>
      <c r="V6" s="40" t="n"/>
      <c r="W6" s="40" t="n"/>
      <c r="X6" s="40" t="n"/>
      <c r="Y6" s="40" t="n"/>
      <c r="Z6" s="40" t="n"/>
    </row>
    <row r="7" ht="18" customHeight="1">
      <c r="A7" s="114" t="inlineStr">
        <is>
          <t xml:space="preserve">　　AC-1 床置形ペア EcoZEAS</t>
        </is>
      </c>
      <c r="B7" s="40" t="n"/>
      <c r="C7" s="115" t="inlineStr">
        <is>
          <t>SZRV80BZV（P80）単相200V</t>
        </is>
      </c>
      <c r="D7" s="40" t="n"/>
      <c r="E7" s="116" t="n">
        <v>2</v>
      </c>
      <c r="F7" s="117" t="inlineStr">
        <is>
          <t>組</t>
        </is>
      </c>
      <c r="G7" s="116" t="n">
        <v>316500</v>
      </c>
      <c r="H7" s="118">
        <f>ROUND(E7*G7,0)</f>
        <v>633000</v>
      </c>
      <c r="I7" s="119" t="inlineStr">
        <is>
          <t>大間・外陣</t>
        </is>
      </c>
      <c r="J7" s="120" t="inlineStr">
        <is>
          <t>原価基準（仕入率）</t>
        </is>
      </c>
      <c r="K7" s="120" t="n"/>
      <c r="L7" s="121" t="n">
        <v>253200</v>
      </c>
      <c r="M7" s="122" t="n">
        <v>0</v>
      </c>
      <c r="N7" s="116">
        <f>ROUND(M7*LABOR_COST,0)</f>
        <v>0</v>
      </c>
      <c r="O7" s="116">
        <f>L7+N7</f>
        <v>253200</v>
      </c>
      <c r="P7" s="118">
        <f>E7*O7</f>
        <v>506400</v>
      </c>
      <c r="Q7" s="118">
        <f>E7*N7</f>
        <v>0</v>
      </c>
      <c r="R7" s="118">
        <f>IF(H7=0,0,IF(E7*M7*EST_LABOR_PIPE&gt;H7,H7,E7*M7*EST_LABOR_PIPE))</f>
        <v>0</v>
      </c>
      <c r="S7" s="118">
        <f>IF(H7="","",H7-P7)</f>
        <v>126600</v>
      </c>
      <c r="T7" s="123">
        <f>IF(OR(H7="",H7=0),"",S7/H7)</f>
        <v>0.2</v>
      </c>
      <c r="U7" s="40" t="n"/>
      <c r="V7" s="40" t="n"/>
      <c r="W7" s="124" t="inlineStr">
        <is>
          <t>原価基準: 定価 1,266,000円（VE案 8月10日付 定価）× 仕入率 0.20（ダイキン業務用（EcoZEAS・FIVESTAR））＝原価 253,200円 ÷（1－目標粗利率 0.20）</t>
        </is>
      </c>
      <c r="X7" s="124" t="n"/>
      <c r="Y7" s="120" t="inlineStr">
        <is>
          <t>図面カウント</t>
        </is>
      </c>
      <c r="Z7" s="124" t="inlineStr">
        <is>
          <t>定価 1,266,000円 × 仕入率 0.20（ダイキン業務用（EcoZEAS・FIVESTAR））＝原価 253,200円</t>
        </is>
      </c>
    </row>
    <row r="8" ht="18" customHeight="1">
      <c r="A8" s="113" t="inlineStr">
        <is>
          <t xml:space="preserve">　ルームエアコン（ダイキン）</t>
        </is>
      </c>
      <c r="B8" s="40" t="n"/>
      <c r="C8" s="40" t="n"/>
      <c r="D8" s="40" t="n"/>
      <c r="E8" s="40" t="n"/>
      <c r="F8" s="40" t="n"/>
      <c r="G8" s="40" t="n"/>
      <c r="H8" s="40" t="n"/>
      <c r="I8" s="112" t="n"/>
      <c r="J8" s="40" t="n"/>
      <c r="K8" s="40" t="n"/>
      <c r="L8" s="40" t="n"/>
      <c r="M8" s="40" t="n"/>
      <c r="N8" s="40" t="n"/>
      <c r="O8" s="40" t="n"/>
      <c r="P8" s="40" t="n"/>
      <c r="Q8" s="40" t="n"/>
      <c r="R8" s="40" t="n"/>
      <c r="S8" s="40" t="n"/>
      <c r="T8" s="40" t="n"/>
      <c r="U8" s="40" t="n"/>
      <c r="V8" s="40" t="n"/>
      <c r="W8" s="40" t="n"/>
      <c r="X8" s="40" t="n"/>
      <c r="Y8" s="40" t="n"/>
      <c r="Z8" s="40" t="n"/>
    </row>
    <row r="9" ht="18" customHeight="1">
      <c r="A9" s="114" t="inlineStr">
        <is>
          <t xml:space="preserve">　　AC-2 壁掛形</t>
        </is>
      </c>
      <c r="B9" s="40" t="n"/>
      <c r="C9" s="115" t="inlineStr">
        <is>
          <t>S284ATEV-W（2.8kW）単相200V</t>
        </is>
      </c>
      <c r="D9" s="40" t="n"/>
      <c r="E9" s="116" t="n">
        <v>2</v>
      </c>
      <c r="F9" s="117" t="inlineStr">
        <is>
          <t>組</t>
        </is>
      </c>
      <c r="G9" s="116" t="n">
        <v>142500</v>
      </c>
      <c r="H9" s="118">
        <f>ROUND(E9*G9,0)</f>
        <v>285000</v>
      </c>
      <c r="I9" s="119" t="inlineStr">
        <is>
          <t>和室(1)・和室(2)</t>
        </is>
      </c>
      <c r="J9" s="120" t="inlineStr">
        <is>
          <t>原価基準（仕入率）</t>
        </is>
      </c>
      <c r="K9" s="120" t="n"/>
      <c r="L9" s="121" t="n">
        <v>114000</v>
      </c>
      <c r="M9" s="122" t="n">
        <v>0</v>
      </c>
      <c r="N9" s="116">
        <f>ROUND(M9*LABOR_COST,0)</f>
        <v>0</v>
      </c>
      <c r="O9" s="116">
        <f>L9+N9</f>
        <v>114000</v>
      </c>
      <c r="P9" s="118">
        <f>E9*O9</f>
        <v>228000</v>
      </c>
      <c r="Q9" s="118">
        <f>E9*N9</f>
        <v>0</v>
      </c>
      <c r="R9" s="118">
        <f>IF(H9=0,0,IF(E9*M9*EST_LABOR_PIPE&gt;H9,H9,E9*M9*EST_LABOR_PIPE))</f>
        <v>0</v>
      </c>
      <c r="S9" s="118">
        <f>IF(H9="","",H9-P9)</f>
        <v>57000</v>
      </c>
      <c r="T9" s="123">
        <f>IF(OR(H9="",H9=0),"",S9/H9)</f>
        <v>0.2</v>
      </c>
      <c r="U9" s="40" t="n"/>
      <c r="V9" s="40" t="n"/>
      <c r="W9" s="124" t="inlineStr">
        <is>
          <t>原価基準: 定価 380,000円（VE案 8月10日付 定価）× 仕入率 0.30（ダイキン家庭用（定価あり））＝原価 114,000円 ÷（1－目標粗利率 0.20）</t>
        </is>
      </c>
      <c r="X9" s="124" t="n"/>
      <c r="Y9" s="120" t="inlineStr">
        <is>
          <t>図面カウント</t>
        </is>
      </c>
      <c r="Z9" s="124" t="inlineStr">
        <is>
          <t>定価 380,000円 × 仕入率 0.30（ダイキン家庭用（定価あり））＝原価 114,000円</t>
        </is>
      </c>
    </row>
    <row r="10" ht="18" customHeight="1">
      <c r="A10" s="125" t="inlineStr">
        <is>
          <t xml:space="preserve">　　AC-3 壁掛形</t>
        </is>
      </c>
      <c r="B10" s="91" t="n"/>
      <c r="C10" s="126" t="inlineStr">
        <is>
          <t>S404ATEV-W（4.0kW）単相200V</t>
        </is>
      </c>
      <c r="D10" s="91" t="n"/>
      <c r="E10" s="127" t="n">
        <v>1</v>
      </c>
      <c r="F10" s="128" t="inlineStr">
        <is>
          <t>組</t>
        </is>
      </c>
      <c r="G10" s="127" t="n">
        <v>168750</v>
      </c>
      <c r="H10" s="129">
        <f>ROUND(E10*G10,0)</f>
        <v>168750</v>
      </c>
      <c r="I10" s="130" t="inlineStr">
        <is>
          <t>談話室</t>
        </is>
      </c>
      <c r="J10" s="131" t="inlineStr">
        <is>
          <t>原価基準（仕入率）</t>
        </is>
      </c>
      <c r="K10" s="131" t="n"/>
      <c r="L10" s="132" t="n">
        <v>135000</v>
      </c>
      <c r="M10" s="133" t="n">
        <v>0</v>
      </c>
      <c r="N10" s="127">
        <f>ROUND(M10*LABOR_COST,0)</f>
        <v>0</v>
      </c>
      <c r="O10" s="127">
        <f>L10+N10</f>
        <v>135000</v>
      </c>
      <c r="P10" s="129">
        <f>E10*O10</f>
        <v>135000</v>
      </c>
      <c r="Q10" s="129">
        <f>E10*N10</f>
        <v>0</v>
      </c>
      <c r="R10" s="129">
        <f>IF(H10=0,0,IF(E10*M10*EST_LABOR_PIPE&gt;H10,H10,E10*M10*EST_LABOR_PIPE))</f>
        <v>0</v>
      </c>
      <c r="S10" s="129">
        <f>IF(H10="","",H10-P10)</f>
        <v>33750</v>
      </c>
      <c r="T10" s="134">
        <f>IF(OR(H10="",H10=0),"",S10/H10)</f>
        <v>0.2</v>
      </c>
      <c r="U10" s="91" t="n"/>
      <c r="V10" s="91" t="n"/>
      <c r="W10" s="135" t="inlineStr">
        <is>
          <t>原価基準: 定価 450,000円（VE案 8月10日付 定価）× 仕入率 0.30（ダイキン家庭用（定価あり））＝原価 135,000円 ÷（1－目標粗利率 0.20）</t>
        </is>
      </c>
      <c r="X10" s="135" t="n"/>
      <c r="Y10" s="131" t="inlineStr">
        <is>
          <t>図面カウント</t>
        </is>
      </c>
      <c r="Z10" s="135" t="inlineStr">
        <is>
          <t>定価 450,000円 × 仕入率 0.30（ダイキン家庭用（定価あり））＝原価 135,000円</t>
        </is>
      </c>
    </row>
    <row r="11" ht="20" customHeight="1">
      <c r="A11" s="136" t="inlineStr">
        <is>
          <t>－　計　－</t>
        </is>
      </c>
      <c r="B11" s="109" t="n"/>
      <c r="C11" s="109" t="n"/>
      <c r="D11" s="109" t="n"/>
      <c r="E11" s="109" t="n"/>
      <c r="F11" s="109" t="n"/>
      <c r="G11" s="109" t="n"/>
      <c r="H11" s="137">
        <f>SUM(H6:H10)</f>
        <v>1086750</v>
      </c>
      <c r="I11" s="110" t="n"/>
      <c r="J11" s="109" t="n"/>
      <c r="K11" s="109" t="n"/>
      <c r="L11" s="109" t="n"/>
      <c r="M11" s="138">
        <f>SUMPRODUCT(E6:E10,M6:M10)</f>
        <v>0</v>
      </c>
      <c r="N11" s="109" t="n"/>
      <c r="O11" s="109" t="n"/>
      <c r="P11" s="137">
        <f>SUM(P6:P10)</f>
        <v>869400</v>
      </c>
      <c r="Q11" s="137">
        <f>SUM(Q6:Q10)</f>
        <v>0</v>
      </c>
      <c r="R11" s="137">
        <f>SUM(R6:R10)</f>
        <v>0</v>
      </c>
      <c r="S11" s="137">
        <f>H11-P11</f>
        <v>217350</v>
      </c>
      <c r="T11" s="139">
        <f>IF(H11=0,"",S11/H11)</f>
        <v>0.2</v>
      </c>
      <c r="U11" s="109" t="n"/>
      <c r="V11" s="109" t="n"/>
      <c r="W11" s="109" t="n"/>
      <c r="X11" s="109" t="n"/>
      <c r="Y11" s="109" t="n"/>
      <c r="Z11" s="109" t="n"/>
    </row>
    <row r="12" ht="10" customHeight="1">
      <c r="A12" s="140" t="n"/>
      <c r="B12" s="40" t="n"/>
      <c r="C12" s="40" t="n"/>
      <c r="D12" s="40" t="n"/>
      <c r="E12" s="40" t="n"/>
      <c r="F12" s="40" t="n"/>
      <c r="G12" s="40" t="n"/>
      <c r="H12" s="40" t="n"/>
      <c r="I12" s="112" t="n"/>
      <c r="J12" s="40" t="n"/>
      <c r="K12" s="40" t="n"/>
      <c r="L12" s="40" t="n"/>
      <c r="M12" s="40" t="n"/>
      <c r="N12" s="40" t="n"/>
      <c r="O12" s="40" t="n"/>
      <c r="P12" s="40" t="n"/>
      <c r="Q12" s="40" t="n"/>
      <c r="R12" s="40" t="n"/>
      <c r="S12" s="40" t="n"/>
      <c r="T12" s="40" t="n"/>
      <c r="U12" s="40" t="n"/>
      <c r="V12" s="40" t="n"/>
      <c r="W12" s="40" t="n"/>
      <c r="X12" s="40" t="n"/>
      <c r="Y12" s="40" t="n"/>
      <c r="Z12" s="40" t="n"/>
    </row>
    <row r="13" ht="20" customHeight="1">
      <c r="A13" s="111" t="inlineStr">
        <is>
          <t>２　空調設備工事</t>
        </is>
      </c>
      <c r="B13" s="40" t="n"/>
      <c r="C13" s="40" t="n"/>
      <c r="D13" s="40" t="n"/>
      <c r="E13" s="40" t="n"/>
      <c r="F13" s="40" t="n"/>
      <c r="G13" s="40" t="n"/>
      <c r="H13" s="40" t="n"/>
      <c r="I13" s="112" t="n"/>
      <c r="J13" s="40" t="n"/>
      <c r="K13" s="40" t="n"/>
      <c r="L13" s="40" t="n"/>
      <c r="M13" s="40" t="n"/>
      <c r="N13" s="40" t="n"/>
      <c r="O13" s="40" t="n"/>
      <c r="P13" s="40" t="n"/>
      <c r="Q13" s="40" t="n"/>
      <c r="R13" s="40" t="n"/>
      <c r="S13" s="40" t="n"/>
      <c r="T13" s="40" t="n"/>
      <c r="U13" s="40" t="n"/>
      <c r="V13" s="40" t="n"/>
      <c r="W13" s="40" t="n"/>
      <c r="X13" s="40" t="n"/>
      <c r="Y13" s="40" t="n"/>
      <c r="Z13" s="40" t="n"/>
    </row>
    <row r="14" ht="18" customHeight="1">
      <c r="A14" s="113" t="inlineStr">
        <is>
          <t xml:space="preserve">　搬入据付工事</t>
        </is>
      </c>
      <c r="B14" s="40" t="n"/>
      <c r="C14" s="40" t="n"/>
      <c r="D14" s="40" t="n"/>
      <c r="E14" s="40" t="n"/>
      <c r="F14" s="40" t="n"/>
      <c r="G14" s="40" t="n"/>
      <c r="H14" s="40" t="n"/>
      <c r="I14" s="112" t="n"/>
      <c r="J14" s="40" t="n"/>
      <c r="K14" s="40" t="n"/>
      <c r="L14" s="40" t="n"/>
      <c r="M14" s="40" t="n"/>
      <c r="N14" s="40" t="n"/>
      <c r="O14" s="40" t="n"/>
      <c r="P14" s="40" t="n"/>
      <c r="Q14" s="40" t="n"/>
      <c r="R14" s="40" t="n"/>
      <c r="S14" s="40" t="n"/>
      <c r="T14" s="40" t="n"/>
      <c r="U14" s="40" t="n"/>
      <c r="V14" s="40" t="n"/>
      <c r="W14" s="40" t="n"/>
      <c r="X14" s="40" t="n"/>
      <c r="Y14" s="40" t="n"/>
      <c r="Z14" s="40" t="n"/>
    </row>
    <row r="15" ht="18" customHeight="1">
      <c r="A15" s="114" t="inlineStr">
        <is>
          <t xml:space="preserve">　　SA 室外機</t>
        </is>
      </c>
      <c r="B15" s="40" t="n"/>
      <c r="C15" s="115" t="inlineStr">
        <is>
          <t>P80（SZRV80BZV）地上設置</t>
        </is>
      </c>
      <c r="D15" s="40" t="n"/>
      <c r="E15" s="116" t="n">
        <v>2</v>
      </c>
      <c r="F15" s="117" t="inlineStr">
        <is>
          <t>台</t>
        </is>
      </c>
      <c r="G15" s="116" t="n">
        <v>8750</v>
      </c>
      <c r="H15" s="118">
        <f>ROUND(E15*G15,0)</f>
        <v>17500</v>
      </c>
      <c r="I15" s="119" t="inlineStr">
        <is>
          <t>大間・外陣</t>
        </is>
      </c>
      <c r="J15" s="120" t="inlineStr">
        <is>
          <t>エスト見積</t>
        </is>
      </c>
      <c r="K15" s="120" t="n"/>
      <c r="L15" s="121" t="n">
        <v>1500</v>
      </c>
      <c r="M15" s="122" t="n">
        <v>0.8</v>
      </c>
      <c r="N15" s="116">
        <f>ROUND(M15*LABOR_COST,0)</f>
        <v>15200</v>
      </c>
      <c r="O15" s="116">
        <f>L15+N15</f>
        <v>16700</v>
      </c>
      <c r="P15" s="118">
        <f>E15*O15</f>
        <v>33400</v>
      </c>
      <c r="Q15" s="118">
        <f>E15*N15</f>
        <v>30400</v>
      </c>
      <c r="R15" s="118">
        <f>IF(H15=0,0,IF(E15*M15*EST_LABOR_PIPE&gt;H15,H15,E15*M15*EST_LABOR_PIPE))</f>
        <v>17500</v>
      </c>
      <c r="S15" s="118">
        <f>IF(H15="","",H15-P15)</f>
        <v>-15900</v>
      </c>
      <c r="T15" s="123">
        <f>IF(OR(H15="",H15=0),"",S15/H15)</f>
        <v>-0.9085714285714286</v>
      </c>
      <c r="U15" s="40" t="n"/>
      <c r="V15" s="40" t="n"/>
      <c r="W15" s="124" t="inlineStr">
        <is>
          <t>エスト見積 6330560-1 SA 室外機 11.2-16.0</t>
        </is>
      </c>
      <c r="X15" s="124" t="inlineStr">
        <is>
          <t>SA室外機 地上設置 P112 13,000（P80 はエスト見積 11.2-16.0 を準用）</t>
        </is>
      </c>
      <c r="Y15" s="120" t="inlineStr">
        <is>
          <t>図面カウント</t>
        </is>
      </c>
      <c r="Z15" s="124" t="inlineStr">
        <is>
          <t>エスト見積の 11.2-16.0 を P80 に準用</t>
        </is>
      </c>
    </row>
    <row r="16" ht="18" customHeight="1">
      <c r="A16" s="114" t="inlineStr">
        <is>
          <t xml:space="preserve">　　SA 室内機</t>
        </is>
      </c>
      <c r="B16" s="40" t="n"/>
      <c r="C16" s="115" t="inlineStr">
        <is>
          <t>床置形 P80（転倒防止金具共）</t>
        </is>
      </c>
      <c r="D16" s="40" t="n"/>
      <c r="E16" s="116" t="n">
        <v>2</v>
      </c>
      <c r="F16" s="117" t="inlineStr">
        <is>
          <t>台</t>
        </is>
      </c>
      <c r="G16" s="116" t="n">
        <v>13000</v>
      </c>
      <c r="H16" s="118">
        <f>ROUND(E16*G16,0)</f>
        <v>26000</v>
      </c>
      <c r="I16" s="119" t="inlineStr">
        <is>
          <t>大間・外陣</t>
        </is>
      </c>
      <c r="J16" s="120" t="inlineStr">
        <is>
          <t>エストマスタ</t>
        </is>
      </c>
      <c r="K16" s="120" t="n"/>
      <c r="L16" s="121" t="n">
        <v>1500</v>
      </c>
      <c r="M16" s="122" t="n">
        <v>0.8</v>
      </c>
      <c r="N16" s="116">
        <f>ROUND(M16*LABOR_COST,0)</f>
        <v>15200</v>
      </c>
      <c r="O16" s="116">
        <f>L16+N16</f>
        <v>16700</v>
      </c>
      <c r="P16" s="118">
        <f>E16*O16</f>
        <v>33400</v>
      </c>
      <c r="Q16" s="118">
        <f>E16*N16</f>
        <v>30400</v>
      </c>
      <c r="R16" s="118">
        <f>IF(H16=0,0,IF(E16*M16*EST_LABOR_PIPE&gt;H16,H16,E16*M16*EST_LABOR_PIPE))</f>
        <v>26000</v>
      </c>
      <c r="S16" s="118">
        <f>IF(H16="","",H16-P16)</f>
        <v>-7400</v>
      </c>
      <c r="T16" s="123">
        <f>IF(OR(H16="",H16=0),"",S16/H16)</f>
        <v>-0.2846153846153846</v>
      </c>
      <c r="U16" s="40" t="n"/>
      <c r="V16" s="40" t="n"/>
      <c r="W16" s="124" t="inlineStr">
        <is>
          <t>エストマスタ 搬入据付 スカイエア室内機 床置形 P140</t>
        </is>
      </c>
      <c r="X16" s="124" t="inlineStr">
        <is>
          <t>SA室内機 床置形 P140 13,000（P80 に準用）</t>
        </is>
      </c>
      <c r="Y16" s="120" t="inlineStr">
        <is>
          <t>図面カウント</t>
        </is>
      </c>
      <c r="Z16" s="124" t="inlineStr">
        <is>
          <t>エストマスタ 床置形 P140 を P80 に準用</t>
        </is>
      </c>
    </row>
    <row r="17" ht="18" customHeight="1">
      <c r="A17" s="114" t="inlineStr">
        <is>
          <t xml:space="preserve">　　RA 室外機</t>
        </is>
      </c>
      <c r="B17" s="40" t="n"/>
      <c r="C17" s="115" t="inlineStr">
        <is>
          <t>セパレート 2.2-5.0（S284/S404）</t>
        </is>
      </c>
      <c r="D17" s="40" t="n"/>
      <c r="E17" s="116" t="n">
        <v>3</v>
      </c>
      <c r="F17" s="117" t="inlineStr">
        <is>
          <t>台</t>
        </is>
      </c>
      <c r="G17" s="116" t="n">
        <v>6250</v>
      </c>
      <c r="H17" s="118">
        <f>ROUND(E17*G17,0)</f>
        <v>18750</v>
      </c>
      <c r="I17" s="119" t="inlineStr">
        <is>
          <t>和室・談話室</t>
        </is>
      </c>
      <c r="J17" s="120" t="inlineStr">
        <is>
          <t>エスト見積</t>
        </is>
      </c>
      <c r="K17" s="120" t="n"/>
      <c r="L17" s="121" t="n">
        <v>500</v>
      </c>
      <c r="M17" s="122" t="n">
        <v>0.4</v>
      </c>
      <c r="N17" s="116">
        <f>ROUND(M17*LABOR_COST,0)</f>
        <v>7600</v>
      </c>
      <c r="O17" s="116">
        <f>L17+N17</f>
        <v>8100</v>
      </c>
      <c r="P17" s="118">
        <f>E17*O17</f>
        <v>24300</v>
      </c>
      <c r="Q17" s="118">
        <f>E17*N17</f>
        <v>22800</v>
      </c>
      <c r="R17" s="118">
        <f>IF(H17=0,0,IF(E17*M17*EST_LABOR_PIPE&gt;H17,H17,E17*M17*EST_LABOR_PIPE))</f>
        <v>18750</v>
      </c>
      <c r="S17" s="118">
        <f>IF(H17="","",H17-P17)</f>
        <v>-5550</v>
      </c>
      <c r="T17" s="123">
        <f>IF(OR(H17="",H17=0),"",S17/H17)</f>
        <v>-0.296</v>
      </c>
      <c r="U17" s="40" t="n"/>
      <c r="V17" s="40" t="n"/>
      <c r="W17" s="124" t="inlineStr">
        <is>
          <t>エスト見積 6330560-1 RA 室外機 セパレート2.2-5.0</t>
        </is>
      </c>
      <c r="X17" s="124" t="inlineStr">
        <is>
          <t>ルームエアコン 室外機 地上設置 2,000</t>
        </is>
      </c>
      <c r="Y17" s="120" t="inlineStr">
        <is>
          <t>図面カウント</t>
        </is>
      </c>
      <c r="Z17" s="124" t="n"/>
    </row>
    <row r="18" ht="18" customHeight="1">
      <c r="A18" s="114" t="inlineStr">
        <is>
          <t xml:space="preserve">　　RA 室内機</t>
        </is>
      </c>
      <c r="B18" s="40" t="n"/>
      <c r="C18" s="115" t="inlineStr">
        <is>
          <t>壁掛（据付板・ドレンホース共）</t>
        </is>
      </c>
      <c r="D18" s="40" t="n"/>
      <c r="E18" s="116" t="n">
        <v>3</v>
      </c>
      <c r="F18" s="117" t="inlineStr">
        <is>
          <t>台</t>
        </is>
      </c>
      <c r="G18" s="116" t="n">
        <v>6250</v>
      </c>
      <c r="H18" s="118">
        <f>ROUND(E18*G18,0)</f>
        <v>18750</v>
      </c>
      <c r="I18" s="119" t="inlineStr">
        <is>
          <t>和室・談話室</t>
        </is>
      </c>
      <c r="J18" s="120" t="inlineStr">
        <is>
          <t>エスト見積</t>
        </is>
      </c>
      <c r="K18" s="120" t="n"/>
      <c r="L18" s="121" t="n">
        <v>800</v>
      </c>
      <c r="M18" s="122" t="n">
        <v>0.5</v>
      </c>
      <c r="N18" s="116">
        <f>ROUND(M18*LABOR_COST,0)</f>
        <v>9500</v>
      </c>
      <c r="O18" s="116">
        <f>L18+N18</f>
        <v>10300</v>
      </c>
      <c r="P18" s="118">
        <f>E18*O18</f>
        <v>30900</v>
      </c>
      <c r="Q18" s="118">
        <f>E18*N18</f>
        <v>28500</v>
      </c>
      <c r="R18" s="118">
        <f>IF(H18=0,0,IF(E18*M18*EST_LABOR_PIPE&gt;H18,H18,E18*M18*EST_LABOR_PIPE))</f>
        <v>18750</v>
      </c>
      <c r="S18" s="118">
        <f>IF(H18="","",H18-P18)</f>
        <v>-12150</v>
      </c>
      <c r="T18" s="123">
        <f>IF(OR(H18="",H18=0),"",S18/H18)</f>
        <v>-0.648</v>
      </c>
      <c r="U18" s="40" t="n"/>
      <c r="V18" s="40" t="n"/>
      <c r="W18" s="124" t="inlineStr">
        <is>
          <t>エスト見積 6330560-1 RA 室内機 壁掛</t>
        </is>
      </c>
      <c r="X18" s="124" t="inlineStr">
        <is>
          <t>ルームエアコン 室内機 壁掛形 P22 5,000</t>
        </is>
      </c>
      <c r="Y18" s="120" t="inlineStr">
        <is>
          <t>図面カウント</t>
        </is>
      </c>
      <c r="Z18" s="124" t="n"/>
    </row>
    <row r="19" ht="18" customHeight="1">
      <c r="A19" s="113" t="inlineStr">
        <is>
          <t xml:space="preserve">　基礎工事</t>
        </is>
      </c>
      <c r="B19" s="40" t="n"/>
      <c r="C19" s="40" t="n"/>
      <c r="D19" s="40" t="n"/>
      <c r="E19" s="40" t="n"/>
      <c r="F19" s="40" t="n"/>
      <c r="G19" s="40" t="n"/>
      <c r="H19" s="40" t="n"/>
      <c r="I19" s="112" t="n"/>
      <c r="J19" s="40" t="n"/>
      <c r="K19" s="40" t="n"/>
      <c r="L19" s="40" t="n"/>
      <c r="M19" s="40" t="n"/>
      <c r="N19" s="40" t="n"/>
      <c r="O19" s="40" t="n"/>
      <c r="P19" s="40" t="n"/>
      <c r="Q19" s="40" t="n"/>
      <c r="R19" s="40" t="n"/>
      <c r="S19" s="40" t="n"/>
      <c r="T19" s="40" t="n"/>
      <c r="U19" s="40" t="n"/>
      <c r="V19" s="40" t="n"/>
      <c r="W19" s="40" t="n"/>
      <c r="X19" s="40" t="n"/>
      <c r="Y19" s="40" t="n"/>
      <c r="Z19" s="40" t="n"/>
    </row>
    <row r="20" ht="18" customHeight="1">
      <c r="A20" s="114" t="inlineStr">
        <is>
          <t xml:space="preserve">　　基礎工事</t>
        </is>
      </c>
      <c r="B20" s="40" t="n"/>
      <c r="C20" s="115" t="inlineStr">
        <is>
          <t>縁石基礎（SA 室外機 P80）</t>
        </is>
      </c>
      <c r="D20" s="40" t="n"/>
      <c r="E20" s="116" t="n">
        <v>2</v>
      </c>
      <c r="F20" s="117" t="inlineStr">
        <is>
          <t>台</t>
        </is>
      </c>
      <c r="G20" s="116" t="n">
        <v>5000</v>
      </c>
      <c r="H20" s="118">
        <f>ROUND(E20*G20,0)</f>
        <v>10000</v>
      </c>
      <c r="I20" s="119" t="inlineStr">
        <is>
          <t>大間・外陣</t>
        </is>
      </c>
      <c r="J20" s="120" t="inlineStr">
        <is>
          <t>エスト見積</t>
        </is>
      </c>
      <c r="K20" s="120" t="n"/>
      <c r="L20" s="121" t="n">
        <v>2500</v>
      </c>
      <c r="M20" s="122" t="n">
        <v>0.15</v>
      </c>
      <c r="N20" s="116">
        <f>ROUND(M20*LABOR_COST,0)</f>
        <v>2850</v>
      </c>
      <c r="O20" s="116">
        <f>L20+N20</f>
        <v>5350</v>
      </c>
      <c r="P20" s="118">
        <f>E20*O20</f>
        <v>10700</v>
      </c>
      <c r="Q20" s="118">
        <f>E20*N20</f>
        <v>5700</v>
      </c>
      <c r="R20" s="118">
        <f>IF(H20=0,0,IF(E20*M20*EST_LABOR_PIPE&gt;H20,H20,E20*M20*EST_LABOR_PIPE))</f>
        <v>10000</v>
      </c>
      <c r="S20" s="118">
        <f>IF(H20="","",H20-P20)</f>
        <v>-700</v>
      </c>
      <c r="T20" s="123">
        <f>IF(OR(H20="",H20=0),"",S20/H20)</f>
        <v>-0.07</v>
      </c>
      <c r="U20" s="40" t="n"/>
      <c r="V20" s="40" t="n"/>
      <c r="W20" s="124" t="inlineStr">
        <is>
          <t>エスト見積 6330560-1 縁石 11.2-16.0</t>
        </is>
      </c>
      <c r="X20" s="124" t="inlineStr">
        <is>
          <t>基礎工事 スカイエア 縁石基礎 P28〜P140 5,000</t>
        </is>
      </c>
      <c r="Y20" s="120" t="inlineStr">
        <is>
          <t>図面カウント</t>
        </is>
      </c>
      <c r="Z20" s="124" t="inlineStr">
        <is>
          <t>エスト見積 縁石 11.2-16.0 を準用</t>
        </is>
      </c>
    </row>
    <row r="21" ht="26.5" customHeight="1">
      <c r="A21" s="114" t="inlineStr">
        <is>
          <t xml:space="preserve">　　室外機置台</t>
        </is>
      </c>
      <c r="B21" s="40" t="n"/>
      <c r="C21" s="141" t="inlineStr">
        <is>
          <t>RA 室外機用 プラ製（防振ゴム付）</t>
        </is>
      </c>
      <c r="D21" s="40" t="n"/>
      <c r="E21" s="116" t="n">
        <v>3</v>
      </c>
      <c r="F21" s="117" t="inlineStr">
        <is>
          <t>台</t>
        </is>
      </c>
      <c r="G21" s="116" t="n">
        <v>5500</v>
      </c>
      <c r="H21" s="118">
        <f>ROUND(E21*G21,0)</f>
        <v>16500</v>
      </c>
      <c r="I21" s="119" t="inlineStr">
        <is>
          <t>和室・談話室</t>
        </is>
      </c>
      <c r="J21" s="120" t="inlineStr">
        <is>
          <t>当社単価（要確認）</t>
        </is>
      </c>
      <c r="K21" s="142" t="inlineStr">
        <is>
          <t>単価要確認</t>
        </is>
      </c>
      <c r="L21" s="121" t="n">
        <v>2500</v>
      </c>
      <c r="M21" s="122" t="n">
        <v>0.1</v>
      </c>
      <c r="N21" s="116">
        <f>ROUND(M21*LABOR_COST,0)</f>
        <v>1900</v>
      </c>
      <c r="O21" s="116">
        <f>L21+N21</f>
        <v>4400</v>
      </c>
      <c r="P21" s="118">
        <f>E21*O21</f>
        <v>13200</v>
      </c>
      <c r="Q21" s="118">
        <f>E21*N21</f>
        <v>5700</v>
      </c>
      <c r="R21" s="118">
        <f>IF(H21=0,0,IF(E21*M21*EST_LABOR_PIPE&gt;H21,H21,E21*M21*EST_LABOR_PIPE))</f>
        <v>10125.000000000002</v>
      </c>
      <c r="S21" s="118">
        <f>IF(H21="","",H21-P21)</f>
        <v>3300</v>
      </c>
      <c r="T21" s="123">
        <f>IF(OR(H21="",H21=0),"",S21/H21)</f>
        <v>0.2</v>
      </c>
      <c r="U21" s="40" t="n"/>
      <c r="V21" s="40" t="n"/>
      <c r="W21" s="124" t="inlineStr">
        <is>
          <t>当社単価: 置台 2,500＋0.1人工（エストに単価なし）</t>
        </is>
      </c>
      <c r="X21" s="124" t="inlineStr">
        <is>
          <t>（エストマスタに単価なし）</t>
        </is>
      </c>
      <c r="Y21" s="120" t="inlineStr">
        <is>
          <t>図面カウント</t>
        </is>
      </c>
      <c r="Z21" s="124" t="n"/>
    </row>
    <row r="22" ht="18" customHeight="1">
      <c r="A22" s="113" t="inlineStr">
        <is>
          <t xml:space="preserve">　試運転調整費</t>
        </is>
      </c>
      <c r="B22" s="40" t="n"/>
      <c r="C22" s="40" t="n"/>
      <c r="D22" s="40" t="n"/>
      <c r="E22" s="40" t="n"/>
      <c r="F22" s="40" t="n"/>
      <c r="G22" s="40" t="n"/>
      <c r="H22" s="40" t="n"/>
      <c r="I22" s="112" t="n"/>
      <c r="J22" s="40" t="n"/>
      <c r="K22" s="40" t="n"/>
      <c r="L22" s="40" t="n"/>
      <c r="M22" s="40" t="n"/>
      <c r="N22" s="40" t="n"/>
      <c r="O22" s="40" t="n"/>
      <c r="P22" s="40" t="n"/>
      <c r="Q22" s="40" t="n"/>
      <c r="R22" s="40" t="n"/>
      <c r="S22" s="40" t="n"/>
      <c r="T22" s="40" t="n"/>
      <c r="U22" s="40" t="n"/>
      <c r="V22" s="40" t="n"/>
      <c r="W22" s="40" t="n"/>
      <c r="X22" s="40" t="n"/>
      <c r="Y22" s="40" t="n"/>
      <c r="Z22" s="40" t="n"/>
    </row>
    <row r="23" ht="18" customHeight="1">
      <c r="A23" s="114" t="inlineStr">
        <is>
          <t xml:space="preserve">　　試運転調整費</t>
        </is>
      </c>
      <c r="B23" s="40" t="n"/>
      <c r="C23" s="115" t="inlineStr">
        <is>
          <t>SA 室外機（-160）</t>
        </is>
      </c>
      <c r="D23" s="40" t="n"/>
      <c r="E23" s="116" t="n">
        <v>2</v>
      </c>
      <c r="F23" s="117" t="inlineStr">
        <is>
          <t>台</t>
        </is>
      </c>
      <c r="G23" s="116" t="n">
        <v>10000</v>
      </c>
      <c r="H23" s="118">
        <f>ROUND(E23*G23,0)</f>
        <v>20000</v>
      </c>
      <c r="I23" s="119" t="n"/>
      <c r="J23" s="120" t="inlineStr">
        <is>
          <t>エスト見積</t>
        </is>
      </c>
      <c r="K23" s="120" t="n"/>
      <c r="L23" s="121" t="n">
        <v>450</v>
      </c>
      <c r="M23" s="122" t="n">
        <v>0.45</v>
      </c>
      <c r="N23" s="116">
        <f>ROUND(M23*LABOR_COST,0)</f>
        <v>8550</v>
      </c>
      <c r="O23" s="116">
        <f>L23+N23</f>
        <v>9000</v>
      </c>
      <c r="P23" s="118">
        <f>E23*O23</f>
        <v>18000</v>
      </c>
      <c r="Q23" s="118">
        <f>E23*N23</f>
        <v>17100</v>
      </c>
      <c r="R23" s="118">
        <f>IF(H23=0,0,IF(E23*M23*EST_LABOR_PIPE&gt;H23,H23,E23*M23*EST_LABOR_PIPE))</f>
        <v>20000</v>
      </c>
      <c r="S23" s="118">
        <f>IF(H23="","",H23-P23)</f>
        <v>2000</v>
      </c>
      <c r="T23" s="123">
        <f>IF(OR(H23="",H23=0),"",S23/H23)</f>
        <v>0.1</v>
      </c>
      <c r="U23" s="40" t="n"/>
      <c r="V23" s="40" t="n"/>
      <c r="W23" s="124" t="inlineStr">
        <is>
          <t>エスト見積 6330560-1 試運転調整費 SA 室外機(-160)</t>
        </is>
      </c>
      <c r="X23" s="124" t="n"/>
      <c r="Y23" s="120" t="inlineStr">
        <is>
          <t>図面カウント</t>
        </is>
      </c>
      <c r="Z23" s="124" t="n"/>
    </row>
    <row r="24" ht="18" customHeight="1">
      <c r="A24" s="114" t="inlineStr">
        <is>
          <t xml:space="preserve">　　試運転調整費</t>
        </is>
      </c>
      <c r="B24" s="40" t="n"/>
      <c r="C24" s="115" t="inlineStr">
        <is>
          <t>RA 室外機（0-56）</t>
        </is>
      </c>
      <c r="D24" s="40" t="n"/>
      <c r="E24" s="116" t="n">
        <v>3</v>
      </c>
      <c r="F24" s="117" t="inlineStr">
        <is>
          <t>台</t>
        </is>
      </c>
      <c r="G24" s="116" t="n">
        <v>2500</v>
      </c>
      <c r="H24" s="118">
        <f>ROUND(E24*G24,0)</f>
        <v>7500</v>
      </c>
      <c r="I24" s="119" t="n"/>
      <c r="J24" s="120" t="inlineStr">
        <is>
          <t>エスト見積</t>
        </is>
      </c>
      <c r="K24" s="120" t="n"/>
      <c r="L24" s="121" t="n">
        <v>0</v>
      </c>
      <c r="M24" s="122" t="n">
        <v>0.15</v>
      </c>
      <c r="N24" s="116">
        <f>ROUND(M24*LABOR_COST,0)</f>
        <v>2850</v>
      </c>
      <c r="O24" s="116">
        <f>L24+N24</f>
        <v>2850</v>
      </c>
      <c r="P24" s="118">
        <f>E24*O24</f>
        <v>8550</v>
      </c>
      <c r="Q24" s="118">
        <f>E24*N24</f>
        <v>8550</v>
      </c>
      <c r="R24" s="118">
        <f>IF(H24=0,0,IF(E24*M24*EST_LABOR_PIPE&gt;H24,H24,E24*M24*EST_LABOR_PIPE))</f>
        <v>7500</v>
      </c>
      <c r="S24" s="118">
        <f>IF(H24="","",H24-P24)</f>
        <v>-1050</v>
      </c>
      <c r="T24" s="123">
        <f>IF(OR(H24="",H24=0),"",S24/H24)</f>
        <v>-0.14</v>
      </c>
      <c r="U24" s="40" t="n"/>
      <c r="V24" s="40" t="n"/>
      <c r="W24" s="124" t="inlineStr">
        <is>
          <t>エスト見積 6330560-1 試運転調整費 RA 室外機(0-56)</t>
        </is>
      </c>
      <c r="X24" s="124" t="n"/>
      <c r="Y24" s="120" t="inlineStr">
        <is>
          <t>図面カウント</t>
        </is>
      </c>
      <c r="Z24" s="124" t="n"/>
    </row>
    <row r="25" ht="18" customHeight="1">
      <c r="A25" s="114" t="inlineStr">
        <is>
          <t xml:space="preserve">　　消耗品及び雑材料</t>
        </is>
      </c>
      <c r="B25" s="40" t="n"/>
      <c r="C25" s="40" t="n"/>
      <c r="D25" s="40" t="n"/>
      <c r="E25" s="116" t="n">
        <v>1</v>
      </c>
      <c r="F25" s="117" t="inlineStr">
        <is>
          <t>式</t>
        </is>
      </c>
      <c r="G25" s="40" t="n"/>
      <c r="H25" s="118">
        <f>ROUNDUP(SUM(H14:H24)*U25,-2)</f>
        <v>4100</v>
      </c>
      <c r="I25" s="112" t="n"/>
      <c r="J25" s="143" t="inlineStr">
        <is>
          <t>経費</t>
        </is>
      </c>
      <c r="K25" s="40" t="n"/>
      <c r="L25" s="40" t="n"/>
      <c r="M25" s="40" t="n"/>
      <c r="N25" s="40" t="n"/>
      <c r="O25" s="40" t="n"/>
      <c r="P25" s="118" t="n">
        <v>0</v>
      </c>
      <c r="Q25" s="118" t="n">
        <v>0</v>
      </c>
      <c r="R25" s="118" t="n">
        <v>0</v>
      </c>
      <c r="S25" s="40" t="n"/>
      <c r="T25" s="40" t="n"/>
      <c r="U25" s="144" t="n">
        <v>0.03</v>
      </c>
      <c r="V25" s="40" t="n"/>
      <c r="W25" s="124" t="inlineStr">
        <is>
          <t>基礎額×率（100円未満切上げ）</t>
        </is>
      </c>
      <c r="X25" s="124" t="n"/>
      <c r="Y25" s="120" t="n"/>
      <c r="Z25" s="40" t="n"/>
    </row>
    <row r="26" ht="18" customHeight="1">
      <c r="A26" s="114" t="inlineStr">
        <is>
          <t xml:space="preserve">　　資材運搬交通費</t>
        </is>
      </c>
      <c r="B26" s="40" t="n"/>
      <c r="C26" s="40" t="n"/>
      <c r="D26" s="40" t="n"/>
      <c r="E26" s="116" t="n">
        <v>1</v>
      </c>
      <c r="F26" s="117" t="inlineStr">
        <is>
          <t>式</t>
        </is>
      </c>
      <c r="G26" s="40" t="n"/>
      <c r="H26" s="118">
        <f>ROUNDUP((SUM(H14:H24)+H25)*U26,-2)</f>
        <v>5600</v>
      </c>
      <c r="I26" s="112" t="n"/>
      <c r="J26" s="143" t="inlineStr">
        <is>
          <t>経費</t>
        </is>
      </c>
      <c r="K26" s="40" t="n"/>
      <c r="L26" s="40" t="n"/>
      <c r="M26" s="40" t="n"/>
      <c r="N26" s="40" t="n"/>
      <c r="O26" s="40" t="n"/>
      <c r="P26" s="118" t="n">
        <v>0</v>
      </c>
      <c r="Q26" s="118" t="n">
        <v>0</v>
      </c>
      <c r="R26" s="118" t="n">
        <v>0</v>
      </c>
      <c r="S26" s="40" t="n"/>
      <c r="T26" s="40" t="n"/>
      <c r="U26" s="144" t="n">
        <v>0.04</v>
      </c>
      <c r="V26" s="40" t="n"/>
      <c r="W26" s="124" t="inlineStr">
        <is>
          <t>（基礎額＋消耗品）×率（100円未満切上げ）</t>
        </is>
      </c>
      <c r="X26" s="124" t="n"/>
      <c r="Y26" s="120" t="n"/>
      <c r="Z26" s="40" t="n"/>
    </row>
    <row r="27" ht="18" customHeight="1">
      <c r="A27" s="125" t="inlineStr">
        <is>
          <t xml:space="preserve">　　現場経費</t>
        </is>
      </c>
      <c r="B27" s="91" t="n"/>
      <c r="C27" s="91" t="n"/>
      <c r="D27" s="91" t="n"/>
      <c r="E27" s="127" t="n">
        <v>1</v>
      </c>
      <c r="F27" s="128" t="inlineStr">
        <is>
          <t>式</t>
        </is>
      </c>
      <c r="G27" s="91" t="n"/>
      <c r="H27" s="129">
        <f>ROUNDUP((SUM(H14:H24)+H25+H26)+ROUNDUP((SUM(H14:H24)+H25+H26)*U27,-2),-3)-(SUM(H14:H24)+H25+H26)</f>
        <v>12300</v>
      </c>
      <c r="I27" s="145" t="n"/>
      <c r="J27" s="146" t="inlineStr">
        <is>
          <t>経費</t>
        </is>
      </c>
      <c r="K27" s="91" t="n"/>
      <c r="L27" s="91" t="n"/>
      <c r="M27" s="91" t="n"/>
      <c r="N27" s="91" t="n"/>
      <c r="O27" s="91" t="n"/>
      <c r="P27" s="129" t="n">
        <v>0</v>
      </c>
      <c r="Q27" s="129" t="n">
        <v>0</v>
      </c>
      <c r="R27" s="129" t="n">
        <v>0</v>
      </c>
      <c r="S27" s="91" t="n"/>
      <c r="T27" s="91" t="n"/>
      <c r="U27" s="147" t="n">
        <v>0.08</v>
      </c>
      <c r="V27" s="91" t="n"/>
      <c r="W27" s="135" t="inlineStr">
        <is>
          <t>（基礎額＋消耗品＋運搬費）×率を加え、計を1,000円未満切上げ</t>
        </is>
      </c>
      <c r="X27" s="135" t="n"/>
      <c r="Y27" s="131" t="n"/>
      <c r="Z27" s="91" t="n"/>
    </row>
    <row r="28" ht="20" customHeight="1">
      <c r="A28" s="136" t="inlineStr">
        <is>
          <t>－　計　－</t>
        </is>
      </c>
      <c r="B28" s="109" t="n"/>
      <c r="C28" s="109" t="n"/>
      <c r="D28" s="109" t="n"/>
      <c r="E28" s="109" t="n"/>
      <c r="F28" s="109" t="n"/>
      <c r="G28" s="109" t="n"/>
      <c r="H28" s="137">
        <f>SUM(H14:H27)</f>
        <v>157000</v>
      </c>
      <c r="I28" s="110" t="n"/>
      <c r="J28" s="109" t="n"/>
      <c r="K28" s="109" t="n"/>
      <c r="L28" s="109" t="n"/>
      <c r="M28" s="138">
        <f>SUMPRODUCT(E14:E27,M14:M27)</f>
        <v>7.8500000000000005</v>
      </c>
      <c r="N28" s="109" t="n"/>
      <c r="O28" s="109" t="n"/>
      <c r="P28" s="137">
        <f>SUM(P14:P27)</f>
        <v>172450</v>
      </c>
      <c r="Q28" s="137">
        <f>SUM(Q14:Q27)</f>
        <v>149150</v>
      </c>
      <c r="R28" s="137">
        <f>SUM(R14:R27)</f>
        <v>128625</v>
      </c>
      <c r="S28" s="137">
        <f>H28-P28</f>
        <v>-15450</v>
      </c>
      <c r="T28" s="139">
        <f>IF(H28=0,"",S28/H28)</f>
        <v>-0.09840764331210192</v>
      </c>
      <c r="U28" s="109" t="n"/>
      <c r="V28" s="109" t="n"/>
      <c r="W28" s="109" t="n"/>
      <c r="X28" s="109" t="n"/>
      <c r="Y28" s="109" t="n"/>
      <c r="Z28" s="109" t="n"/>
    </row>
    <row r="29" ht="10" customHeight="1">
      <c r="A29" s="140" t="n"/>
      <c r="B29" s="40" t="n"/>
      <c r="C29" s="40" t="n"/>
      <c r="D29" s="40" t="n"/>
      <c r="E29" s="40" t="n"/>
      <c r="F29" s="40" t="n"/>
      <c r="G29" s="40" t="n"/>
      <c r="H29" s="40" t="n"/>
      <c r="I29" s="112" t="n"/>
      <c r="J29" s="40" t="n"/>
      <c r="K29" s="40" t="n"/>
      <c r="L29" s="40" t="n"/>
      <c r="M29" s="40" t="n"/>
      <c r="N29" s="40" t="n"/>
      <c r="O29" s="40" t="n"/>
      <c r="P29" s="40" t="n"/>
      <c r="Q29" s="40" t="n"/>
      <c r="R29" s="40" t="n"/>
      <c r="S29" s="40" t="n"/>
      <c r="T29" s="40" t="n"/>
      <c r="U29" s="40" t="n"/>
      <c r="V29" s="40" t="n"/>
      <c r="W29" s="40" t="n"/>
      <c r="X29" s="40" t="n"/>
      <c r="Y29" s="40" t="n"/>
      <c r="Z29" s="40" t="n"/>
    </row>
    <row r="30" ht="20" customHeight="1">
      <c r="A30" s="111" t="inlineStr">
        <is>
          <t>３　配管設備工事</t>
        </is>
      </c>
      <c r="B30" s="40" t="n"/>
      <c r="C30" s="40" t="n"/>
      <c r="D30" s="40" t="n"/>
      <c r="E30" s="40" t="n"/>
      <c r="F30" s="40" t="n"/>
      <c r="G30" s="40" t="n"/>
      <c r="H30" s="40" t="n"/>
      <c r="I30" s="112" t="n"/>
      <c r="J30" s="40" t="n"/>
      <c r="K30" s="40" t="n"/>
      <c r="L30" s="40" t="n"/>
      <c r="M30" s="40" t="n"/>
      <c r="N30" s="40" t="n"/>
      <c r="O30" s="40" t="n"/>
      <c r="P30" s="40" t="n"/>
      <c r="Q30" s="40" t="n"/>
      <c r="R30" s="40" t="n"/>
      <c r="S30" s="40" t="n"/>
      <c r="T30" s="40" t="n"/>
      <c r="U30" s="40" t="n"/>
      <c r="V30" s="40" t="n"/>
      <c r="W30" s="40" t="n"/>
      <c r="X30" s="40" t="n"/>
      <c r="Y30" s="40" t="n"/>
      <c r="Z30" s="40" t="n"/>
    </row>
    <row r="31" ht="18" customHeight="1">
      <c r="A31" s="113" t="inlineStr">
        <is>
          <t xml:space="preserve">　冷媒（冷媒銅管）</t>
        </is>
      </c>
      <c r="B31" s="40" t="n"/>
      <c r="C31" s="40" t="n"/>
      <c r="D31" s="40" t="n"/>
      <c r="E31" s="40" t="n"/>
      <c r="F31" s="40" t="n"/>
      <c r="G31" s="40" t="n"/>
      <c r="H31" s="40" t="n"/>
      <c r="I31" s="112" t="n"/>
      <c r="J31" s="40" t="n"/>
      <c r="K31" s="40" t="n"/>
      <c r="L31" s="40" t="n"/>
      <c r="M31" s="40" t="n"/>
      <c r="N31" s="40" t="n"/>
      <c r="O31" s="40" t="n"/>
      <c r="P31" s="40" t="n"/>
      <c r="Q31" s="40" t="n"/>
      <c r="R31" s="40" t="n"/>
      <c r="S31" s="40" t="n"/>
      <c r="T31" s="40" t="n"/>
      <c r="U31" s="40" t="n"/>
      <c r="V31" s="40" t="n"/>
      <c r="W31" s="40" t="n"/>
      <c r="X31" s="40" t="n"/>
      <c r="Y31" s="40" t="n"/>
      <c r="Z31" s="40" t="n"/>
    </row>
    <row r="32" ht="18" customHeight="1">
      <c r="A32" s="114" t="inlineStr">
        <is>
          <t xml:space="preserve">　　冷媒用被覆銅管（10+20t）</t>
        </is>
      </c>
      <c r="B32" s="40" t="n"/>
      <c r="C32" s="115" t="inlineStr">
        <is>
          <t>9.52+15.88mm（10t+20t）AC-1</t>
        </is>
      </c>
      <c r="D32" s="40" t="n"/>
      <c r="E32" s="116" t="n">
        <v>6</v>
      </c>
      <c r="F32" s="117" t="inlineStr">
        <is>
          <t>m</t>
        </is>
      </c>
      <c r="G32" s="116" t="n">
        <v>5138</v>
      </c>
      <c r="H32" s="118">
        <f>ROUND(E32*G32,0)</f>
        <v>30828</v>
      </c>
      <c r="I32" s="119" t="inlineStr">
        <is>
          <t>想定数量</t>
        </is>
      </c>
      <c r="J32" s="120" t="inlineStr">
        <is>
          <t>エスト見積</t>
        </is>
      </c>
      <c r="K32" s="120" t="n"/>
      <c r="L32" s="116">
        <f>ROUND(G32*MAT_RATIO*1.05,0)</f>
        <v>5395</v>
      </c>
      <c r="M32" s="122" t="n">
        <v>0</v>
      </c>
      <c r="N32" s="116">
        <f>ROUND(M32*LABOR_COST,0)</f>
        <v>0</v>
      </c>
      <c r="O32" s="116">
        <f>L32+N32</f>
        <v>5395</v>
      </c>
      <c r="P32" s="118">
        <f>E32*O32</f>
        <v>32370</v>
      </c>
      <c r="Q32" s="118">
        <f>E32*N32</f>
        <v>0</v>
      </c>
      <c r="R32" s="118">
        <f>IF(H32=0,0,IF(E32*M32*EST_LABOR_PIPE&gt;H32,H32,E32*M32*EST_LABOR_PIPE))</f>
        <v>0</v>
      </c>
      <c r="S32" s="118">
        <f>IF(H32="","",H32-P32)</f>
        <v>-1542</v>
      </c>
      <c r="T32" s="123">
        <f>IF(OR(H32="",H32=0),"",S32/H32)</f>
        <v>-0.05001946282600234</v>
      </c>
      <c r="U32" s="122" t="n">
        <v>0.15</v>
      </c>
      <c r="V32" s="40" t="n"/>
      <c r="W32" s="124" t="inlineStr">
        <is>
          <t>エスト見積 6330560-1 冷媒用被覆銅管(10+20t) 9.52+15.88</t>
        </is>
      </c>
      <c r="X32" s="124" t="inlineStr">
        <is>
          <t>冷媒配管（テープ巻き）新築 φ9.5/15.9 5m以下29,500＋1m追加5,900（仕様違い）</t>
        </is>
      </c>
      <c r="Y32" s="148" t="inlineStr">
        <is>
          <t>推測</t>
        </is>
      </c>
      <c r="Z32" s="124" t="inlineStr">
        <is>
          <t>材料原価＝単価×材料原価率×管長割増1.05（建設物価相当）｜AC-1 床置形 2系統 × 3.0m（室外機は外壁直近。最小配管長 3m を確保、壁貫通・立上り・余長込み）</t>
        </is>
      </c>
    </row>
    <row r="33" ht="26.5" customHeight="1">
      <c r="A33" s="114" t="inlineStr">
        <is>
          <t xml:space="preserve">　　冷媒用被覆銅管（10+20t）</t>
        </is>
      </c>
      <c r="B33" s="40" t="n"/>
      <c r="C33" s="141" t="inlineStr">
        <is>
          <t>6.35+9.52mm（10t+20t）AC-2・AC-3</t>
        </is>
      </c>
      <c r="D33" s="40" t="n"/>
      <c r="E33" s="116" t="n">
        <v>12</v>
      </c>
      <c r="F33" s="117" t="inlineStr">
        <is>
          <t>m</t>
        </is>
      </c>
      <c r="G33" s="116" t="n">
        <v>3388</v>
      </c>
      <c r="H33" s="118">
        <f>ROUND(E33*G33,0)</f>
        <v>40656</v>
      </c>
      <c r="I33" s="119" t="inlineStr">
        <is>
          <t>想定数量</t>
        </is>
      </c>
      <c r="J33" s="120" t="inlineStr">
        <is>
          <t>エスト見積</t>
        </is>
      </c>
      <c r="K33" s="120" t="n"/>
      <c r="L33" s="116">
        <f>ROUND(G33*MAT_RATIO*1.05,0)</f>
        <v>3557</v>
      </c>
      <c r="M33" s="122" t="n">
        <v>0</v>
      </c>
      <c r="N33" s="116">
        <f>ROUND(M33*LABOR_COST,0)</f>
        <v>0</v>
      </c>
      <c r="O33" s="116">
        <f>L33+N33</f>
        <v>3557</v>
      </c>
      <c r="P33" s="118">
        <f>E33*O33</f>
        <v>42684</v>
      </c>
      <c r="Q33" s="118">
        <f>E33*N33</f>
        <v>0</v>
      </c>
      <c r="R33" s="118">
        <f>IF(H33=0,0,IF(E33*M33*EST_LABOR_PIPE&gt;H33,H33,E33*M33*EST_LABOR_PIPE))</f>
        <v>0</v>
      </c>
      <c r="S33" s="118">
        <f>IF(H33="","",H33-P33)</f>
        <v>-2028</v>
      </c>
      <c r="T33" s="123">
        <f>IF(OR(H33="",H33=0),"",S33/H33)</f>
        <v>-0.04988193624557261</v>
      </c>
      <c r="U33" s="122" t="n">
        <v>0.104</v>
      </c>
      <c r="V33" s="40" t="n"/>
      <c r="W33" s="124" t="inlineStr">
        <is>
          <t>エスト見積 6330560-1 冷媒用被覆銅管(10+20t) 6.35+9.52</t>
        </is>
      </c>
      <c r="X33" s="124" t="inlineStr">
        <is>
          <t>冷媒配管（テープ巻き）新築 φ6.4/9.5 5m以下26,000＋1m追加5,300（仕様違い）</t>
        </is>
      </c>
      <c r="Y33" s="148" t="inlineStr">
        <is>
          <t>推測</t>
        </is>
      </c>
      <c r="Z33" s="124" t="inlineStr">
        <is>
          <t>材料原価＝単価×材料原価率×管長割増1.05（建設物価相当）｜AC-2・AC-3 壁掛形 3台 × 4.0m（壁掛 約2.2m → 屋外置台への立下り・余長込み）</t>
        </is>
      </c>
    </row>
    <row r="34" ht="18" customHeight="1">
      <c r="A34" s="114" t="inlineStr">
        <is>
          <t xml:space="preserve">　　継手類</t>
        </is>
      </c>
      <c r="B34" s="40" t="n"/>
      <c r="C34" s="40" t="n"/>
      <c r="D34" s="40" t="n"/>
      <c r="E34" s="116" t="n">
        <v>1</v>
      </c>
      <c r="F34" s="117" t="inlineStr">
        <is>
          <t>式</t>
        </is>
      </c>
      <c r="G34" s="40" t="n"/>
      <c r="H34" s="118">
        <f>ROUND((H32+H33)*U34,0)</f>
        <v>21445</v>
      </c>
      <c r="I34" s="112" t="n"/>
      <c r="J34" s="120" t="inlineStr">
        <is>
          <t>エスト算式</t>
        </is>
      </c>
      <c r="K34" s="40" t="n"/>
      <c r="L34" s="40" t="n"/>
      <c r="M34" s="40" t="n"/>
      <c r="N34" s="40" t="n"/>
      <c r="O34" s="40" t="n"/>
      <c r="P34" s="118">
        <f>ROUND((P32+P33)*U34,0)</f>
        <v>22516</v>
      </c>
      <c r="Q34" s="118" t="n">
        <v>0</v>
      </c>
      <c r="R34" s="118" t="n">
        <v>0</v>
      </c>
      <c r="S34" s="118">
        <f>IF(H34="","",H34-P34)</f>
        <v>-1071</v>
      </c>
      <c r="T34" s="123">
        <f>IF(OR(H34="",H34=0),"",S34/H34)</f>
        <v>-0.04994171135462812</v>
      </c>
      <c r="U34" s="144" t="n">
        <v>0.3</v>
      </c>
      <c r="V34" s="40" t="n"/>
      <c r="W34" s="124" t="inlineStr">
        <is>
          <t>管金額×率（エスト・公共積算と同率）。原価も同率</t>
        </is>
      </c>
      <c r="X34" s="124" t="n"/>
      <c r="Y34" s="120" t="n"/>
      <c r="Z34" s="40" t="n"/>
    </row>
    <row r="35" ht="18" customHeight="1">
      <c r="A35" s="114" t="inlineStr">
        <is>
          <t xml:space="preserve">　　消耗品</t>
        </is>
      </c>
      <c r="B35" s="40" t="n"/>
      <c r="C35" s="40" t="n"/>
      <c r="D35" s="40" t="n"/>
      <c r="E35" s="116" t="n">
        <v>1</v>
      </c>
      <c r="F35" s="117" t="inlineStr">
        <is>
          <t>式</t>
        </is>
      </c>
      <c r="G35" s="40" t="n"/>
      <c r="H35" s="118">
        <f>ROUND((H32+H33)*U35,0)</f>
        <v>10723</v>
      </c>
      <c r="I35" s="112" t="n"/>
      <c r="J35" s="120" t="inlineStr">
        <is>
          <t>エスト算式</t>
        </is>
      </c>
      <c r="K35" s="40" t="n"/>
      <c r="L35" s="40" t="n"/>
      <c r="M35" s="40" t="n"/>
      <c r="N35" s="40" t="n"/>
      <c r="O35" s="40" t="n"/>
      <c r="P35" s="118">
        <f>ROUND((P32+P33)*U35,0)</f>
        <v>11258</v>
      </c>
      <c r="Q35" s="118" t="n">
        <v>0</v>
      </c>
      <c r="R35" s="118" t="n">
        <v>0</v>
      </c>
      <c r="S35" s="118">
        <f>IF(H35="","",H35-P35)</f>
        <v>-535</v>
      </c>
      <c r="T35" s="123">
        <f>IF(OR(H35="",H35=0),"",S35/H35)</f>
        <v>-0.04989275389349995</v>
      </c>
      <c r="U35" s="144" t="n">
        <v>0.15</v>
      </c>
      <c r="V35" s="40" t="n"/>
      <c r="W35" s="124" t="inlineStr">
        <is>
          <t>管金額×率（エスト・公共積算と同率）。原価も同率</t>
        </is>
      </c>
      <c r="X35" s="124" t="n"/>
      <c r="Y35" s="120" t="n"/>
      <c r="Z35" s="40" t="n"/>
    </row>
    <row r="36" ht="18" customHeight="1">
      <c r="A36" s="114" t="inlineStr">
        <is>
          <t xml:space="preserve">　　支持金物</t>
        </is>
      </c>
      <c r="B36" s="40" t="n"/>
      <c r="C36" s="40" t="n"/>
      <c r="D36" s="40" t="n"/>
      <c r="E36" s="116" t="n">
        <v>1</v>
      </c>
      <c r="F36" s="117" t="inlineStr">
        <is>
          <t>式</t>
        </is>
      </c>
      <c r="G36" s="40" t="n"/>
      <c r="H36" s="118">
        <f>ROUND((H32+H33)*U36,0)</f>
        <v>28594</v>
      </c>
      <c r="I36" s="112" t="n"/>
      <c r="J36" s="120" t="inlineStr">
        <is>
          <t>エスト算式</t>
        </is>
      </c>
      <c r="K36" s="40" t="n"/>
      <c r="L36" s="40" t="n"/>
      <c r="M36" s="40" t="n"/>
      <c r="N36" s="40" t="n"/>
      <c r="O36" s="40" t="n"/>
      <c r="P36" s="118">
        <f>ROUND((P32+P33)*U36,0)</f>
        <v>30022</v>
      </c>
      <c r="Q36" s="118" t="n">
        <v>0</v>
      </c>
      <c r="R36" s="118" t="n">
        <v>0</v>
      </c>
      <c r="S36" s="118">
        <f>IF(H36="","",H36-P36)</f>
        <v>-1428</v>
      </c>
      <c r="T36" s="123">
        <f>IF(OR(H36="",H36=0),"",S36/H36)</f>
        <v>-0.04994054696789536</v>
      </c>
      <c r="U36" s="144" t="n">
        <v>0.4</v>
      </c>
      <c r="V36" s="40" t="n"/>
      <c r="W36" s="124" t="inlineStr">
        <is>
          <t>管金額×率（エスト・公共積算と同率）。原価も同率</t>
        </is>
      </c>
      <c r="X36" s="124" t="n"/>
      <c r="Y36" s="120" t="n"/>
      <c r="Z36" s="40" t="n"/>
    </row>
    <row r="37" ht="18" customHeight="1">
      <c r="A37" s="113" t="inlineStr">
        <is>
          <t xml:space="preserve">　排水（硬質塩化ビニル管）</t>
        </is>
      </c>
      <c r="B37" s="40" t="n"/>
      <c r="C37" s="40" t="n"/>
      <c r="D37" s="40" t="n"/>
      <c r="E37" s="40" t="n"/>
      <c r="F37" s="40" t="n"/>
      <c r="G37" s="40" t="n"/>
      <c r="H37" s="40" t="n"/>
      <c r="I37" s="112" t="n"/>
      <c r="J37" s="40" t="n"/>
      <c r="K37" s="40" t="n"/>
      <c r="L37" s="40" t="n"/>
      <c r="M37" s="40" t="n"/>
      <c r="N37" s="40" t="n"/>
      <c r="O37" s="40" t="n"/>
      <c r="P37" s="40" t="n"/>
      <c r="Q37" s="40" t="n"/>
      <c r="R37" s="40" t="n"/>
      <c r="S37" s="40" t="n"/>
      <c r="T37" s="40" t="n"/>
      <c r="U37" s="40" t="n"/>
      <c r="V37" s="40" t="n"/>
      <c r="W37" s="40" t="n"/>
      <c r="X37" s="40" t="n"/>
      <c r="Y37" s="40" t="n"/>
      <c r="Z37" s="40" t="n"/>
    </row>
    <row r="38" ht="18" customHeight="1">
      <c r="A38" s="114" t="inlineStr">
        <is>
          <t xml:space="preserve">　　硬質塩化ビニル管</t>
        </is>
      </c>
      <c r="B38" s="40" t="n"/>
      <c r="C38" s="115" t="inlineStr">
        <is>
          <t>VP 25A（AC-1 ドレン）</t>
        </is>
      </c>
      <c r="D38" s="40" t="n"/>
      <c r="E38" s="116" t="n">
        <v>3</v>
      </c>
      <c r="F38" s="117" t="inlineStr">
        <is>
          <t>m</t>
        </is>
      </c>
      <c r="G38" s="116" t="n">
        <v>313</v>
      </c>
      <c r="H38" s="118">
        <f>ROUND(E38*G38,0)</f>
        <v>939</v>
      </c>
      <c r="I38" s="119" t="inlineStr">
        <is>
          <t>想定数量</t>
        </is>
      </c>
      <c r="J38" s="120" t="inlineStr">
        <is>
          <t>エスト見積</t>
        </is>
      </c>
      <c r="K38" s="120" t="n"/>
      <c r="L38" s="116">
        <f>ROUND(G38*MAT_RATIO*1.1,0)</f>
        <v>344</v>
      </c>
      <c r="M38" s="122" t="n">
        <v>0</v>
      </c>
      <c r="N38" s="116">
        <f>ROUND(M38*LABOR_COST,0)</f>
        <v>0</v>
      </c>
      <c r="O38" s="116">
        <f>L38+N38</f>
        <v>344</v>
      </c>
      <c r="P38" s="118">
        <f>E38*O38</f>
        <v>1032</v>
      </c>
      <c r="Q38" s="118">
        <f>E38*N38</f>
        <v>0</v>
      </c>
      <c r="R38" s="118">
        <f>IF(H38=0,0,IF(E38*M38*EST_LABOR_PIPE&gt;H38,H38,E38*M38*EST_LABOR_PIPE))</f>
        <v>0</v>
      </c>
      <c r="S38" s="118">
        <f>IF(H38="","",H38-P38)</f>
        <v>-93</v>
      </c>
      <c r="T38" s="123">
        <f>IF(OR(H38="",H38=0),"",S38/H38)</f>
        <v>-0.09904153354632587</v>
      </c>
      <c r="U38" s="122" t="n">
        <v>0.074</v>
      </c>
      <c r="V38" s="40" t="n"/>
      <c r="W38" s="124" t="inlineStr">
        <is>
          <t>エスト見積 6330560-1 硬質塩化ビニル管 VP 25A</t>
        </is>
      </c>
      <c r="X38" s="124" t="inlineStr">
        <is>
          <t>ドレン配管 新築 5m以下14,200＋1m追加2,800（参考）</t>
        </is>
      </c>
      <c r="Y38" s="148" t="inlineStr">
        <is>
          <t>推測</t>
        </is>
      </c>
      <c r="Z38" s="124" t="inlineStr">
        <is>
          <t>材料原価＝単価×材料原価率×管長割増1.1（建設物価相当）｜AC-1 2系統 × 1.5m（室内 1.0m＋屋外放流 0.5m）。ルームエアコンは付属ドレンホース</t>
        </is>
      </c>
    </row>
    <row r="39" ht="18" customHeight="1">
      <c r="A39" s="114" t="inlineStr">
        <is>
          <t xml:space="preserve">　　継手類</t>
        </is>
      </c>
      <c r="B39" s="40" t="n"/>
      <c r="C39" s="40" t="n"/>
      <c r="D39" s="40" t="n"/>
      <c r="E39" s="116" t="n">
        <v>1</v>
      </c>
      <c r="F39" s="117" t="inlineStr">
        <is>
          <t>式</t>
        </is>
      </c>
      <c r="G39" s="40" t="n"/>
      <c r="H39" s="118">
        <f>ROUND((H38)*U39,0)</f>
        <v>188</v>
      </c>
      <c r="I39" s="112" t="n"/>
      <c r="J39" s="120" t="inlineStr">
        <is>
          <t>エスト算式</t>
        </is>
      </c>
      <c r="K39" s="40" t="n"/>
      <c r="L39" s="40" t="n"/>
      <c r="M39" s="40" t="n"/>
      <c r="N39" s="40" t="n"/>
      <c r="O39" s="40" t="n"/>
      <c r="P39" s="118">
        <f>ROUND((P38)*U39,0)</f>
        <v>206</v>
      </c>
      <c r="Q39" s="118" t="n">
        <v>0</v>
      </c>
      <c r="R39" s="118" t="n">
        <v>0</v>
      </c>
      <c r="S39" s="118">
        <f>IF(H39="","",H39-P39)</f>
        <v>-18</v>
      </c>
      <c r="T39" s="123">
        <f>IF(OR(H39="",H39=0),"",S39/H39)</f>
        <v>-0.09574468085106383</v>
      </c>
      <c r="U39" s="144" t="n">
        <v>0.2</v>
      </c>
      <c r="V39" s="40" t="n"/>
      <c r="W39" s="124" t="inlineStr">
        <is>
          <t>管金額×率（エスト・公共積算と同率）。原価も同率</t>
        </is>
      </c>
      <c r="X39" s="124" t="n"/>
      <c r="Y39" s="120" t="n"/>
      <c r="Z39" s="40" t="n"/>
    </row>
    <row r="40" ht="18" customHeight="1">
      <c r="A40" s="114" t="inlineStr">
        <is>
          <t xml:space="preserve">　　消耗品</t>
        </is>
      </c>
      <c r="B40" s="40" t="n"/>
      <c r="C40" s="40" t="n"/>
      <c r="D40" s="40" t="n"/>
      <c r="E40" s="116" t="n">
        <v>1</v>
      </c>
      <c r="F40" s="117" t="inlineStr">
        <is>
          <t>式</t>
        </is>
      </c>
      <c r="G40" s="40" t="n"/>
      <c r="H40" s="118">
        <f>ROUND((H38)*U40,0)</f>
        <v>94</v>
      </c>
      <c r="I40" s="112" t="n"/>
      <c r="J40" s="120" t="inlineStr">
        <is>
          <t>エスト算式</t>
        </is>
      </c>
      <c r="K40" s="40" t="n"/>
      <c r="L40" s="40" t="n"/>
      <c r="M40" s="40" t="n"/>
      <c r="N40" s="40" t="n"/>
      <c r="O40" s="40" t="n"/>
      <c r="P40" s="118">
        <f>ROUND((P38)*U40,0)</f>
        <v>103</v>
      </c>
      <c r="Q40" s="118" t="n">
        <v>0</v>
      </c>
      <c r="R40" s="118" t="n">
        <v>0</v>
      </c>
      <c r="S40" s="118">
        <f>IF(H40="","",H40-P40)</f>
        <v>-9</v>
      </c>
      <c r="T40" s="123">
        <f>IF(OR(H40="",H40=0),"",S40/H40)</f>
        <v>-0.09574468085106383</v>
      </c>
      <c r="U40" s="144" t="n">
        <v>0.1</v>
      </c>
      <c r="V40" s="40" t="n"/>
      <c r="W40" s="124" t="inlineStr">
        <is>
          <t>管金額×率（エスト・公共積算と同率）。原価も同率</t>
        </is>
      </c>
      <c r="X40" s="124" t="n"/>
      <c r="Y40" s="120" t="n"/>
      <c r="Z40" s="40" t="n"/>
    </row>
    <row r="41" ht="18" customHeight="1">
      <c r="A41" s="114" t="inlineStr">
        <is>
          <t xml:space="preserve">　　支持金物</t>
        </is>
      </c>
      <c r="B41" s="40" t="n"/>
      <c r="C41" s="40" t="n"/>
      <c r="D41" s="40" t="n"/>
      <c r="E41" s="116" t="n">
        <v>1</v>
      </c>
      <c r="F41" s="117" t="inlineStr">
        <is>
          <t>式</t>
        </is>
      </c>
      <c r="G41" s="40" t="n"/>
      <c r="H41" s="118">
        <f>ROUND((H38)*U41,0)</f>
        <v>235</v>
      </c>
      <c r="I41" s="112" t="n"/>
      <c r="J41" s="120" t="inlineStr">
        <is>
          <t>エスト算式</t>
        </is>
      </c>
      <c r="K41" s="40" t="n"/>
      <c r="L41" s="40" t="n"/>
      <c r="M41" s="40" t="n"/>
      <c r="N41" s="40" t="n"/>
      <c r="O41" s="40" t="n"/>
      <c r="P41" s="118">
        <f>ROUND((P38)*U41,0)</f>
        <v>258</v>
      </c>
      <c r="Q41" s="118" t="n">
        <v>0</v>
      </c>
      <c r="R41" s="118" t="n">
        <v>0</v>
      </c>
      <c r="S41" s="118">
        <f>IF(H41="","",H41-P41)</f>
        <v>-23</v>
      </c>
      <c r="T41" s="123">
        <f>IF(OR(H41="",H41=0),"",S41/H41)</f>
        <v>-0.09787234042553192</v>
      </c>
      <c r="U41" s="144" t="n">
        <v>0.25</v>
      </c>
      <c r="V41" s="40" t="n"/>
      <c r="W41" s="124" t="inlineStr">
        <is>
          <t>管金額×率（エスト・公共積算と同率）。原価も同率</t>
        </is>
      </c>
      <c r="X41" s="124" t="n"/>
      <c r="Y41" s="120" t="n"/>
      <c r="Z41" s="40" t="n"/>
    </row>
    <row r="42" ht="18" customHeight="1">
      <c r="A42" s="113" t="inlineStr">
        <is>
          <t xml:space="preserve">　電線・ケーブル類</t>
        </is>
      </c>
      <c r="B42" s="40" t="n"/>
      <c r="C42" s="40" t="n"/>
      <c r="D42" s="40" t="n"/>
      <c r="E42" s="40" t="n"/>
      <c r="F42" s="40" t="n"/>
      <c r="G42" s="40" t="n"/>
      <c r="H42" s="40" t="n"/>
      <c r="I42" s="112" t="n"/>
      <c r="J42" s="40" t="n"/>
      <c r="K42" s="40" t="n"/>
      <c r="L42" s="40" t="n"/>
      <c r="M42" s="40" t="n"/>
      <c r="N42" s="40" t="n"/>
      <c r="O42" s="40" t="n"/>
      <c r="P42" s="40" t="n"/>
      <c r="Q42" s="40" t="n"/>
      <c r="R42" s="40" t="n"/>
      <c r="S42" s="40" t="n"/>
      <c r="T42" s="40" t="n"/>
      <c r="U42" s="40" t="n"/>
      <c r="V42" s="40" t="n"/>
      <c r="W42" s="40" t="n"/>
      <c r="X42" s="40" t="n"/>
      <c r="Y42" s="40" t="n"/>
      <c r="Z42" s="40" t="n"/>
    </row>
    <row r="43" ht="18" customHeight="1">
      <c r="A43" s="114" t="inlineStr">
        <is>
          <t xml:space="preserve">　　VVFケーブル（内外連絡線）</t>
        </is>
      </c>
      <c r="B43" s="40" t="n"/>
      <c r="C43" s="115" t="inlineStr">
        <is>
          <t>600V VV-F 2.0mm-3C</t>
        </is>
      </c>
      <c r="D43" s="40" t="n"/>
      <c r="E43" s="116" t="n">
        <v>25</v>
      </c>
      <c r="F43" s="117" t="inlineStr">
        <is>
          <t>m</t>
        </is>
      </c>
      <c r="G43" s="116" t="n">
        <v>203</v>
      </c>
      <c r="H43" s="118">
        <f>ROUND(E43*G43,0)</f>
        <v>5075</v>
      </c>
      <c r="I43" s="119" t="inlineStr">
        <is>
          <t>想定数量</t>
        </is>
      </c>
      <c r="J43" s="120" t="inlineStr">
        <is>
          <t>エスト見積</t>
        </is>
      </c>
      <c r="K43" s="120" t="n"/>
      <c r="L43" s="116">
        <f>ROUND(G43*MAT_RATIO*1.0,0)</f>
        <v>203</v>
      </c>
      <c r="M43" s="122" t="n">
        <v>0</v>
      </c>
      <c r="N43" s="116">
        <f>ROUND(M43*LABOR_COST,0)</f>
        <v>0</v>
      </c>
      <c r="O43" s="116">
        <f>L43+N43</f>
        <v>203</v>
      </c>
      <c r="P43" s="118">
        <f>E43*O43</f>
        <v>5075</v>
      </c>
      <c r="Q43" s="118">
        <f>E43*N43</f>
        <v>0</v>
      </c>
      <c r="R43" s="118">
        <f>IF(H43=0,0,IF(E43*M43*EST_LABOR_PIPE&gt;H43,H43,E43*M43*EST_LABOR_PIPE))</f>
        <v>0</v>
      </c>
      <c r="S43" s="118">
        <f>IF(H43="","",H43-P43)</f>
        <v>0</v>
      </c>
      <c r="T43" s="123">
        <f>IF(OR(H43="",H43=0),"",S43/H43)</f>
        <v>0</v>
      </c>
      <c r="U43" s="122" t="n">
        <v>0.017</v>
      </c>
      <c r="V43" s="40" t="n"/>
      <c r="W43" s="124" t="inlineStr">
        <is>
          <t>エスト見積 6330560-1 VVF 2.0mm-3C</t>
        </is>
      </c>
      <c r="X43" s="124" t="n"/>
      <c r="Y43" s="148" t="inlineStr">
        <is>
          <t>推測</t>
        </is>
      </c>
      <c r="Z43" s="124" t="inlineStr">
        <is>
          <t>材料原価＝単価×材料原価率×管長割増1.0（建設物価相当）｜内外連絡線 AC-1 5.0m×2・AC-2/3 5.0m×3（余長込み）</t>
        </is>
      </c>
    </row>
    <row r="44" ht="18" customHeight="1">
      <c r="A44" s="114" t="inlineStr">
        <is>
          <t xml:space="preserve">　　配管工費（冷媒配管）</t>
        </is>
      </c>
      <c r="B44" s="40" t="n"/>
      <c r="C44" s="40" t="n"/>
      <c r="D44" s="40" t="n"/>
      <c r="E44" s="116" t="n">
        <v>1</v>
      </c>
      <c r="F44" s="117" t="inlineStr">
        <is>
          <t>式</t>
        </is>
      </c>
      <c r="G44" s="40" t="n"/>
      <c r="H44" s="118">
        <f>ROUNDUP(M44*EST_LABOR_PIPE,-1)</f>
        <v>72500</v>
      </c>
      <c r="I44" s="112" t="n"/>
      <c r="J44" s="120" t="inlineStr">
        <is>
          <t>エスト算式</t>
        </is>
      </c>
      <c r="K44" s="40" t="n"/>
      <c r="L44" s="116" t="n">
        <v>0</v>
      </c>
      <c r="M44" s="149">
        <f>E32*U32+E33*U33</f>
        <v>2.1479999999999997</v>
      </c>
      <c r="N44" s="116">
        <f>ROUND(M44*LABOR_COST,0)</f>
        <v>40812</v>
      </c>
      <c r="O44" s="116">
        <f>L44+N44</f>
        <v>40812</v>
      </c>
      <c r="P44" s="118">
        <f>E44*O44</f>
        <v>40812</v>
      </c>
      <c r="Q44" s="118">
        <f>E44*N44</f>
        <v>40812</v>
      </c>
      <c r="R44" s="118">
        <f>H44</f>
        <v>72500</v>
      </c>
      <c r="S44" s="118">
        <f>IF(H44="","",H44-P44)</f>
        <v>31688</v>
      </c>
      <c r="T44" s="123">
        <f>IF(OR(H44="",H44=0),"",S44/H44)</f>
        <v>0.43707586206896554</v>
      </c>
      <c r="U44" s="40" t="n"/>
      <c r="V44" s="40" t="n"/>
      <c r="W44" s="124" t="inlineStr">
        <is>
          <t>歩掛 公共建築工事標準単価積算基準 R8 表M1-1-50（液管＋ガス管）× エスト労務単価</t>
        </is>
      </c>
      <c r="X44" s="124" t="n"/>
      <c r="Y44" s="120" t="n"/>
      <c r="Z44" s="40" t="n"/>
    </row>
    <row r="45" ht="18" customHeight="1">
      <c r="A45" s="114" t="inlineStr">
        <is>
          <t xml:space="preserve">　　配管工費（塩ビ管類）</t>
        </is>
      </c>
      <c r="B45" s="40" t="n"/>
      <c r="C45" s="40" t="n"/>
      <c r="D45" s="40" t="n"/>
      <c r="E45" s="116" t="n">
        <v>1</v>
      </c>
      <c r="F45" s="117" t="inlineStr">
        <is>
          <t>式</t>
        </is>
      </c>
      <c r="G45" s="40" t="n"/>
      <c r="H45" s="118">
        <f>ROUNDUP(M45*EST_LABOR_PIPE,-1)</f>
        <v>7500</v>
      </c>
      <c r="I45" s="112" t="n"/>
      <c r="J45" s="120" t="inlineStr">
        <is>
          <t>エスト算式</t>
        </is>
      </c>
      <c r="K45" s="40" t="n"/>
      <c r="L45" s="116" t="n">
        <v>0</v>
      </c>
      <c r="M45" s="149">
        <f>E38*U38</f>
        <v>0.22199999999999998</v>
      </c>
      <c r="N45" s="116">
        <f>ROUND(M45*LABOR_COST,0)</f>
        <v>4218</v>
      </c>
      <c r="O45" s="116">
        <f>L45+N45</f>
        <v>4218</v>
      </c>
      <c r="P45" s="118">
        <f>E45*O45</f>
        <v>4218</v>
      </c>
      <c r="Q45" s="118">
        <f>E45*N45</f>
        <v>4218</v>
      </c>
      <c r="R45" s="118">
        <f>H45</f>
        <v>7500</v>
      </c>
      <c r="S45" s="118">
        <f>IF(H45="","",H45-P45)</f>
        <v>3282</v>
      </c>
      <c r="T45" s="123">
        <f>IF(OR(H45="",H45=0),"",S45/H45)</f>
        <v>0.4376</v>
      </c>
      <c r="U45" s="40" t="n"/>
      <c r="V45" s="40" t="n"/>
      <c r="W45" s="124" t="inlineStr">
        <is>
          <t>歩掛 同 表M1-1-46 排水・屋内一般 × エスト労務単価</t>
        </is>
      </c>
      <c r="X45" s="124" t="n"/>
      <c r="Y45" s="120" t="n"/>
      <c r="Z45" s="40" t="n"/>
    </row>
    <row r="46" ht="18" customHeight="1">
      <c r="A46" s="114" t="inlineStr">
        <is>
          <t xml:space="preserve">　　電線材料施工費</t>
        </is>
      </c>
      <c r="B46" s="40" t="n"/>
      <c r="C46" s="40" t="n"/>
      <c r="D46" s="40" t="n"/>
      <c r="E46" s="116" t="n">
        <v>1</v>
      </c>
      <c r="F46" s="117" t="inlineStr">
        <is>
          <t>式</t>
        </is>
      </c>
      <c r="G46" s="40" t="n"/>
      <c r="H46" s="118">
        <f>ROUNDUP(M46*EST_LABOR_ELEC,-1)</f>
        <v>14280</v>
      </c>
      <c r="I46" s="112" t="n"/>
      <c r="J46" s="120" t="inlineStr">
        <is>
          <t>エスト算式</t>
        </is>
      </c>
      <c r="K46" s="40" t="n"/>
      <c r="L46" s="116" t="n">
        <v>0</v>
      </c>
      <c r="M46" s="149">
        <f>E43*U43</f>
        <v>0.42500000000000004</v>
      </c>
      <c r="N46" s="116">
        <f>ROUND(M46*LABOR_COST,0)</f>
        <v>8075</v>
      </c>
      <c r="O46" s="116">
        <f>L46+N46</f>
        <v>8075</v>
      </c>
      <c r="P46" s="118">
        <f>E46*O46</f>
        <v>8075</v>
      </c>
      <c r="Q46" s="118">
        <f>E46*N46</f>
        <v>8075</v>
      </c>
      <c r="R46" s="118">
        <f>H46</f>
        <v>14280</v>
      </c>
      <c r="S46" s="118">
        <f>IF(H46="","",H46-P46)</f>
        <v>6205</v>
      </c>
      <c r="T46" s="123">
        <f>IF(OR(H46="",H46=0),"",S46/H46)</f>
        <v>0.43452380952380953</v>
      </c>
      <c r="U46" s="40" t="n"/>
      <c r="V46" s="40" t="n"/>
      <c r="W46" s="124" t="inlineStr">
        <is>
          <t>歩掛 0.017人/m × エスト電工労務単価（エスト見積から逆算）</t>
        </is>
      </c>
      <c r="X46" s="124" t="n"/>
      <c r="Y46" s="120" t="n"/>
      <c r="Z46" s="40" t="n"/>
    </row>
    <row r="47" ht="18" customHeight="1">
      <c r="A47" s="113" t="inlineStr">
        <is>
          <t xml:space="preserve">　配管保温工事費</t>
        </is>
      </c>
      <c r="B47" s="40" t="n"/>
      <c r="C47" s="40" t="n"/>
      <c r="D47" s="40" t="n"/>
      <c r="E47" s="40" t="n"/>
      <c r="F47" s="40" t="n"/>
      <c r="G47" s="40" t="n"/>
      <c r="H47" s="40" t="n"/>
      <c r="I47" s="112" t="n"/>
      <c r="J47" s="40" t="n"/>
      <c r="K47" s="40" t="n"/>
      <c r="L47" s="40" t="n"/>
      <c r="M47" s="40" t="n"/>
      <c r="N47" s="40" t="n"/>
      <c r="O47" s="40" t="n"/>
      <c r="P47" s="40" t="n"/>
      <c r="Q47" s="40" t="n"/>
      <c r="R47" s="40" t="n"/>
      <c r="S47" s="40" t="n"/>
      <c r="T47" s="40" t="n"/>
      <c r="U47" s="40" t="n"/>
      <c r="V47" s="40" t="n"/>
      <c r="W47" s="40" t="n"/>
      <c r="X47" s="40" t="n"/>
      <c r="Y47" s="40" t="n"/>
      <c r="Z47" s="40" t="n"/>
    </row>
    <row r="48" ht="18" customHeight="1">
      <c r="A48" s="114" t="inlineStr">
        <is>
          <t xml:space="preserve">　　樹脂製化粧カバー</t>
        </is>
      </c>
      <c r="B48" s="40" t="n"/>
      <c r="C48" s="115" t="inlineStr">
        <is>
          <t>9.52+15.88 屋外（AC-1）</t>
        </is>
      </c>
      <c r="D48" s="40" t="n"/>
      <c r="E48" s="116" t="n">
        <v>2</v>
      </c>
      <c r="F48" s="117" t="inlineStr">
        <is>
          <t>m</t>
        </is>
      </c>
      <c r="G48" s="116" t="n">
        <v>5525</v>
      </c>
      <c r="H48" s="118">
        <f>ROUND(E48*G48,0)</f>
        <v>11050</v>
      </c>
      <c r="I48" s="119" t="inlineStr">
        <is>
          <t>想定数量</t>
        </is>
      </c>
      <c r="J48" s="120" t="inlineStr">
        <is>
          <t>エスト見積</t>
        </is>
      </c>
      <c r="K48" s="120" t="n"/>
      <c r="L48" s="121" t="n">
        <v>2400</v>
      </c>
      <c r="M48" s="122" t="n">
        <v>0.1</v>
      </c>
      <c r="N48" s="116">
        <f>ROUND(M48*LABOR_COST,0)</f>
        <v>1900</v>
      </c>
      <c r="O48" s="116">
        <f>L48+N48</f>
        <v>4300</v>
      </c>
      <c r="P48" s="118">
        <f>E48*O48</f>
        <v>8600</v>
      </c>
      <c r="Q48" s="118">
        <f>E48*N48</f>
        <v>3800</v>
      </c>
      <c r="R48" s="118">
        <f>IF(H48=0,0,IF(E48*M48*EST_LABOR_PIPE&gt;H48,H48,E48*M48*EST_LABOR_PIPE))</f>
        <v>6750</v>
      </c>
      <c r="S48" s="118">
        <f>IF(H48="","",H48-P48)</f>
        <v>2450</v>
      </c>
      <c r="T48" s="123">
        <f>IF(OR(H48="",H48=0),"",S48/H48)</f>
        <v>0.22171945701357465</v>
      </c>
      <c r="U48" s="40" t="n"/>
      <c r="V48" s="40" t="n"/>
      <c r="W48" s="124" t="inlineStr">
        <is>
          <t>エスト見積 6330560-1 樹脂製化粧カバー（9.52+15.88 用と推定）</t>
        </is>
      </c>
      <c r="X48" s="124" t="inlineStr">
        <is>
          <t>外装仕上げ スカイダクト φ9.5/15.9 5m以下15,800＋1m追加2,600</t>
        </is>
      </c>
      <c r="Y48" s="148" t="inlineStr">
        <is>
          <t>推測</t>
        </is>
      </c>
      <c r="Z48" s="124" t="inlineStr">
        <is>
          <t>AC-1 屋外 壁貫通〜室外機 1.0m × 2</t>
        </is>
      </c>
    </row>
    <row r="49" ht="18" customHeight="1">
      <c r="A49" s="114" t="inlineStr">
        <is>
          <t xml:space="preserve">　　樹脂製化粧カバー</t>
        </is>
      </c>
      <c r="B49" s="40" t="n"/>
      <c r="C49" s="115" t="inlineStr">
        <is>
          <t>6.35+9.52 屋外（AC-2・3）</t>
        </is>
      </c>
      <c r="D49" s="40" t="n"/>
      <c r="E49" s="116" t="n">
        <v>6</v>
      </c>
      <c r="F49" s="117" t="inlineStr">
        <is>
          <t>m</t>
        </is>
      </c>
      <c r="G49" s="116" t="n">
        <v>4225</v>
      </c>
      <c r="H49" s="118">
        <f>ROUND(E49*G49,0)</f>
        <v>25350</v>
      </c>
      <c r="I49" s="119" t="inlineStr">
        <is>
          <t>想定数量</t>
        </is>
      </c>
      <c r="J49" s="120" t="inlineStr">
        <is>
          <t>エスト見積</t>
        </is>
      </c>
      <c r="K49" s="120" t="n"/>
      <c r="L49" s="121" t="n">
        <v>1800</v>
      </c>
      <c r="M49" s="122" t="n">
        <v>0.1</v>
      </c>
      <c r="N49" s="116">
        <f>ROUND(M49*LABOR_COST,0)</f>
        <v>1900</v>
      </c>
      <c r="O49" s="116">
        <f>L49+N49</f>
        <v>3700</v>
      </c>
      <c r="P49" s="118">
        <f>E49*O49</f>
        <v>22200</v>
      </c>
      <c r="Q49" s="118">
        <f>E49*N49</f>
        <v>11400</v>
      </c>
      <c r="R49" s="118">
        <f>IF(H49=0,0,IF(E49*M49*EST_LABOR_PIPE&gt;H49,H49,E49*M49*EST_LABOR_PIPE))</f>
        <v>20250.000000000004</v>
      </c>
      <c r="S49" s="118">
        <f>IF(H49="","",H49-P49)</f>
        <v>3150</v>
      </c>
      <c r="T49" s="123">
        <f>IF(OR(H49="",H49=0),"",S49/H49)</f>
        <v>0.1242603550295858</v>
      </c>
      <c r="U49" s="40" t="n"/>
      <c r="V49" s="40" t="n"/>
      <c r="W49" s="124" t="inlineStr">
        <is>
          <t>エスト見積 6330560-1 樹脂製化粧カバー（6.35+9.52 用と推定）</t>
        </is>
      </c>
      <c r="X49" s="124" t="inlineStr">
        <is>
          <t>外装仕上げ スカイダクト φ6.4/9.5 5m以下10,500＋1m追加2,100</t>
        </is>
      </c>
      <c r="Y49" s="148" t="inlineStr">
        <is>
          <t>推測</t>
        </is>
      </c>
      <c r="Z49" s="124" t="inlineStr">
        <is>
          <t>AC-2・AC-3 屋外立下り 2.0m × 3</t>
        </is>
      </c>
    </row>
    <row r="50" ht="18" customHeight="1">
      <c r="A50" s="114" t="inlineStr">
        <is>
          <t xml:space="preserve">　　排水VP保温 GW20mm+ALGC</t>
        </is>
      </c>
      <c r="B50" s="40" t="n"/>
      <c r="C50" s="115" t="inlineStr">
        <is>
          <t>屋内隠蔽 25A</t>
        </is>
      </c>
      <c r="D50" s="40" t="n"/>
      <c r="E50" s="116" t="n">
        <v>2</v>
      </c>
      <c r="F50" s="117" t="inlineStr">
        <is>
          <t>m</t>
        </is>
      </c>
      <c r="G50" s="116" t="n">
        <v>2563</v>
      </c>
      <c r="H50" s="118">
        <f>ROUND(E50*G50,0)</f>
        <v>5126</v>
      </c>
      <c r="I50" s="119" t="inlineStr">
        <is>
          <t>想定数量</t>
        </is>
      </c>
      <c r="J50" s="120" t="inlineStr">
        <is>
          <t>エスト見積</t>
        </is>
      </c>
      <c r="K50" s="120" t="n"/>
      <c r="L50" s="121" t="n">
        <v>900</v>
      </c>
      <c r="M50" s="122" t="n">
        <v>0.06</v>
      </c>
      <c r="N50" s="116">
        <f>ROUND(M50*LABOR_COST,0)</f>
        <v>1140</v>
      </c>
      <c r="O50" s="116">
        <f>L50+N50</f>
        <v>2040</v>
      </c>
      <c r="P50" s="118">
        <f>E50*O50</f>
        <v>4080</v>
      </c>
      <c r="Q50" s="118">
        <f>E50*N50</f>
        <v>2280</v>
      </c>
      <c r="R50" s="118">
        <f>IF(H50=0,0,IF(E50*M50*EST_LABOR_PIPE&gt;H50,H50,E50*M50*EST_LABOR_PIPE))</f>
        <v>4050</v>
      </c>
      <c r="S50" s="118">
        <f>IF(H50="","",H50-P50)</f>
        <v>1046</v>
      </c>
      <c r="T50" s="123">
        <f>IF(OR(H50="",H50=0),"",S50/H50)</f>
        <v>0.20405774483027703</v>
      </c>
      <c r="U50" s="40" t="n"/>
      <c r="V50" s="40" t="n"/>
      <c r="W50" s="124" t="inlineStr">
        <is>
          <t>エスト見積 6330560-1 排水VP 屋内隠蔽 GW20mm+アルミガラスクロス（25A と推定）</t>
        </is>
      </c>
      <c r="X50" s="124" t="n"/>
      <c r="Y50" s="148" t="inlineStr">
        <is>
          <t>推測</t>
        </is>
      </c>
      <c r="Z50" s="124" t="inlineStr">
        <is>
          <t>AC-1 ドレンの屋内部分 1.0m × 2系統</t>
        </is>
      </c>
    </row>
    <row r="51" ht="18" customHeight="1">
      <c r="A51" s="113" t="inlineStr">
        <is>
          <t xml:space="preserve">　貫通・試験</t>
        </is>
      </c>
      <c r="B51" s="40" t="n"/>
      <c r="C51" s="40" t="n"/>
      <c r="D51" s="40" t="n"/>
      <c r="E51" s="40" t="n"/>
      <c r="F51" s="40" t="n"/>
      <c r="G51" s="40" t="n"/>
      <c r="H51" s="40" t="n"/>
      <c r="I51" s="112" t="n"/>
      <c r="J51" s="40" t="n"/>
      <c r="K51" s="40" t="n"/>
      <c r="L51" s="40" t="n"/>
      <c r="M51" s="40" t="n"/>
      <c r="N51" s="40" t="n"/>
      <c r="O51" s="40" t="n"/>
      <c r="P51" s="40" t="n"/>
      <c r="Q51" s="40" t="n"/>
      <c r="R51" s="40" t="n"/>
      <c r="S51" s="40" t="n"/>
      <c r="T51" s="40" t="n"/>
      <c r="U51" s="40" t="n"/>
      <c r="V51" s="40" t="n"/>
      <c r="W51" s="40" t="n"/>
      <c r="X51" s="40" t="n"/>
      <c r="Y51" s="40" t="n"/>
      <c r="Z51" s="40" t="n"/>
    </row>
    <row r="52" ht="18" customHeight="1">
      <c r="A52" s="114" t="inlineStr">
        <is>
          <t xml:space="preserve">　　スリーブインサート費</t>
        </is>
      </c>
      <c r="B52" s="40" t="n"/>
      <c r="C52" s="115" t="inlineStr">
        <is>
          <t>外壁貫通 穴あけ・シーリング</t>
        </is>
      </c>
      <c r="D52" s="40" t="n"/>
      <c r="E52" s="116" t="n">
        <v>5</v>
      </c>
      <c r="F52" s="117" t="inlineStr">
        <is>
          <t>箇所</t>
        </is>
      </c>
      <c r="G52" s="116" t="n">
        <v>12500</v>
      </c>
      <c r="H52" s="118">
        <f>ROUND(E52*G52,0)</f>
        <v>62500</v>
      </c>
      <c r="I52" s="119" t="n"/>
      <c r="J52" s="120" t="inlineStr">
        <is>
          <t>推定（要確認）</t>
        </is>
      </c>
      <c r="K52" s="142" t="inlineStr">
        <is>
          <t>単価要確認（推定）</t>
        </is>
      </c>
      <c r="L52" s="121" t="n">
        <v>1500</v>
      </c>
      <c r="M52" s="122" t="n">
        <v>0.25</v>
      </c>
      <c r="N52" s="116">
        <f>ROUND(M52*LABOR_COST,0)</f>
        <v>4750</v>
      </c>
      <c r="O52" s="116">
        <f>L52+N52</f>
        <v>6250</v>
      </c>
      <c r="P52" s="118">
        <f>E52*O52</f>
        <v>31250</v>
      </c>
      <c r="Q52" s="118">
        <f>E52*N52</f>
        <v>23750</v>
      </c>
      <c r="R52" s="118">
        <f>IF(H52=0,0,IF(E52*M52*EST_LABOR_PIPE&gt;H52,H52,E52*M52*EST_LABOR_PIPE))</f>
        <v>42187.5</v>
      </c>
      <c r="S52" s="118">
        <f>IF(H52="","",H52-P52)</f>
        <v>31250</v>
      </c>
      <c r="T52" s="123">
        <f>IF(OR(H52="",H52=0),"",S52/H52)</f>
        <v>0.5</v>
      </c>
      <c r="U52" s="40" t="n"/>
      <c r="V52" s="40" t="n"/>
      <c r="W52" s="124" t="inlineStr">
        <is>
          <t>按分: エスト見積 6330560-1 スリーブインサート費 50,000円／外壁貫通4箇所</t>
        </is>
      </c>
      <c r="X52" s="124" t="n"/>
      <c r="Y52" s="120" t="inlineStr">
        <is>
          <t>図面カウント</t>
        </is>
      </c>
      <c r="Z52" s="124" t="inlineStr">
        <is>
          <t>AC-1 ×2・RAC ×3</t>
        </is>
      </c>
    </row>
    <row r="53" ht="18" customHeight="1">
      <c r="A53" s="114" t="inlineStr">
        <is>
          <t xml:space="preserve">　　気密テスト費</t>
        </is>
      </c>
      <c r="B53" s="40" t="n"/>
      <c r="C53" s="115" t="inlineStr">
        <is>
          <t>SA</t>
        </is>
      </c>
      <c r="D53" s="40" t="n"/>
      <c r="E53" s="116" t="n">
        <v>2</v>
      </c>
      <c r="F53" s="117" t="inlineStr">
        <is>
          <t>系統</t>
        </is>
      </c>
      <c r="G53" s="116" t="n">
        <v>12500</v>
      </c>
      <c r="H53" s="118">
        <f>ROUND(E53*G53,0)</f>
        <v>25000</v>
      </c>
      <c r="I53" s="119" t="n"/>
      <c r="J53" s="120" t="inlineStr">
        <is>
          <t>エスト見積</t>
        </is>
      </c>
      <c r="K53" s="120" t="n"/>
      <c r="L53" s="121" t="n">
        <v>2000</v>
      </c>
      <c r="M53" s="122" t="n">
        <v>0.45</v>
      </c>
      <c r="N53" s="116">
        <f>ROUND(M53*LABOR_COST,0)</f>
        <v>8550</v>
      </c>
      <c r="O53" s="116">
        <f>L53+N53</f>
        <v>10550</v>
      </c>
      <c r="P53" s="118">
        <f>E53*O53</f>
        <v>21100</v>
      </c>
      <c r="Q53" s="118">
        <f>E53*N53</f>
        <v>17100</v>
      </c>
      <c r="R53" s="118">
        <f>IF(H53=0,0,IF(E53*M53*EST_LABOR_PIPE&gt;H53,H53,E53*M53*EST_LABOR_PIPE))</f>
        <v>25000</v>
      </c>
      <c r="S53" s="118">
        <f>IF(H53="","",H53-P53)</f>
        <v>3900</v>
      </c>
      <c r="T53" s="123">
        <f>IF(OR(H53="",H53=0),"",S53/H53)</f>
        <v>0.156</v>
      </c>
      <c r="U53" s="40" t="n"/>
      <c r="V53" s="40" t="n"/>
      <c r="W53" s="124" t="inlineStr">
        <is>
          <t>エスト見積 6330560-1 気密テスト費 SA</t>
        </is>
      </c>
      <c r="X53" s="124" t="n"/>
      <c r="Y53" s="120" t="inlineStr">
        <is>
          <t>図面カウント</t>
        </is>
      </c>
      <c r="Z53" s="124" t="n"/>
    </row>
    <row r="54" ht="18" customHeight="1">
      <c r="A54" s="114" t="inlineStr">
        <is>
          <t xml:space="preserve">　　気密テスト費</t>
        </is>
      </c>
      <c r="B54" s="40" t="n"/>
      <c r="C54" s="115" t="inlineStr">
        <is>
          <t>RA</t>
        </is>
      </c>
      <c r="D54" s="40" t="n"/>
      <c r="E54" s="116" t="n">
        <v>3</v>
      </c>
      <c r="F54" s="117" t="inlineStr">
        <is>
          <t>系統</t>
        </is>
      </c>
      <c r="G54" s="116" t="n">
        <v>10000</v>
      </c>
      <c r="H54" s="118">
        <f>ROUND(E54*G54,0)</f>
        <v>30000</v>
      </c>
      <c r="I54" s="119" t="n"/>
      <c r="J54" s="120" t="inlineStr">
        <is>
          <t>エスト見積</t>
        </is>
      </c>
      <c r="K54" s="120" t="n"/>
      <c r="L54" s="121" t="n">
        <v>1000</v>
      </c>
      <c r="M54" s="122" t="n">
        <v>0.3</v>
      </c>
      <c r="N54" s="116">
        <f>ROUND(M54*LABOR_COST,0)</f>
        <v>5700</v>
      </c>
      <c r="O54" s="116">
        <f>L54+N54</f>
        <v>6700</v>
      </c>
      <c r="P54" s="118">
        <f>E54*O54</f>
        <v>20100</v>
      </c>
      <c r="Q54" s="118">
        <f>E54*N54</f>
        <v>17100</v>
      </c>
      <c r="R54" s="118">
        <f>IF(H54=0,0,IF(E54*M54*EST_LABOR_PIPE&gt;H54,H54,E54*M54*EST_LABOR_PIPE))</f>
        <v>30000</v>
      </c>
      <c r="S54" s="118">
        <f>IF(H54="","",H54-P54)</f>
        <v>9900</v>
      </c>
      <c r="T54" s="123">
        <f>IF(OR(H54="",H54=0),"",S54/H54)</f>
        <v>0.33</v>
      </c>
      <c r="U54" s="40" t="n"/>
      <c r="V54" s="40" t="n"/>
      <c r="W54" s="124" t="inlineStr">
        <is>
          <t>エスト見積 6330560-1 気密テスト費 RA</t>
        </is>
      </c>
      <c r="X54" s="124" t="n"/>
      <c r="Y54" s="120" t="inlineStr">
        <is>
          <t>図面カウント</t>
        </is>
      </c>
      <c r="Z54" s="124" t="n"/>
    </row>
    <row r="55" ht="18" customHeight="1">
      <c r="A55" s="114" t="inlineStr">
        <is>
          <t xml:space="preserve">　　真空引き・ガス充填</t>
        </is>
      </c>
      <c r="B55" s="40" t="n"/>
      <c r="C55" s="115" t="inlineStr">
        <is>
          <t>SA（基本料金）</t>
        </is>
      </c>
      <c r="D55" s="40" t="n"/>
      <c r="E55" s="116" t="n">
        <v>2</v>
      </c>
      <c r="F55" s="117" t="inlineStr">
        <is>
          <t>系統</t>
        </is>
      </c>
      <c r="G55" s="116" t="n">
        <v>2500</v>
      </c>
      <c r="H55" s="118">
        <f>ROUND(E55*G55,0)</f>
        <v>5000</v>
      </c>
      <c r="I55" s="119" t="n"/>
      <c r="J55" s="120" t="inlineStr">
        <is>
          <t>エスト見積</t>
        </is>
      </c>
      <c r="K55" s="120" t="n"/>
      <c r="L55" s="121" t="n">
        <v>500</v>
      </c>
      <c r="M55" s="122" t="n">
        <v>0.15</v>
      </c>
      <c r="N55" s="116">
        <f>ROUND(M55*LABOR_COST,0)</f>
        <v>2850</v>
      </c>
      <c r="O55" s="116">
        <f>L55+N55</f>
        <v>3350</v>
      </c>
      <c r="P55" s="118">
        <f>E55*O55</f>
        <v>6700</v>
      </c>
      <c r="Q55" s="118">
        <f>E55*N55</f>
        <v>5700</v>
      </c>
      <c r="R55" s="118">
        <f>IF(H55=0,0,IF(E55*M55*EST_LABOR_PIPE&gt;H55,H55,E55*M55*EST_LABOR_PIPE))</f>
        <v>5000</v>
      </c>
      <c r="S55" s="118">
        <f>IF(H55="","",H55-P55)</f>
        <v>-1700</v>
      </c>
      <c r="T55" s="123">
        <f>IF(OR(H55="",H55=0),"",S55/H55)</f>
        <v>-0.34</v>
      </c>
      <c r="U55" s="40" t="n"/>
      <c r="V55" s="40" t="n"/>
      <c r="W55" s="124" t="inlineStr">
        <is>
          <t>エスト見積 6330560-1 真空引き・ガス充填 SA（基本料金）</t>
        </is>
      </c>
      <c r="X55" s="124" t="n"/>
      <c r="Y55" s="120" t="inlineStr">
        <is>
          <t>図面カウント</t>
        </is>
      </c>
      <c r="Z55" s="124" t="inlineStr">
        <is>
          <t>配管長はチャージレス範囲内のため追加充填なし</t>
        </is>
      </c>
    </row>
    <row r="56" ht="18" customHeight="1">
      <c r="A56" s="114" t="inlineStr">
        <is>
          <t xml:space="preserve">　　真空引き・ガス充填</t>
        </is>
      </c>
      <c r="B56" s="40" t="n"/>
      <c r="C56" s="115" t="inlineStr">
        <is>
          <t>RA（基本料金）</t>
        </is>
      </c>
      <c r="D56" s="40" t="n"/>
      <c r="E56" s="116" t="n">
        <v>3</v>
      </c>
      <c r="F56" s="117" t="inlineStr">
        <is>
          <t>系統</t>
        </is>
      </c>
      <c r="G56" s="116" t="n">
        <v>1880</v>
      </c>
      <c r="H56" s="118">
        <f>ROUND(E56*G56,0)</f>
        <v>5640</v>
      </c>
      <c r="I56" s="119" t="n"/>
      <c r="J56" s="120" t="inlineStr">
        <is>
          <t>エスト見積</t>
        </is>
      </c>
      <c r="K56" s="120" t="n"/>
      <c r="L56" s="121" t="n">
        <v>300</v>
      </c>
      <c r="M56" s="122" t="n">
        <v>0.12</v>
      </c>
      <c r="N56" s="116">
        <f>ROUND(M56*LABOR_COST,0)</f>
        <v>2280</v>
      </c>
      <c r="O56" s="116">
        <f>L56+N56</f>
        <v>2580</v>
      </c>
      <c r="P56" s="118">
        <f>E56*O56</f>
        <v>7740</v>
      </c>
      <c r="Q56" s="118">
        <f>E56*N56</f>
        <v>6840</v>
      </c>
      <c r="R56" s="118">
        <f>IF(H56=0,0,IF(E56*M56*EST_LABOR_PIPE&gt;H56,H56,E56*M56*EST_LABOR_PIPE))</f>
        <v>5640</v>
      </c>
      <c r="S56" s="118">
        <f>IF(H56="","",H56-P56)</f>
        <v>-2100</v>
      </c>
      <c r="T56" s="123">
        <f>IF(OR(H56="",H56=0),"",S56/H56)</f>
        <v>-0.3723404255319149</v>
      </c>
      <c r="U56" s="40" t="n"/>
      <c r="V56" s="40" t="n"/>
      <c r="W56" s="124" t="inlineStr">
        <is>
          <t>エスト見積 6330560-1 真空引き・ガス充填 RA（基本料金）</t>
        </is>
      </c>
      <c r="X56" s="124" t="n"/>
      <c r="Y56" s="120" t="inlineStr">
        <is>
          <t>図面カウント</t>
        </is>
      </c>
      <c r="Z56" s="124" t="n"/>
    </row>
    <row r="57" ht="18" customHeight="1">
      <c r="A57" s="114" t="inlineStr">
        <is>
          <t xml:space="preserve">　　消耗品及び雑材料</t>
        </is>
      </c>
      <c r="B57" s="40" t="n"/>
      <c r="C57" s="40" t="n"/>
      <c r="D57" s="40" t="n"/>
      <c r="E57" s="116" t="n">
        <v>1</v>
      </c>
      <c r="F57" s="117" t="inlineStr">
        <is>
          <t>式</t>
        </is>
      </c>
      <c r="G57" s="40" t="n"/>
      <c r="H57" s="118">
        <f>ROUNDUP(SUM(H31:H56)*U57,-2)</f>
        <v>12100</v>
      </c>
      <c r="I57" s="112" t="n"/>
      <c r="J57" s="143" t="inlineStr">
        <is>
          <t>経費</t>
        </is>
      </c>
      <c r="K57" s="40" t="n"/>
      <c r="L57" s="40" t="n"/>
      <c r="M57" s="40" t="n"/>
      <c r="N57" s="40" t="n"/>
      <c r="O57" s="40" t="n"/>
      <c r="P57" s="118" t="n">
        <v>0</v>
      </c>
      <c r="Q57" s="118" t="n">
        <v>0</v>
      </c>
      <c r="R57" s="118" t="n">
        <v>0</v>
      </c>
      <c r="S57" s="40" t="n"/>
      <c r="T57" s="40" t="n"/>
      <c r="U57" s="144" t="n">
        <v>0.03</v>
      </c>
      <c r="V57" s="40" t="n"/>
      <c r="W57" s="124" t="inlineStr">
        <is>
          <t>基礎額×率（100円未満切上げ）</t>
        </is>
      </c>
      <c r="X57" s="124" t="n"/>
      <c r="Y57" s="120" t="n"/>
      <c r="Z57" s="40" t="n"/>
    </row>
    <row r="58" ht="18" customHeight="1">
      <c r="A58" s="114" t="inlineStr">
        <is>
          <t xml:space="preserve">　　資材運搬費</t>
        </is>
      </c>
      <c r="B58" s="40" t="n"/>
      <c r="C58" s="40" t="n"/>
      <c r="D58" s="40" t="n"/>
      <c r="E58" s="116" t="n">
        <v>1</v>
      </c>
      <c r="F58" s="117" t="inlineStr">
        <is>
          <t>式</t>
        </is>
      </c>
      <c r="G58" s="40" t="n"/>
      <c r="H58" s="118">
        <f>ROUNDUP((SUM(H31:H56)+H57)*U58,-2)</f>
        <v>20800</v>
      </c>
      <c r="I58" s="112" t="n"/>
      <c r="J58" s="143" t="inlineStr">
        <is>
          <t>経費</t>
        </is>
      </c>
      <c r="K58" s="40" t="n"/>
      <c r="L58" s="40" t="n"/>
      <c r="M58" s="40" t="n"/>
      <c r="N58" s="40" t="n"/>
      <c r="O58" s="40" t="n"/>
      <c r="P58" s="118" t="n">
        <v>0</v>
      </c>
      <c r="Q58" s="118" t="n">
        <v>0</v>
      </c>
      <c r="R58" s="118" t="n">
        <v>0</v>
      </c>
      <c r="S58" s="40" t="n"/>
      <c r="T58" s="40" t="n"/>
      <c r="U58" s="144" t="n">
        <v>0.05</v>
      </c>
      <c r="V58" s="40" t="n"/>
      <c r="W58" s="124" t="inlineStr">
        <is>
          <t>（基礎額＋消耗品）×率（100円未満切上げ）</t>
        </is>
      </c>
      <c r="X58" s="124" t="n"/>
      <c r="Y58" s="120" t="n"/>
      <c r="Z58" s="40" t="n"/>
    </row>
    <row r="59" ht="18" customHeight="1">
      <c r="A59" s="125" t="inlineStr">
        <is>
          <t xml:space="preserve">　　現場経費</t>
        </is>
      </c>
      <c r="B59" s="91" t="n"/>
      <c r="C59" s="91" t="n"/>
      <c r="D59" s="91" t="n"/>
      <c r="E59" s="127" t="n">
        <v>1</v>
      </c>
      <c r="F59" s="128" t="inlineStr">
        <is>
          <t>式</t>
        </is>
      </c>
      <c r="G59" s="91" t="n"/>
      <c r="H59" s="129">
        <f>ROUNDUP((SUM(H31:H56)+H57+H58)+ROUNDUP((SUM(H31:H56)+H57+H58)*U59,-2),-3)-(SUM(H31:H56)+H57+H58)</f>
        <v>44377</v>
      </c>
      <c r="I59" s="145" t="n"/>
      <c r="J59" s="146" t="inlineStr">
        <is>
          <t>経費</t>
        </is>
      </c>
      <c r="K59" s="91" t="n"/>
      <c r="L59" s="91" t="n"/>
      <c r="M59" s="91" t="n"/>
      <c r="N59" s="91" t="n"/>
      <c r="O59" s="91" t="n"/>
      <c r="P59" s="129" t="n">
        <v>0</v>
      </c>
      <c r="Q59" s="129" t="n">
        <v>0</v>
      </c>
      <c r="R59" s="129" t="n">
        <v>0</v>
      </c>
      <c r="S59" s="91" t="n"/>
      <c r="T59" s="91" t="n"/>
      <c r="U59" s="147" t="n">
        <v>0.1</v>
      </c>
      <c r="V59" s="91" t="n"/>
      <c r="W59" s="135" t="inlineStr">
        <is>
          <t>（基礎額＋消耗品＋運搬費）×率を加え、計を1,000円未満切上げ</t>
        </is>
      </c>
      <c r="X59" s="135" t="n"/>
      <c r="Y59" s="131" t="n"/>
      <c r="Z59" s="91" t="n"/>
    </row>
    <row r="60" ht="20" customHeight="1">
      <c r="A60" s="136" t="inlineStr">
        <is>
          <t>－　計　－</t>
        </is>
      </c>
      <c r="B60" s="109" t="n"/>
      <c r="C60" s="109" t="n"/>
      <c r="D60" s="109" t="n"/>
      <c r="E60" s="109" t="n"/>
      <c r="F60" s="109" t="n"/>
      <c r="G60" s="109" t="n"/>
      <c r="H60" s="137">
        <f>SUM(H31:H59)</f>
        <v>480000</v>
      </c>
      <c r="I60" s="110" t="n"/>
      <c r="J60" s="109" t="n"/>
      <c r="K60" s="109" t="n"/>
      <c r="L60" s="109" t="n"/>
      <c r="M60" s="138">
        <f>SUMPRODUCT(E31:E59,M31:M59)</f>
        <v>7.425000000000001</v>
      </c>
      <c r="N60" s="109" t="n"/>
      <c r="O60" s="109" t="n"/>
      <c r="P60" s="137">
        <f>SUM(P31:P59)</f>
        <v>320399</v>
      </c>
      <c r="Q60" s="137">
        <f>SUM(Q31:Q59)</f>
        <v>141075</v>
      </c>
      <c r="R60" s="137">
        <f>SUM(R31:R59)</f>
        <v>233157.5</v>
      </c>
      <c r="S60" s="137">
        <f>H60-P60</f>
        <v>159601</v>
      </c>
      <c r="T60" s="139">
        <f>IF(H60=0,"",S60/H60)</f>
        <v>0.3325020833333333</v>
      </c>
      <c r="U60" s="109" t="n"/>
      <c r="V60" s="109" t="n"/>
      <c r="W60" s="109" t="n"/>
      <c r="X60" s="109" t="n"/>
      <c r="Y60" s="109" t="n"/>
      <c r="Z60" s="109" t="n"/>
    </row>
    <row r="61" ht="10" customHeight="1">
      <c r="A61" s="140" t="n"/>
      <c r="B61" s="40" t="n"/>
      <c r="C61" s="40" t="n"/>
      <c r="D61" s="40" t="n"/>
      <c r="E61" s="40" t="n"/>
      <c r="F61" s="40" t="n"/>
      <c r="G61" s="40" t="n"/>
      <c r="H61" s="40" t="n"/>
      <c r="I61" s="112" t="n"/>
      <c r="J61" s="40" t="n"/>
      <c r="K61" s="40" t="n"/>
      <c r="L61" s="40" t="n"/>
      <c r="M61" s="40" t="n"/>
      <c r="N61" s="40" t="n"/>
      <c r="O61" s="40" t="n"/>
      <c r="P61" s="40" t="n"/>
      <c r="Q61" s="40" t="n"/>
      <c r="R61" s="40" t="n"/>
      <c r="S61" s="40" t="n"/>
      <c r="T61" s="40" t="n"/>
      <c r="U61" s="40" t="n"/>
      <c r="V61" s="40" t="n"/>
      <c r="W61" s="40" t="n"/>
      <c r="X61" s="40" t="n"/>
      <c r="Y61" s="40" t="n"/>
      <c r="Z61" s="40" t="n"/>
    </row>
    <row r="62" ht="20" customHeight="1">
      <c r="A62" s="111" t="inlineStr">
        <is>
          <t>４　換気設備機器</t>
        </is>
      </c>
      <c r="B62" s="40" t="n"/>
      <c r="C62" s="40" t="n"/>
      <c r="D62" s="40" t="n"/>
      <c r="E62" s="40" t="n"/>
      <c r="F62" s="40" t="n"/>
      <c r="G62" s="40" t="n"/>
      <c r="H62" s="40" t="n"/>
      <c r="I62" s="112" t="n"/>
      <c r="J62" s="40" t="n"/>
      <c r="K62" s="40" t="n"/>
      <c r="L62" s="40" t="n"/>
      <c r="M62" s="40" t="n"/>
      <c r="N62" s="40" t="n"/>
      <c r="O62" s="40" t="n"/>
      <c r="P62" s="40" t="n"/>
      <c r="Q62" s="40" t="n"/>
      <c r="R62" s="40" t="n"/>
      <c r="S62" s="40" t="n"/>
      <c r="T62" s="40" t="n"/>
      <c r="U62" s="40" t="n"/>
      <c r="V62" s="40" t="n"/>
      <c r="W62" s="40" t="n"/>
      <c r="X62" s="40" t="n"/>
      <c r="Y62" s="40" t="n"/>
      <c r="Z62" s="40" t="n"/>
    </row>
    <row r="63" ht="18" customHeight="1">
      <c r="A63" s="113" t="inlineStr">
        <is>
          <t xml:space="preserve">　24時間換気（第3種機械換気）</t>
        </is>
      </c>
      <c r="B63" s="40" t="n"/>
      <c r="C63" s="40" t="n"/>
      <c r="D63" s="40" t="n"/>
      <c r="E63" s="40" t="n"/>
      <c r="F63" s="40" t="n"/>
      <c r="G63" s="40" t="n"/>
      <c r="H63" s="40" t="n"/>
      <c r="I63" s="112" t="n"/>
      <c r="J63" s="40" t="n"/>
      <c r="K63" s="40" t="n"/>
      <c r="L63" s="40" t="n"/>
      <c r="M63" s="40" t="n"/>
      <c r="N63" s="40" t="n"/>
      <c r="O63" s="40" t="n"/>
      <c r="P63" s="40" t="n"/>
      <c r="Q63" s="40" t="n"/>
      <c r="R63" s="40" t="n"/>
      <c r="S63" s="40" t="n"/>
      <c r="T63" s="40" t="n"/>
      <c r="U63" s="40" t="n"/>
      <c r="V63" s="40" t="n"/>
      <c r="W63" s="40" t="n"/>
      <c r="X63" s="40" t="n"/>
      <c r="Y63" s="40" t="n"/>
      <c r="Z63" s="40" t="n"/>
    </row>
    <row r="64" ht="18" customHeight="1">
      <c r="A64" s="114" t="inlineStr">
        <is>
          <t xml:space="preserve">　　EF-1 パイプ用ファン</t>
        </is>
      </c>
      <c r="B64" s="40" t="n"/>
      <c r="C64" s="115" t="inlineStr">
        <is>
          <t>V-08PP8-BL（三菱）φ100 BL品</t>
        </is>
      </c>
      <c r="D64" s="40" t="n"/>
      <c r="E64" s="116" t="n">
        <v>3</v>
      </c>
      <c r="F64" s="117" t="inlineStr">
        <is>
          <t>台</t>
        </is>
      </c>
      <c r="G64" s="116" t="n">
        <v>4920</v>
      </c>
      <c r="H64" s="118">
        <f>ROUND(E64*G64,0)</f>
        <v>14760</v>
      </c>
      <c r="I64" s="119" t="inlineStr">
        <is>
          <t>便所・小便所</t>
        </is>
      </c>
      <c r="J64" s="120" t="inlineStr">
        <is>
          <t>原価基準（仕入率）</t>
        </is>
      </c>
      <c r="K64" s="120" t="n"/>
      <c r="L64" s="121" t="n">
        <v>3936</v>
      </c>
      <c r="M64" s="122" t="n">
        <v>0</v>
      </c>
      <c r="N64" s="116">
        <f>ROUND(M64*LABOR_COST,0)</f>
        <v>0</v>
      </c>
      <c r="O64" s="116">
        <f>L64+N64</f>
        <v>3936</v>
      </c>
      <c r="P64" s="118">
        <f>E64*O64</f>
        <v>11808</v>
      </c>
      <c r="Q64" s="118">
        <f>E64*N64</f>
        <v>0</v>
      </c>
      <c r="R64" s="118">
        <f>IF(H64=0,0,IF(E64*M64*EST_LABOR_PIPE&gt;H64,H64,E64*M64*EST_LABOR_PIPE))</f>
        <v>0</v>
      </c>
      <c r="S64" s="118">
        <f>IF(H64="","",H64-P64)</f>
        <v>2952</v>
      </c>
      <c r="T64" s="123">
        <f>IF(OR(H64="",H64=0),"",S64/H64)</f>
        <v>0.2</v>
      </c>
      <c r="U64" s="40" t="n"/>
      <c r="V64" s="40" t="n"/>
      <c r="W64" s="124" t="inlineStr">
        <is>
          <t>原価基準: 定価 12,300円（三菱電機 WIN2K 価格（税別））× 仕入率 0.32（三菱電機 換気機器）＝原価 3,936円 ÷（1－目標粗利率 0.20）</t>
        </is>
      </c>
      <c r="X64" s="124" t="n"/>
      <c r="Y64" s="120" t="inlineStr">
        <is>
          <t>図面カウント</t>
        </is>
      </c>
      <c r="Z64" s="124" t="inlineStr">
        <is>
          <t>定価 12,300円 × 仕入率 0.32（三菱電機 換気機器）＝原価 3,936円</t>
        </is>
      </c>
    </row>
    <row r="65" ht="18" customHeight="1">
      <c r="A65" s="113" t="inlineStr">
        <is>
          <t xml:space="preserve">　局所換気</t>
        </is>
      </c>
      <c r="B65" s="40" t="n"/>
      <c r="C65" s="40" t="n"/>
      <c r="D65" s="40" t="n"/>
      <c r="E65" s="40" t="n"/>
      <c r="F65" s="40" t="n"/>
      <c r="G65" s="40" t="n"/>
      <c r="H65" s="40" t="n"/>
      <c r="I65" s="112" t="n"/>
      <c r="J65" s="40" t="n"/>
      <c r="K65" s="40" t="n"/>
      <c r="L65" s="40" t="n"/>
      <c r="M65" s="40" t="n"/>
      <c r="N65" s="40" t="n"/>
      <c r="O65" s="40" t="n"/>
      <c r="P65" s="40" t="n"/>
      <c r="Q65" s="40" t="n"/>
      <c r="R65" s="40" t="n"/>
      <c r="S65" s="40" t="n"/>
      <c r="T65" s="40" t="n"/>
      <c r="U65" s="40" t="n"/>
      <c r="V65" s="40" t="n"/>
      <c r="W65" s="40" t="n"/>
      <c r="X65" s="40" t="n"/>
      <c r="Y65" s="40" t="n"/>
      <c r="Z65" s="40" t="n"/>
    </row>
    <row r="66" ht="18" customHeight="1">
      <c r="A66" s="114" t="inlineStr">
        <is>
          <t xml:space="preserve">　　EF-2 天井埋込形換気扇</t>
        </is>
      </c>
      <c r="B66" s="40" t="n"/>
      <c r="C66" s="115" t="inlineStr">
        <is>
          <t>VD-18ZC14（三菱）φ150 排煙用</t>
        </is>
      </c>
      <c r="D66" s="40" t="n"/>
      <c r="E66" s="116" t="n">
        <v>5</v>
      </c>
      <c r="F66" s="117" t="inlineStr">
        <is>
          <t>台</t>
        </is>
      </c>
      <c r="G66" s="116" t="n">
        <v>15920</v>
      </c>
      <c r="H66" s="118">
        <f>ROUND(E66*G66,0)</f>
        <v>79600</v>
      </c>
      <c r="I66" s="119" t="inlineStr">
        <is>
          <t>外陣・内陣・護摩堂</t>
        </is>
      </c>
      <c r="J66" s="120" t="inlineStr">
        <is>
          <t>原価基準（仕入率）</t>
        </is>
      </c>
      <c r="K66" s="120" t="n"/>
      <c r="L66" s="121" t="n">
        <v>12736</v>
      </c>
      <c r="M66" s="122" t="n">
        <v>0</v>
      </c>
      <c r="N66" s="116">
        <f>ROUND(M66*LABOR_COST,0)</f>
        <v>0</v>
      </c>
      <c r="O66" s="116">
        <f>L66+N66</f>
        <v>12736</v>
      </c>
      <c r="P66" s="118">
        <f>E66*O66</f>
        <v>63680</v>
      </c>
      <c r="Q66" s="118">
        <f>E66*N66</f>
        <v>0</v>
      </c>
      <c r="R66" s="118">
        <f>IF(H66=0,0,IF(E66*M66*EST_LABOR_PIPE&gt;H66,H66,E66*M66*EST_LABOR_PIPE))</f>
        <v>0</v>
      </c>
      <c r="S66" s="118">
        <f>IF(H66="","",H66-P66)</f>
        <v>15920</v>
      </c>
      <c r="T66" s="123">
        <f>IF(OR(H66="",H66=0),"",S66/H66)</f>
        <v>0.2</v>
      </c>
      <c r="U66" s="40" t="n"/>
      <c r="V66" s="40" t="n"/>
      <c r="W66" s="124" t="inlineStr">
        <is>
          <t>原価基準: 定価 39,800円（販売店掲載の参考基準価格（税別））× 仕入率 0.32（三菱電機 換気機器）＝原価 12,736円 ÷（1－目標粗利率 0.20）</t>
        </is>
      </c>
      <c r="X66" s="124" t="n"/>
      <c r="Y66" s="120" t="inlineStr">
        <is>
          <t>図面カウント</t>
        </is>
      </c>
      <c r="Z66" s="124" t="inlineStr">
        <is>
          <t>定価 39,800円 × 仕入率 0.32（三菱電機 換気機器）＝原価 12,736円</t>
        </is>
      </c>
    </row>
    <row r="67" ht="18" customHeight="1">
      <c r="A67" s="114" t="inlineStr">
        <is>
          <t xml:space="preserve">　　EF-3 天井埋込形換気扇</t>
        </is>
      </c>
      <c r="B67" s="40" t="n"/>
      <c r="C67" s="115" t="inlineStr">
        <is>
          <t>VD-15ZC14（三菱）φ100 台所</t>
        </is>
      </c>
      <c r="D67" s="40" t="n"/>
      <c r="E67" s="116" t="n">
        <v>1</v>
      </c>
      <c r="F67" s="117" t="inlineStr">
        <is>
          <t>台</t>
        </is>
      </c>
      <c r="G67" s="116" t="n">
        <v>10080</v>
      </c>
      <c r="H67" s="118">
        <f>ROUND(E67*G67,0)</f>
        <v>10080</v>
      </c>
      <c r="I67" s="119" t="inlineStr">
        <is>
          <t>談話室</t>
        </is>
      </c>
      <c r="J67" s="120" t="inlineStr">
        <is>
          <t>原価基準（仕入率）</t>
        </is>
      </c>
      <c r="K67" s="120" t="n"/>
      <c r="L67" s="121" t="n">
        <v>8064</v>
      </c>
      <c r="M67" s="122" t="n">
        <v>0</v>
      </c>
      <c r="N67" s="116">
        <f>ROUND(M67*LABOR_COST,0)</f>
        <v>0</v>
      </c>
      <c r="O67" s="116">
        <f>L67+N67</f>
        <v>8064</v>
      </c>
      <c r="P67" s="118">
        <f>E67*O67</f>
        <v>8064</v>
      </c>
      <c r="Q67" s="118">
        <f>E67*N67</f>
        <v>0</v>
      </c>
      <c r="R67" s="118">
        <f>IF(H67=0,0,IF(E67*M67*EST_LABOR_PIPE&gt;H67,H67,E67*M67*EST_LABOR_PIPE))</f>
        <v>0</v>
      </c>
      <c r="S67" s="118">
        <f>IF(H67="","",H67-P67)</f>
        <v>2016</v>
      </c>
      <c r="T67" s="123">
        <f>IF(OR(H67="",H67=0),"",S67/H67)</f>
        <v>0.2</v>
      </c>
      <c r="U67" s="40" t="n"/>
      <c r="V67" s="40" t="n"/>
      <c r="W67" s="124" t="inlineStr">
        <is>
          <t>原価基準: 定価 25,200円（販売店掲載の参考基準価格（税別））× 仕入率 0.32（三菱電機 換気機器）＝原価 8,064円 ÷（1－目標粗利率 0.20）</t>
        </is>
      </c>
      <c r="X67" s="124" t="n"/>
      <c r="Y67" s="120" t="inlineStr">
        <is>
          <t>図面カウント</t>
        </is>
      </c>
      <c r="Z67" s="124" t="inlineStr">
        <is>
          <t>定価 25,200円 × 仕入率 0.32（三菱電機 換気機器）＝原価 8,064円</t>
        </is>
      </c>
    </row>
    <row r="68" ht="18" customHeight="1">
      <c r="A68" s="114" t="inlineStr">
        <is>
          <t xml:space="preserve">　　EF-4 天井埋込形換気扇</t>
        </is>
      </c>
      <c r="B68" s="40" t="n"/>
      <c r="C68" s="115" t="inlineStr">
        <is>
          <t>VD-10ZC14（三菱）φ100</t>
        </is>
      </c>
      <c r="D68" s="40" t="n"/>
      <c r="E68" s="116" t="n">
        <v>1</v>
      </c>
      <c r="F68" s="117" t="inlineStr">
        <is>
          <t>台</t>
        </is>
      </c>
      <c r="G68" s="116" t="n">
        <v>8280</v>
      </c>
      <c r="H68" s="118">
        <f>ROUND(E68*G68,0)</f>
        <v>8280</v>
      </c>
      <c r="I68" s="119" t="inlineStr">
        <is>
          <t>パントリー</t>
        </is>
      </c>
      <c r="J68" s="120" t="inlineStr">
        <is>
          <t>原価基準（仕入率）</t>
        </is>
      </c>
      <c r="K68" s="120" t="n"/>
      <c r="L68" s="121" t="n">
        <v>6624</v>
      </c>
      <c r="M68" s="122" t="n">
        <v>0</v>
      </c>
      <c r="N68" s="116">
        <f>ROUND(M68*LABOR_COST,0)</f>
        <v>0</v>
      </c>
      <c r="O68" s="116">
        <f>L68+N68</f>
        <v>6624</v>
      </c>
      <c r="P68" s="118">
        <f>E68*O68</f>
        <v>6624</v>
      </c>
      <c r="Q68" s="118">
        <f>E68*N68</f>
        <v>0</v>
      </c>
      <c r="R68" s="118">
        <f>IF(H68=0,0,IF(E68*M68*EST_LABOR_PIPE&gt;H68,H68,E68*M68*EST_LABOR_PIPE))</f>
        <v>0</v>
      </c>
      <c r="S68" s="118">
        <f>IF(H68="","",H68-P68)</f>
        <v>1656</v>
      </c>
      <c r="T68" s="123">
        <f>IF(OR(H68="",H68=0),"",S68/H68)</f>
        <v>0.2</v>
      </c>
      <c r="U68" s="40" t="n"/>
      <c r="V68" s="40" t="n"/>
      <c r="W68" s="124" t="inlineStr">
        <is>
          <t>原価基準: 定価 20,700円（販売店掲載の参考基準価格（税別））× 仕入率 0.32（三菱電機 換気機器）＝原価 6,624円 ÷（1－目標粗利率 0.20）</t>
        </is>
      </c>
      <c r="X68" s="124" t="n"/>
      <c r="Y68" s="120" t="inlineStr">
        <is>
          <t>図面カウント</t>
        </is>
      </c>
      <c r="Z68" s="124" t="inlineStr">
        <is>
          <t>定価 20,700円 × 仕入率 0.32（三菱電機 換気機器）＝原価 6,624円</t>
        </is>
      </c>
    </row>
    <row r="69" ht="18" customHeight="1">
      <c r="A69" s="113" t="inlineStr">
        <is>
          <t xml:space="preserve">　給気口（外気導入）</t>
        </is>
      </c>
      <c r="B69" s="40" t="n"/>
      <c r="C69" s="40" t="n"/>
      <c r="D69" s="40" t="n"/>
      <c r="E69" s="40" t="n"/>
      <c r="F69" s="40" t="n"/>
      <c r="G69" s="40" t="n"/>
      <c r="H69" s="40" t="n"/>
      <c r="I69" s="112" t="n"/>
      <c r="J69" s="40" t="n"/>
      <c r="K69" s="40" t="n"/>
      <c r="L69" s="40" t="n"/>
      <c r="M69" s="40" t="n"/>
      <c r="N69" s="40" t="n"/>
      <c r="O69" s="40" t="n"/>
      <c r="P69" s="40" t="n"/>
      <c r="Q69" s="40" t="n"/>
      <c r="R69" s="40" t="n"/>
      <c r="S69" s="40" t="n"/>
      <c r="T69" s="40" t="n"/>
      <c r="U69" s="40" t="n"/>
      <c r="V69" s="40" t="n"/>
      <c r="W69" s="40" t="n"/>
      <c r="X69" s="40" t="n"/>
      <c r="Y69" s="40" t="n"/>
      <c r="Z69" s="40" t="n"/>
    </row>
    <row r="70" ht="26.5" customHeight="1">
      <c r="A70" s="114" t="inlineStr">
        <is>
          <t xml:space="preserve">　　SA-1 給排気グリル</t>
        </is>
      </c>
      <c r="B70" s="40" t="n"/>
      <c r="C70" s="141" t="inlineStr">
        <is>
          <t>P-23GHF5（三菱）φ200 フィルター付</t>
        </is>
      </c>
      <c r="D70" s="40" t="n"/>
      <c r="E70" s="116" t="n">
        <v>4</v>
      </c>
      <c r="F70" s="117" t="inlineStr">
        <is>
          <t>個</t>
        </is>
      </c>
      <c r="G70" s="116" t="n">
        <v>4360</v>
      </c>
      <c r="H70" s="118">
        <f>ROUND(E70*G70,0)</f>
        <v>17440</v>
      </c>
      <c r="I70" s="119" t="inlineStr">
        <is>
          <t>外陣・内陣</t>
        </is>
      </c>
      <c r="J70" s="120" t="inlineStr">
        <is>
          <t>原価基準（仕入率）</t>
        </is>
      </c>
      <c r="K70" s="120" t="n"/>
      <c r="L70" s="121" t="n">
        <v>3488</v>
      </c>
      <c r="M70" s="122" t="n">
        <v>0</v>
      </c>
      <c r="N70" s="116">
        <f>ROUND(M70*LABOR_COST,0)</f>
        <v>0</v>
      </c>
      <c r="O70" s="116">
        <f>L70+N70</f>
        <v>3488</v>
      </c>
      <c r="P70" s="118">
        <f>E70*O70</f>
        <v>13952</v>
      </c>
      <c r="Q70" s="118">
        <f>E70*N70</f>
        <v>0</v>
      </c>
      <c r="R70" s="118">
        <f>IF(H70=0,0,IF(E70*M70*EST_LABOR_PIPE&gt;H70,H70,E70*M70*EST_LABOR_PIPE))</f>
        <v>0</v>
      </c>
      <c r="S70" s="118">
        <f>IF(H70="","",H70-P70)</f>
        <v>3488</v>
      </c>
      <c r="T70" s="123">
        <f>IF(OR(H70="",H70=0),"",S70/H70)</f>
        <v>0.2</v>
      </c>
      <c r="U70" s="40" t="n"/>
      <c r="V70" s="40" t="n"/>
      <c r="W70" s="124" t="inlineStr">
        <is>
          <t>原価基準: 定価 10,900円（三菱電機 WIN2K 価格（税別））× 仕入率 0.32（三菱電機 換気機器）＝原価 3,488円 ÷（1－目標粗利率 0.20）</t>
        </is>
      </c>
      <c r="X70" s="124" t="n"/>
      <c r="Y70" s="120" t="inlineStr">
        <is>
          <t>図面カウント</t>
        </is>
      </c>
      <c r="Z70" s="124" t="inlineStr">
        <is>
          <t>定価 10,900円 × 仕入率 0.32（三菱電機 換気機器）＝原価 3,488円</t>
        </is>
      </c>
    </row>
    <row r="71" ht="26.5" customHeight="1">
      <c r="A71" s="114" t="inlineStr">
        <is>
          <t xml:space="preserve">　　SA-2 給排気グリル</t>
        </is>
      </c>
      <c r="B71" s="40" t="n"/>
      <c r="C71" s="141" t="inlineStr">
        <is>
          <t>P-18GHF5（三菱）φ150 フィルター付</t>
        </is>
      </c>
      <c r="D71" s="40" t="n"/>
      <c r="E71" s="116" t="n">
        <v>1</v>
      </c>
      <c r="F71" s="117" t="inlineStr">
        <is>
          <t>個</t>
        </is>
      </c>
      <c r="G71" s="116" t="n">
        <v>2400</v>
      </c>
      <c r="H71" s="118">
        <f>ROUND(E71*G71,0)</f>
        <v>2400</v>
      </c>
      <c r="I71" s="119" t="inlineStr">
        <is>
          <t>護摩堂</t>
        </is>
      </c>
      <c r="J71" s="120" t="inlineStr">
        <is>
          <t>原価基準（仕入率）</t>
        </is>
      </c>
      <c r="K71" s="120" t="n"/>
      <c r="L71" s="121" t="n">
        <v>1920</v>
      </c>
      <c r="M71" s="122" t="n">
        <v>0</v>
      </c>
      <c r="N71" s="116">
        <f>ROUND(M71*LABOR_COST,0)</f>
        <v>0</v>
      </c>
      <c r="O71" s="116">
        <f>L71+N71</f>
        <v>1920</v>
      </c>
      <c r="P71" s="118">
        <f>E71*O71</f>
        <v>1920</v>
      </c>
      <c r="Q71" s="118">
        <f>E71*N71</f>
        <v>0</v>
      </c>
      <c r="R71" s="118">
        <f>IF(H71=0,0,IF(E71*M71*EST_LABOR_PIPE&gt;H71,H71,E71*M71*EST_LABOR_PIPE))</f>
        <v>0</v>
      </c>
      <c r="S71" s="118">
        <f>IF(H71="","",H71-P71)</f>
        <v>480</v>
      </c>
      <c r="T71" s="123">
        <f>IF(OR(H71="",H71=0),"",S71/H71)</f>
        <v>0.2</v>
      </c>
      <c r="U71" s="40" t="n"/>
      <c r="V71" s="40" t="n"/>
      <c r="W71" s="124" t="inlineStr">
        <is>
          <t>原価基準: 定価 6,000円（販売店掲載の参考基準価格（税別））× 仕入率 0.32（三菱電機 換気機器）＝原価 1,920円 ÷（1－目標粗利率 0.20）</t>
        </is>
      </c>
      <c r="X71" s="124" t="n"/>
      <c r="Y71" s="120" t="inlineStr">
        <is>
          <t>図面カウント</t>
        </is>
      </c>
      <c r="Z71" s="124" t="inlineStr">
        <is>
          <t>定価 6,000円 × 仕入率 0.32（三菱電機 換気機器）＝原価 1,920円</t>
        </is>
      </c>
    </row>
    <row r="72" ht="26.5" customHeight="1">
      <c r="A72" s="114" t="inlineStr">
        <is>
          <t xml:space="preserve">　　SA-3 給排気グリル</t>
        </is>
      </c>
      <c r="B72" s="40" t="n"/>
      <c r="C72" s="141" t="inlineStr">
        <is>
          <t>P-13GHF5（三菱）φ100 フィルター付</t>
        </is>
      </c>
      <c r="D72" s="40" t="n"/>
      <c r="E72" s="116" t="n">
        <v>3</v>
      </c>
      <c r="F72" s="117" t="inlineStr">
        <is>
          <t>個</t>
        </is>
      </c>
      <c r="G72" s="116" t="n">
        <v>1840</v>
      </c>
      <c r="H72" s="118">
        <f>ROUND(E72*G72,0)</f>
        <v>5520</v>
      </c>
      <c r="I72" s="119" t="inlineStr">
        <is>
          <t>和室・談話室</t>
        </is>
      </c>
      <c r="J72" s="120" t="inlineStr">
        <is>
          <t>原価基準（仕入率）</t>
        </is>
      </c>
      <c r="K72" s="120" t="n"/>
      <c r="L72" s="121" t="n">
        <v>1472</v>
      </c>
      <c r="M72" s="122" t="n">
        <v>0</v>
      </c>
      <c r="N72" s="116">
        <f>ROUND(M72*LABOR_COST,0)</f>
        <v>0</v>
      </c>
      <c r="O72" s="116">
        <f>L72+N72</f>
        <v>1472</v>
      </c>
      <c r="P72" s="118">
        <f>E72*O72</f>
        <v>4416</v>
      </c>
      <c r="Q72" s="118">
        <f>E72*N72</f>
        <v>0</v>
      </c>
      <c r="R72" s="118">
        <f>IF(H72=0,0,IF(E72*M72*EST_LABOR_PIPE&gt;H72,H72,E72*M72*EST_LABOR_PIPE))</f>
        <v>0</v>
      </c>
      <c r="S72" s="118">
        <f>IF(H72="","",H72-P72)</f>
        <v>1104</v>
      </c>
      <c r="T72" s="123">
        <f>IF(OR(H72="",H72=0),"",S72/H72)</f>
        <v>0.2</v>
      </c>
      <c r="U72" s="40" t="n"/>
      <c r="V72" s="40" t="n"/>
      <c r="W72" s="124" t="inlineStr">
        <is>
          <t>原価基準: 定価 4,600円（販売店掲載の参考基準価格（税別）（税込5,060円））× 仕入率 0.32（三菱電機 換気機器）＝原価 1,472円 ÷（1－目標粗利率 0.20）</t>
        </is>
      </c>
      <c r="X72" s="124" t="n"/>
      <c r="Y72" s="120" t="inlineStr">
        <is>
          <t>図面カウント</t>
        </is>
      </c>
      <c r="Z72" s="124" t="inlineStr">
        <is>
          <t>定価 4,600円 × 仕入率 0.32（三菱電機 換気機器）＝原価 1,472円</t>
        </is>
      </c>
    </row>
    <row r="73" ht="18" customHeight="1">
      <c r="A73" s="113" t="inlineStr">
        <is>
          <t xml:space="preserve">　屋外フード</t>
        </is>
      </c>
      <c r="B73" s="40" t="n"/>
      <c r="C73" s="40" t="n"/>
      <c r="D73" s="40" t="n"/>
      <c r="E73" s="40" t="n"/>
      <c r="F73" s="40" t="n"/>
      <c r="G73" s="40" t="n"/>
      <c r="H73" s="40" t="n"/>
      <c r="I73" s="112" t="n"/>
      <c r="J73" s="40" t="n"/>
      <c r="K73" s="40" t="n"/>
      <c r="L73" s="40" t="n"/>
      <c r="M73" s="40" t="n"/>
      <c r="N73" s="40" t="n"/>
      <c r="O73" s="40" t="n"/>
      <c r="P73" s="40" t="n"/>
      <c r="Q73" s="40" t="n"/>
      <c r="R73" s="40" t="n"/>
      <c r="S73" s="40" t="n"/>
      <c r="T73" s="40" t="n"/>
      <c r="U73" s="40" t="n"/>
      <c r="V73" s="40" t="n"/>
      <c r="W73" s="40" t="n"/>
      <c r="X73" s="40" t="n"/>
      <c r="Y73" s="40" t="n"/>
      <c r="Z73" s="40" t="n"/>
    </row>
    <row r="74" ht="26.5" customHeight="1">
      <c r="A74" s="114" t="inlineStr">
        <is>
          <t xml:space="preserve">　　深形フード</t>
        </is>
      </c>
      <c r="B74" s="40" t="n"/>
      <c r="C74" s="141" t="inlineStr">
        <is>
          <t>P-13VSQ4（三菱）φ100 SUS 防虫網付</t>
        </is>
      </c>
      <c r="D74" s="40" t="n"/>
      <c r="E74" s="116" t="n">
        <v>8</v>
      </c>
      <c r="F74" s="117" t="inlineStr">
        <is>
          <t>個</t>
        </is>
      </c>
      <c r="G74" s="116" t="n">
        <v>4200</v>
      </c>
      <c r="H74" s="118">
        <f>ROUND(E74*G74,0)</f>
        <v>33600</v>
      </c>
      <c r="I74" s="119" t="inlineStr">
        <is>
          <t>外壁</t>
        </is>
      </c>
      <c r="J74" s="120" t="inlineStr">
        <is>
          <t>原価基準（仕入率）</t>
        </is>
      </c>
      <c r="K74" s="120" t="n"/>
      <c r="L74" s="121" t="n">
        <v>3360</v>
      </c>
      <c r="M74" s="122" t="n">
        <v>0</v>
      </c>
      <c r="N74" s="116">
        <f>ROUND(M74*LABOR_COST,0)</f>
        <v>0</v>
      </c>
      <c r="O74" s="116">
        <f>L74+N74</f>
        <v>3360</v>
      </c>
      <c r="P74" s="118">
        <f>E74*O74</f>
        <v>26880</v>
      </c>
      <c r="Q74" s="118">
        <f>E74*N74</f>
        <v>0</v>
      </c>
      <c r="R74" s="118">
        <f>IF(H74=0,0,IF(E74*M74*EST_LABOR_PIPE&gt;H74,H74,E74*M74*EST_LABOR_PIPE))</f>
        <v>0</v>
      </c>
      <c r="S74" s="118">
        <f>IF(H74="","",H74-P74)</f>
        <v>6720</v>
      </c>
      <c r="T74" s="123">
        <f>IF(OR(H74="",H74=0),"",S74/H74)</f>
        <v>0.2</v>
      </c>
      <c r="U74" s="40" t="n"/>
      <c r="V74" s="40" t="n"/>
      <c r="W74" s="124" t="inlineStr">
        <is>
          <t>原価基準: 定価 10,500円（販売店掲載の参考基準価格（税別））× 仕入率 0.32（三菱電機 換気機器）＝原価 3,360円 ÷（1－目標粗利率 0.20）</t>
        </is>
      </c>
      <c r="X74" s="124" t="n"/>
      <c r="Y74" s="120" t="inlineStr">
        <is>
          <t>図面カウント</t>
        </is>
      </c>
      <c r="Z74" s="124" t="inlineStr">
        <is>
          <t>定価 10,500円 × 仕入率 0.32（三菱電機 換気機器）＝原価 3,360円</t>
        </is>
      </c>
    </row>
    <row r="75" ht="26.5" customHeight="1">
      <c r="A75" s="114" t="inlineStr">
        <is>
          <t xml:space="preserve">　　深形フード</t>
        </is>
      </c>
      <c r="B75" s="40" t="n"/>
      <c r="C75" s="141" t="inlineStr">
        <is>
          <t>P-18VSQ4（三菱）φ150 SUS 防虫網付</t>
        </is>
      </c>
      <c r="D75" s="40" t="n"/>
      <c r="E75" s="116" t="n">
        <v>6</v>
      </c>
      <c r="F75" s="117" t="inlineStr">
        <is>
          <t>個</t>
        </is>
      </c>
      <c r="G75" s="116" t="n">
        <v>5320</v>
      </c>
      <c r="H75" s="118">
        <f>ROUND(E75*G75,0)</f>
        <v>31920</v>
      </c>
      <c r="I75" s="119" t="inlineStr">
        <is>
          <t>外壁</t>
        </is>
      </c>
      <c r="J75" s="120" t="inlineStr">
        <is>
          <t>原価基準（仕入率）</t>
        </is>
      </c>
      <c r="K75" s="120" t="n"/>
      <c r="L75" s="121" t="n">
        <v>4256</v>
      </c>
      <c r="M75" s="122" t="n">
        <v>0</v>
      </c>
      <c r="N75" s="116">
        <f>ROUND(M75*LABOR_COST,0)</f>
        <v>0</v>
      </c>
      <c r="O75" s="116">
        <f>L75+N75</f>
        <v>4256</v>
      </c>
      <c r="P75" s="118">
        <f>E75*O75</f>
        <v>25536</v>
      </c>
      <c r="Q75" s="118">
        <f>E75*N75</f>
        <v>0</v>
      </c>
      <c r="R75" s="118">
        <f>IF(H75=0,0,IF(E75*M75*EST_LABOR_PIPE&gt;H75,H75,E75*M75*EST_LABOR_PIPE))</f>
        <v>0</v>
      </c>
      <c r="S75" s="118">
        <f>IF(H75="","",H75-P75)</f>
        <v>6384</v>
      </c>
      <c r="T75" s="123">
        <f>IF(OR(H75="",H75=0),"",S75/H75)</f>
        <v>0.2</v>
      </c>
      <c r="U75" s="40" t="n"/>
      <c r="V75" s="40" t="n"/>
      <c r="W75" s="124" t="inlineStr">
        <is>
          <t>原価基準: 定価 13,300円（三菱電機 WIN2K 価格（税別））× 仕入率 0.32（三菱電機 換気機器）＝原価 4,256円 ÷（1－目標粗利率 0.20）</t>
        </is>
      </c>
      <c r="X75" s="124" t="n"/>
      <c r="Y75" s="120" t="inlineStr">
        <is>
          <t>図面カウント</t>
        </is>
      </c>
      <c r="Z75" s="124" t="inlineStr">
        <is>
          <t>定価 13,300円 × 仕入率 0.32（三菱電機 換気機器）＝原価 4,256円</t>
        </is>
      </c>
    </row>
    <row r="76" ht="26.5" customHeight="1">
      <c r="A76" s="125" t="inlineStr">
        <is>
          <t xml:space="preserve">　　深形フード</t>
        </is>
      </c>
      <c r="B76" s="91" t="n"/>
      <c r="C76" s="150" t="inlineStr">
        <is>
          <t>P-23VSQ4（三菱）φ200 SUS 防虫網付</t>
        </is>
      </c>
      <c r="D76" s="91" t="n"/>
      <c r="E76" s="127" t="n">
        <v>4</v>
      </c>
      <c r="F76" s="128" t="inlineStr">
        <is>
          <t>個</t>
        </is>
      </c>
      <c r="G76" s="127" t="n">
        <v>13360</v>
      </c>
      <c r="H76" s="129">
        <f>ROUND(E76*G76,0)</f>
        <v>53440</v>
      </c>
      <c r="I76" s="130" t="inlineStr">
        <is>
          <t>外壁</t>
        </is>
      </c>
      <c r="J76" s="131" t="inlineStr">
        <is>
          <t>原価基準（仕入率）</t>
        </is>
      </c>
      <c r="K76" s="131" t="n"/>
      <c r="L76" s="132" t="n">
        <v>10688</v>
      </c>
      <c r="M76" s="133" t="n">
        <v>0</v>
      </c>
      <c r="N76" s="127">
        <f>ROUND(M76*LABOR_COST,0)</f>
        <v>0</v>
      </c>
      <c r="O76" s="127">
        <f>L76+N76</f>
        <v>10688</v>
      </c>
      <c r="P76" s="129">
        <f>E76*O76</f>
        <v>42752</v>
      </c>
      <c r="Q76" s="129">
        <f>E76*N76</f>
        <v>0</v>
      </c>
      <c r="R76" s="129">
        <f>IF(H76=0,0,IF(E76*M76*EST_LABOR_PIPE&gt;H76,H76,E76*M76*EST_LABOR_PIPE))</f>
        <v>0</v>
      </c>
      <c r="S76" s="129">
        <f>IF(H76="","",H76-P76)</f>
        <v>10688</v>
      </c>
      <c r="T76" s="134">
        <f>IF(OR(H76="",H76=0),"",S76/H76)</f>
        <v>0.2</v>
      </c>
      <c r="U76" s="91" t="n"/>
      <c r="V76" s="91" t="n"/>
      <c r="W76" s="135" t="inlineStr">
        <is>
          <t>原価基準: 定価 33,400円（販売店掲載の参考基準価格（税別））× 仕入率 0.32（三菱電機 換気機器）＝原価 10,688円 ÷（1－目標粗利率 0.20）</t>
        </is>
      </c>
      <c r="X76" s="135" t="n"/>
      <c r="Y76" s="131" t="inlineStr">
        <is>
          <t>図面カウント</t>
        </is>
      </c>
      <c r="Z76" s="135" t="inlineStr">
        <is>
          <t>定価 33,400円 × 仕入率 0.32（三菱電機 換気機器）＝原価 10,688円</t>
        </is>
      </c>
    </row>
    <row r="77" ht="20" customHeight="1">
      <c r="A77" s="136" t="inlineStr">
        <is>
          <t>－　計　－</t>
        </is>
      </c>
      <c r="B77" s="109" t="n"/>
      <c r="C77" s="109" t="n"/>
      <c r="D77" s="109" t="n"/>
      <c r="E77" s="109" t="n"/>
      <c r="F77" s="109" t="n"/>
      <c r="G77" s="109" t="n"/>
      <c r="H77" s="137">
        <f>SUM(H63:H76)</f>
        <v>257040</v>
      </c>
      <c r="I77" s="110" t="n"/>
      <c r="J77" s="109" t="n"/>
      <c r="K77" s="109" t="n"/>
      <c r="L77" s="109" t="n"/>
      <c r="M77" s="138">
        <f>SUMPRODUCT(E63:E76,M63:M76)</f>
        <v>0</v>
      </c>
      <c r="N77" s="109" t="n"/>
      <c r="O77" s="109" t="n"/>
      <c r="P77" s="137">
        <f>SUM(P63:P76)</f>
        <v>205632</v>
      </c>
      <c r="Q77" s="137">
        <f>SUM(Q63:Q76)</f>
        <v>0</v>
      </c>
      <c r="R77" s="137">
        <f>SUM(R63:R76)</f>
        <v>0</v>
      </c>
      <c r="S77" s="137">
        <f>H77-P77</f>
        <v>51408</v>
      </c>
      <c r="T77" s="139">
        <f>IF(H77=0,"",S77/H77)</f>
        <v>0.2</v>
      </c>
      <c r="U77" s="109" t="n"/>
      <c r="V77" s="109" t="n"/>
      <c r="W77" s="109" t="n"/>
      <c r="X77" s="109" t="n"/>
      <c r="Y77" s="109" t="n"/>
      <c r="Z77" s="109" t="n"/>
    </row>
    <row r="78" ht="10" customHeight="1">
      <c r="A78" s="140" t="n"/>
      <c r="B78" s="40" t="n"/>
      <c r="C78" s="40" t="n"/>
      <c r="D78" s="40" t="n"/>
      <c r="E78" s="40" t="n"/>
      <c r="F78" s="40" t="n"/>
      <c r="G78" s="40" t="n"/>
      <c r="H78" s="40" t="n"/>
      <c r="I78" s="112" t="n"/>
      <c r="J78" s="40" t="n"/>
      <c r="K78" s="40" t="n"/>
      <c r="L78" s="40" t="n"/>
      <c r="M78" s="40" t="n"/>
      <c r="N78" s="40" t="n"/>
      <c r="O78" s="40" t="n"/>
      <c r="P78" s="40" t="n"/>
      <c r="Q78" s="40" t="n"/>
      <c r="R78" s="40" t="n"/>
      <c r="S78" s="40" t="n"/>
      <c r="T78" s="40" t="n"/>
      <c r="U78" s="40" t="n"/>
      <c r="V78" s="40" t="n"/>
      <c r="W78" s="40" t="n"/>
      <c r="X78" s="40" t="n"/>
      <c r="Y78" s="40" t="n"/>
      <c r="Z78" s="40" t="n"/>
    </row>
    <row r="79" ht="20" customHeight="1">
      <c r="A79" s="111" t="inlineStr">
        <is>
          <t>５　換気設備工事</t>
        </is>
      </c>
      <c r="B79" s="40" t="n"/>
      <c r="C79" s="40" t="n"/>
      <c r="D79" s="40" t="n"/>
      <c r="E79" s="40" t="n"/>
      <c r="F79" s="40" t="n"/>
      <c r="G79" s="40" t="n"/>
      <c r="H79" s="40" t="n"/>
      <c r="I79" s="112" t="n"/>
      <c r="J79" s="40" t="n"/>
      <c r="K79" s="40" t="n"/>
      <c r="L79" s="40" t="n"/>
      <c r="M79" s="40" t="n"/>
      <c r="N79" s="40" t="n"/>
      <c r="O79" s="40" t="n"/>
      <c r="P79" s="40" t="n"/>
      <c r="Q79" s="40" t="n"/>
      <c r="R79" s="40" t="n"/>
      <c r="S79" s="40" t="n"/>
      <c r="T79" s="40" t="n"/>
      <c r="U79" s="40" t="n"/>
      <c r="V79" s="40" t="n"/>
      <c r="W79" s="40" t="n"/>
      <c r="X79" s="40" t="n"/>
      <c r="Y79" s="40" t="n"/>
      <c r="Z79" s="40" t="n"/>
    </row>
    <row r="80" ht="18" customHeight="1">
      <c r="A80" s="113" t="inlineStr">
        <is>
          <t xml:space="preserve">　機器取付工事</t>
        </is>
      </c>
      <c r="B80" s="40" t="n"/>
      <c r="C80" s="40" t="n"/>
      <c r="D80" s="40" t="n"/>
      <c r="E80" s="40" t="n"/>
      <c r="F80" s="40" t="n"/>
      <c r="G80" s="40" t="n"/>
      <c r="H80" s="40" t="n"/>
      <c r="I80" s="112" t="n"/>
      <c r="J80" s="40" t="n"/>
      <c r="K80" s="40" t="n"/>
      <c r="L80" s="40" t="n"/>
      <c r="M80" s="40" t="n"/>
      <c r="N80" s="40" t="n"/>
      <c r="O80" s="40" t="n"/>
      <c r="P80" s="40" t="n"/>
      <c r="Q80" s="40" t="n"/>
      <c r="R80" s="40" t="n"/>
      <c r="S80" s="40" t="n"/>
      <c r="T80" s="40" t="n"/>
      <c r="U80" s="40" t="n"/>
      <c r="V80" s="40" t="n"/>
      <c r="W80" s="40" t="n"/>
      <c r="X80" s="40" t="n"/>
      <c r="Y80" s="40" t="n"/>
      <c r="Z80" s="40" t="n"/>
    </row>
    <row r="81" ht="18" customHeight="1">
      <c r="A81" s="114" t="inlineStr">
        <is>
          <t xml:space="preserve">　　パイプ用ファン取付</t>
        </is>
      </c>
      <c r="B81" s="40" t="n"/>
      <c r="C81" s="115" t="inlineStr">
        <is>
          <t>V-08PP8-BL 外壁付け（VU100共）</t>
        </is>
      </c>
      <c r="D81" s="40" t="n"/>
      <c r="E81" s="116" t="n">
        <v>3</v>
      </c>
      <c r="F81" s="117" t="inlineStr">
        <is>
          <t>台</t>
        </is>
      </c>
      <c r="G81" s="116" t="n">
        <v>9400</v>
      </c>
      <c r="H81" s="118">
        <f>ROUND(E81*G81,0)</f>
        <v>28200</v>
      </c>
      <c r="I81" s="119" t="inlineStr">
        <is>
          <t>便所・小便所</t>
        </is>
      </c>
      <c r="J81" s="120" t="inlineStr">
        <is>
          <t>当社単価（要確認）</t>
        </is>
      </c>
      <c r="K81" s="142" t="inlineStr">
        <is>
          <t>単価要確認</t>
        </is>
      </c>
      <c r="L81" s="121" t="n">
        <v>800</v>
      </c>
      <c r="M81" s="122" t="n">
        <v>0.35</v>
      </c>
      <c r="N81" s="116">
        <f>ROUND(M81*LABOR_COST,0)</f>
        <v>6650</v>
      </c>
      <c r="O81" s="116">
        <f>L81+N81</f>
        <v>7450</v>
      </c>
      <c r="P81" s="118">
        <f>E81*O81</f>
        <v>22350</v>
      </c>
      <c r="Q81" s="118">
        <f>E81*N81</f>
        <v>19950</v>
      </c>
      <c r="R81" s="118">
        <f>IF(H81=0,0,IF(E81*M81*EST_LABOR_PIPE&gt;H81,H81,E81*M81*EST_LABOR_PIPE))</f>
        <v>28200</v>
      </c>
      <c r="S81" s="118">
        <f>IF(H81="","",H81-P81)</f>
        <v>5850</v>
      </c>
      <c r="T81" s="123">
        <f>IF(OR(H81="",H81=0),"",S81/H81)</f>
        <v>0.2074468085106383</v>
      </c>
      <c r="U81" s="40" t="n"/>
      <c r="V81" s="40" t="n"/>
      <c r="W81" s="124" t="inlineStr">
        <is>
          <t>当社単価: 材料800（VU100・ビス）＋0.35人工（エストに単価なし）</t>
        </is>
      </c>
      <c r="X81" s="124" t="inlineStr">
        <is>
          <t>（エストマスタに単価なし）</t>
        </is>
      </c>
      <c r="Y81" s="120" t="inlineStr">
        <is>
          <t>図面カウント</t>
        </is>
      </c>
      <c r="Z81" s="124" t="n"/>
    </row>
    <row r="82" ht="18" customHeight="1">
      <c r="A82" s="114" t="inlineStr">
        <is>
          <t xml:space="preserve">　　天井埋込形換気扇取付</t>
        </is>
      </c>
      <c r="B82" s="40" t="n"/>
      <c r="C82" s="115" t="inlineStr">
        <is>
          <t>VD-18ZC14（吊ボルト共）</t>
        </is>
      </c>
      <c r="D82" s="40" t="n"/>
      <c r="E82" s="116" t="n">
        <v>5</v>
      </c>
      <c r="F82" s="117" t="inlineStr">
        <is>
          <t>台</t>
        </is>
      </c>
      <c r="G82" s="116" t="n">
        <v>15300</v>
      </c>
      <c r="H82" s="118">
        <f>ROUND(E82*G82,0)</f>
        <v>76500</v>
      </c>
      <c r="I82" s="119" t="inlineStr">
        <is>
          <t>外陣・内陣・護摩堂</t>
        </is>
      </c>
      <c r="J82" s="120" t="inlineStr">
        <is>
          <t>当社単価（要確認）</t>
        </is>
      </c>
      <c r="K82" s="142" t="inlineStr">
        <is>
          <t>単価要確認</t>
        </is>
      </c>
      <c r="L82" s="121" t="n">
        <v>800</v>
      </c>
      <c r="M82" s="122" t="n">
        <v>0.6</v>
      </c>
      <c r="N82" s="116">
        <f>ROUND(M82*LABOR_COST,0)</f>
        <v>11400</v>
      </c>
      <c r="O82" s="116">
        <f>L82+N82</f>
        <v>12200</v>
      </c>
      <c r="P82" s="118">
        <f>E82*O82</f>
        <v>61000</v>
      </c>
      <c r="Q82" s="118">
        <f>E82*N82</f>
        <v>57000</v>
      </c>
      <c r="R82" s="118">
        <f>IF(H82=0,0,IF(E82*M82*EST_LABOR_PIPE&gt;H82,H82,E82*M82*EST_LABOR_PIPE))</f>
        <v>76500</v>
      </c>
      <c r="S82" s="118">
        <f>IF(H82="","",H82-P82)</f>
        <v>15500</v>
      </c>
      <c r="T82" s="123">
        <f>IF(OR(H82="",H82=0),"",S82/H82)</f>
        <v>0.20261437908496732</v>
      </c>
      <c r="U82" s="40" t="n"/>
      <c r="V82" s="40" t="n"/>
      <c r="W82" s="124" t="inlineStr">
        <is>
          <t>当社単価: 材料800（吊ボルト・振れ止め）＋0.6人工（エストに単価なし）</t>
        </is>
      </c>
      <c r="X82" s="124" t="inlineStr">
        <is>
          <t>（エストマスタに単価なし）</t>
        </is>
      </c>
      <c r="Y82" s="120" t="inlineStr">
        <is>
          <t>図面カウント</t>
        </is>
      </c>
      <c r="Z82" s="124" t="n"/>
    </row>
    <row r="83" ht="18" customHeight="1">
      <c r="A83" s="114" t="inlineStr">
        <is>
          <t xml:space="preserve">　　天井埋込形換気扇取付</t>
        </is>
      </c>
      <c r="B83" s="40" t="n"/>
      <c r="C83" s="115" t="inlineStr">
        <is>
          <t>VD-15ZC14・VD-10ZC14</t>
        </is>
      </c>
      <c r="D83" s="40" t="n"/>
      <c r="E83" s="116" t="n">
        <v>2</v>
      </c>
      <c r="F83" s="117" t="inlineStr">
        <is>
          <t>台</t>
        </is>
      </c>
      <c r="G83" s="116" t="n">
        <v>11400</v>
      </c>
      <c r="H83" s="118">
        <f>ROUND(E83*G83,0)</f>
        <v>22800</v>
      </c>
      <c r="I83" s="119" t="inlineStr">
        <is>
          <t>談話室・パントリー</t>
        </is>
      </c>
      <c r="J83" s="120" t="inlineStr">
        <is>
          <t>当社単価（要確認）</t>
        </is>
      </c>
      <c r="K83" s="142" t="inlineStr">
        <is>
          <t>単価要確認</t>
        </is>
      </c>
      <c r="L83" s="121" t="n">
        <v>500</v>
      </c>
      <c r="M83" s="122" t="n">
        <v>0.45</v>
      </c>
      <c r="N83" s="116">
        <f>ROUND(M83*LABOR_COST,0)</f>
        <v>8550</v>
      </c>
      <c r="O83" s="116">
        <f>L83+N83</f>
        <v>9050</v>
      </c>
      <c r="P83" s="118">
        <f>E83*O83</f>
        <v>18100</v>
      </c>
      <c r="Q83" s="118">
        <f>E83*N83</f>
        <v>17100</v>
      </c>
      <c r="R83" s="118">
        <f>IF(H83=0,0,IF(E83*M83*EST_LABOR_PIPE&gt;H83,H83,E83*M83*EST_LABOR_PIPE))</f>
        <v>22800</v>
      </c>
      <c r="S83" s="118">
        <f>IF(H83="","",H83-P83)</f>
        <v>4700</v>
      </c>
      <c r="T83" s="123">
        <f>IF(OR(H83="",H83=0),"",S83/H83)</f>
        <v>0.20614035087719298</v>
      </c>
      <c r="U83" s="40" t="n"/>
      <c r="V83" s="40" t="n"/>
      <c r="W83" s="124" t="inlineStr">
        <is>
          <t>当社単価: 材料500＋0.45人工（エストに単価なし）</t>
        </is>
      </c>
      <c r="X83" s="124" t="inlineStr">
        <is>
          <t>（エストマスタに単価なし）</t>
        </is>
      </c>
      <c r="Y83" s="120" t="inlineStr">
        <is>
          <t>図面カウント</t>
        </is>
      </c>
      <c r="Z83" s="124" t="n"/>
    </row>
    <row r="84" ht="18" customHeight="1">
      <c r="A84" s="114" t="inlineStr">
        <is>
          <t xml:space="preserve">　　給排気グリル取付</t>
        </is>
      </c>
      <c r="B84" s="40" t="n"/>
      <c r="C84" s="115" t="inlineStr">
        <is>
          <t>φ100〜φ200 ダクト接続共</t>
        </is>
      </c>
      <c r="D84" s="40" t="n"/>
      <c r="E84" s="116" t="n">
        <v>8</v>
      </c>
      <c r="F84" s="117" t="inlineStr">
        <is>
          <t>個</t>
        </is>
      </c>
      <c r="G84" s="116" t="n">
        <v>6400</v>
      </c>
      <c r="H84" s="118">
        <f>ROUND(E84*G84,0)</f>
        <v>51200</v>
      </c>
      <c r="I84" s="119" t="n"/>
      <c r="J84" s="120" t="inlineStr">
        <is>
          <t>当社単価（要確認）</t>
        </is>
      </c>
      <c r="K84" s="142" t="inlineStr">
        <is>
          <t>単価要確認</t>
        </is>
      </c>
      <c r="L84" s="121" t="n">
        <v>300</v>
      </c>
      <c r="M84" s="122" t="n">
        <v>0.25</v>
      </c>
      <c r="N84" s="116">
        <f>ROUND(M84*LABOR_COST,0)</f>
        <v>4750</v>
      </c>
      <c r="O84" s="116">
        <f>L84+N84</f>
        <v>5050</v>
      </c>
      <c r="P84" s="118">
        <f>E84*O84</f>
        <v>40400</v>
      </c>
      <c r="Q84" s="118">
        <f>E84*N84</f>
        <v>38000</v>
      </c>
      <c r="R84" s="118">
        <f>IF(H84=0,0,IF(E84*M84*EST_LABOR_PIPE&gt;H84,H84,E84*M84*EST_LABOR_PIPE))</f>
        <v>51200</v>
      </c>
      <c r="S84" s="118">
        <f>IF(H84="","",H84-P84)</f>
        <v>10800</v>
      </c>
      <c r="T84" s="123">
        <f>IF(OR(H84="",H84=0),"",S84/H84)</f>
        <v>0.2109375</v>
      </c>
      <c r="U84" s="40" t="n"/>
      <c r="V84" s="40" t="n"/>
      <c r="W84" s="124" t="inlineStr">
        <is>
          <t>当社単価: 材料300＋0.25人工（エストに単価なし）</t>
        </is>
      </c>
      <c r="X84" s="124" t="inlineStr">
        <is>
          <t>（エストマスタに単価なし）</t>
        </is>
      </c>
      <c r="Y84" s="120" t="inlineStr">
        <is>
          <t>図面カウント</t>
        </is>
      </c>
      <c r="Z84" s="124" t="n"/>
    </row>
    <row r="85" ht="18" customHeight="1">
      <c r="A85" s="114" t="inlineStr">
        <is>
          <t xml:space="preserve">　　屋外フード取付</t>
        </is>
      </c>
      <c r="B85" s="40" t="n"/>
      <c r="C85" s="115" t="inlineStr">
        <is>
          <t>深形フード φ100〜φ200</t>
        </is>
      </c>
      <c r="D85" s="40" t="n"/>
      <c r="E85" s="116" t="n">
        <v>18</v>
      </c>
      <c r="F85" s="117" t="inlineStr">
        <is>
          <t>個</t>
        </is>
      </c>
      <c r="G85" s="116" t="n">
        <v>4000</v>
      </c>
      <c r="H85" s="118">
        <f>ROUND(E85*G85,0)</f>
        <v>72000</v>
      </c>
      <c r="I85" s="119" t="n"/>
      <c r="J85" s="120" t="inlineStr">
        <is>
          <t>当社単価（要確認）</t>
        </is>
      </c>
      <c r="K85" s="142" t="inlineStr">
        <is>
          <t>単価要確認</t>
        </is>
      </c>
      <c r="L85" s="121" t="n">
        <v>300</v>
      </c>
      <c r="M85" s="122" t="n">
        <v>0.15</v>
      </c>
      <c r="N85" s="116">
        <f>ROUND(M85*LABOR_COST,0)</f>
        <v>2850</v>
      </c>
      <c r="O85" s="116">
        <f>L85+N85</f>
        <v>3150</v>
      </c>
      <c r="P85" s="118">
        <f>E85*O85</f>
        <v>56700</v>
      </c>
      <c r="Q85" s="118">
        <f>E85*N85</f>
        <v>51300</v>
      </c>
      <c r="R85" s="118">
        <f>IF(H85=0,0,IF(E85*M85*EST_LABOR_PIPE&gt;H85,H85,E85*M85*EST_LABOR_PIPE))</f>
        <v>72000</v>
      </c>
      <c r="S85" s="118">
        <f>IF(H85="","",H85-P85)</f>
        <v>15300</v>
      </c>
      <c r="T85" s="123">
        <f>IF(OR(H85="",H85=0),"",S85/H85)</f>
        <v>0.2125</v>
      </c>
      <c r="U85" s="40" t="n"/>
      <c r="V85" s="40" t="n"/>
      <c r="W85" s="124" t="inlineStr">
        <is>
          <t>当社単価: 材料300＋0.15人工（エストに単価なし）</t>
        </is>
      </c>
      <c r="X85" s="124" t="inlineStr">
        <is>
          <t>（エストマスタに単価なし）</t>
        </is>
      </c>
      <c r="Y85" s="120" t="inlineStr">
        <is>
          <t>図面カウント</t>
        </is>
      </c>
      <c r="Z85" s="124" t="n"/>
    </row>
    <row r="86" ht="18" customHeight="1">
      <c r="A86" s="113" t="inlineStr">
        <is>
          <t xml:space="preserve">　ダクト工事</t>
        </is>
      </c>
      <c r="B86" s="40" t="n"/>
      <c r="C86" s="40" t="n"/>
      <c r="D86" s="40" t="n"/>
      <c r="E86" s="40" t="n"/>
      <c r="F86" s="40" t="n"/>
      <c r="G86" s="40" t="n"/>
      <c r="H86" s="40" t="n"/>
      <c r="I86" s="112" t="n"/>
      <c r="J86" s="40" t="n"/>
      <c r="K86" s="40" t="n"/>
      <c r="L86" s="40" t="n"/>
      <c r="M86" s="40" t="n"/>
      <c r="N86" s="40" t="n"/>
      <c r="O86" s="40" t="n"/>
      <c r="P86" s="40" t="n"/>
      <c r="Q86" s="40" t="n"/>
      <c r="R86" s="40" t="n"/>
      <c r="S86" s="40" t="n"/>
      <c r="T86" s="40" t="n"/>
      <c r="U86" s="40" t="n"/>
      <c r="V86" s="40" t="n"/>
      <c r="W86" s="40" t="n"/>
      <c r="X86" s="40" t="n"/>
      <c r="Y86" s="40" t="n"/>
      <c r="Z86" s="40" t="n"/>
    </row>
    <row r="87" ht="18" customHeight="1">
      <c r="A87" s="114" t="inlineStr">
        <is>
          <t xml:space="preserve">　　スパイラルダクト</t>
        </is>
      </c>
      <c r="B87" s="40" t="n"/>
      <c r="C87" s="115" t="inlineStr">
        <is>
          <t>φ100 継手・支持金物共</t>
        </is>
      </c>
      <c r="D87" s="40" t="n"/>
      <c r="E87" s="116" t="n">
        <v>7</v>
      </c>
      <c r="F87" s="117" t="inlineStr">
        <is>
          <t>m</t>
        </is>
      </c>
      <c r="G87" s="116" t="n">
        <v>4100</v>
      </c>
      <c r="H87" s="118">
        <f>ROUND(E87*G87,0)</f>
        <v>28700</v>
      </c>
      <c r="I87" s="119" t="inlineStr">
        <is>
          <t>図面実測＋想定</t>
        </is>
      </c>
      <c r="J87" s="120" t="inlineStr">
        <is>
          <t>当社単価（要確認）</t>
        </is>
      </c>
      <c r="K87" s="142" t="inlineStr">
        <is>
          <t>単価要確認</t>
        </is>
      </c>
      <c r="L87" s="121" t="n">
        <v>1000</v>
      </c>
      <c r="M87" s="122" t="n">
        <v>0.12</v>
      </c>
      <c r="N87" s="116">
        <f>ROUND(M87*LABOR_COST,0)</f>
        <v>2280</v>
      </c>
      <c r="O87" s="116">
        <f>L87+N87</f>
        <v>3280</v>
      </c>
      <c r="P87" s="118">
        <f>E87*O87</f>
        <v>22960</v>
      </c>
      <c r="Q87" s="118">
        <f>E87*N87</f>
        <v>15960</v>
      </c>
      <c r="R87" s="118">
        <f>IF(H87=0,0,IF(E87*M87*EST_LABOR_PIPE&gt;H87,H87,E87*M87*EST_LABOR_PIPE))</f>
        <v>28350</v>
      </c>
      <c r="S87" s="118">
        <f>IF(H87="","",H87-P87)</f>
        <v>5740</v>
      </c>
      <c r="T87" s="123">
        <f>IF(OR(H87="",H87=0),"",S87/H87)</f>
        <v>0.2</v>
      </c>
      <c r="U87" s="40" t="n"/>
      <c r="V87" s="40" t="n"/>
      <c r="W87" s="124" t="inlineStr">
        <is>
          <t>当社単価: 材料1,000＋0.12人工/m（三矢寮 当社想定）（エストに単価なし）</t>
        </is>
      </c>
      <c r="X87" s="124" t="inlineStr">
        <is>
          <t>（エストマスタに単価なし）</t>
        </is>
      </c>
      <c r="Y87" s="148" t="inlineStr">
        <is>
          <t>実測+推測</t>
        </is>
      </c>
      <c r="Z87" s="124" t="inlineStr">
        <is>
          <t>給気 SA-3 ×3・局所 EF-3/EF-4 の器具〜外壁（平面）＋立上り・接続 0.5m/本 ＝ 6.77m</t>
        </is>
      </c>
    </row>
    <row r="88" ht="18" customHeight="1">
      <c r="A88" s="114" t="inlineStr">
        <is>
          <t xml:space="preserve">　　スパイラルダクト</t>
        </is>
      </c>
      <c r="B88" s="40" t="n"/>
      <c r="C88" s="115" t="inlineStr">
        <is>
          <t>φ150 継手・支持金物共</t>
        </is>
      </c>
      <c r="D88" s="40" t="n"/>
      <c r="E88" s="116" t="n">
        <v>22</v>
      </c>
      <c r="F88" s="117" t="inlineStr">
        <is>
          <t>m</t>
        </is>
      </c>
      <c r="G88" s="116" t="n">
        <v>5100</v>
      </c>
      <c r="H88" s="118">
        <f>ROUND(E88*G88,0)</f>
        <v>112200</v>
      </c>
      <c r="I88" s="119" t="inlineStr">
        <is>
          <t>図面実測＋想定</t>
        </is>
      </c>
      <c r="J88" s="120" t="inlineStr">
        <is>
          <t>当社単価（要確認）</t>
        </is>
      </c>
      <c r="K88" s="142" t="inlineStr">
        <is>
          <t>単価要確認</t>
        </is>
      </c>
      <c r="L88" s="121" t="n">
        <v>1400</v>
      </c>
      <c r="M88" s="122" t="n">
        <v>0.14</v>
      </c>
      <c r="N88" s="116">
        <f>ROUND(M88*LABOR_COST,0)</f>
        <v>2660</v>
      </c>
      <c r="O88" s="116">
        <f>L88+N88</f>
        <v>4060</v>
      </c>
      <c r="P88" s="118">
        <f>E88*O88</f>
        <v>89320</v>
      </c>
      <c r="Q88" s="118">
        <f>E88*N88</f>
        <v>58520</v>
      </c>
      <c r="R88" s="118">
        <f>IF(H88=0,0,IF(E88*M88*EST_LABOR_PIPE&gt;H88,H88,E88*M88*EST_LABOR_PIPE))</f>
        <v>103950</v>
      </c>
      <c r="S88" s="118">
        <f>IF(H88="","",H88-P88)</f>
        <v>22880</v>
      </c>
      <c r="T88" s="123">
        <f>IF(OR(H88="",H88=0),"",S88/H88)</f>
        <v>0.20392156862745098</v>
      </c>
      <c r="U88" s="40" t="n"/>
      <c r="V88" s="40" t="n"/>
      <c r="W88" s="124" t="inlineStr">
        <is>
          <t>当社単価: 材料1,400＋0.14人工/m（同）（エストに単価なし）</t>
        </is>
      </c>
      <c r="X88" s="124" t="inlineStr">
        <is>
          <t>（エストマスタに単価なし）</t>
        </is>
      </c>
      <c r="Y88" s="148" t="inlineStr">
        <is>
          <t>実測+推測</t>
        </is>
      </c>
      <c r="Z88" s="124" t="inlineStr">
        <is>
          <t>給気 SA-2・局所 EF-2 ×5 の器具〜外壁（平面）＋0.5m/本 ＝ 21.30m</t>
        </is>
      </c>
    </row>
    <row r="89" ht="18" customHeight="1">
      <c r="A89" s="114" t="inlineStr">
        <is>
          <t xml:space="preserve">　　スパイラルダクト</t>
        </is>
      </c>
      <c r="B89" s="40" t="n"/>
      <c r="C89" s="115" t="inlineStr">
        <is>
          <t>φ200 継手・支持金物共</t>
        </is>
      </c>
      <c r="D89" s="40" t="n"/>
      <c r="E89" s="116" t="n">
        <v>12</v>
      </c>
      <c r="F89" s="117" t="inlineStr">
        <is>
          <t>m</t>
        </is>
      </c>
      <c r="G89" s="116" t="n">
        <v>6200</v>
      </c>
      <c r="H89" s="118">
        <f>ROUND(E89*G89,0)</f>
        <v>74400</v>
      </c>
      <c r="I89" s="119" t="inlineStr">
        <is>
          <t>図面実測＋想定</t>
        </is>
      </c>
      <c r="J89" s="120" t="inlineStr">
        <is>
          <t>当社単価（要確認）</t>
        </is>
      </c>
      <c r="K89" s="142" t="inlineStr">
        <is>
          <t>単価要確認</t>
        </is>
      </c>
      <c r="L89" s="121" t="n">
        <v>1900</v>
      </c>
      <c r="M89" s="122" t="n">
        <v>0.16</v>
      </c>
      <c r="N89" s="116">
        <f>ROUND(M89*LABOR_COST,0)</f>
        <v>3040</v>
      </c>
      <c r="O89" s="116">
        <f>L89+N89</f>
        <v>4940</v>
      </c>
      <c r="P89" s="118">
        <f>E89*O89</f>
        <v>59280</v>
      </c>
      <c r="Q89" s="118">
        <f>E89*N89</f>
        <v>36480</v>
      </c>
      <c r="R89" s="118">
        <f>IF(H89=0,0,IF(E89*M89*EST_LABOR_PIPE&gt;H89,H89,E89*M89*EST_LABOR_PIPE))</f>
        <v>64800</v>
      </c>
      <c r="S89" s="118">
        <f>IF(H89="","",H89-P89)</f>
        <v>15120</v>
      </c>
      <c r="T89" s="123">
        <f>IF(OR(H89="",H89=0),"",S89/H89)</f>
        <v>0.2032258064516129</v>
      </c>
      <c r="U89" s="40" t="n"/>
      <c r="V89" s="40" t="n"/>
      <c r="W89" s="124" t="inlineStr">
        <is>
          <t>当社単価: 材料1,900＋0.16人工/m（同）（エストに単価なし）</t>
        </is>
      </c>
      <c r="X89" s="124" t="inlineStr">
        <is>
          <t>（エストマスタに単価なし）</t>
        </is>
      </c>
      <c r="Y89" s="148" t="inlineStr">
        <is>
          <t>実測+推測</t>
        </is>
      </c>
      <c r="Z89" s="124" t="inlineStr">
        <is>
          <t>給気 SA-1 ×4 の器具〜外壁（平面）＋0.5m/本 ＝ 11.22m</t>
        </is>
      </c>
    </row>
    <row r="90" ht="18" customHeight="1">
      <c r="A90" s="114" t="inlineStr">
        <is>
          <t xml:space="preserve">　　ダクト保温</t>
        </is>
      </c>
      <c r="B90" s="40" t="n"/>
      <c r="C90" s="115" t="inlineStr">
        <is>
          <t>GW25＋ALGC 外気導入ダクト</t>
        </is>
      </c>
      <c r="D90" s="40" t="n"/>
      <c r="E90" s="116" t="n">
        <v>18</v>
      </c>
      <c r="F90" s="117" t="inlineStr">
        <is>
          <t>m</t>
        </is>
      </c>
      <c r="G90" s="116" t="n">
        <v>3300</v>
      </c>
      <c r="H90" s="118">
        <f>ROUND(E90*G90,0)</f>
        <v>59400</v>
      </c>
      <c r="I90" s="119" t="inlineStr">
        <is>
          <t>図面実測＋想定</t>
        </is>
      </c>
      <c r="J90" s="120" t="inlineStr">
        <is>
          <t>当社単価（要確認）</t>
        </is>
      </c>
      <c r="K90" s="142" t="inlineStr">
        <is>
          <t>単価要確認</t>
        </is>
      </c>
      <c r="L90" s="121" t="n">
        <v>1100</v>
      </c>
      <c r="M90" s="122" t="n">
        <v>0.08</v>
      </c>
      <c r="N90" s="116">
        <f>ROUND(M90*LABOR_COST,0)</f>
        <v>1520</v>
      </c>
      <c r="O90" s="116">
        <f>L90+N90</f>
        <v>2620</v>
      </c>
      <c r="P90" s="118">
        <f>E90*O90</f>
        <v>47160</v>
      </c>
      <c r="Q90" s="118">
        <f>E90*N90</f>
        <v>27360</v>
      </c>
      <c r="R90" s="118">
        <f>IF(H90=0,0,IF(E90*M90*EST_LABOR_PIPE&gt;H90,H90,E90*M90*EST_LABOR_PIPE))</f>
        <v>48600</v>
      </c>
      <c r="S90" s="118">
        <f>IF(H90="","",H90-P90)</f>
        <v>12240</v>
      </c>
      <c r="T90" s="123">
        <f>IF(OR(H90="",H90=0),"",S90/H90)</f>
        <v>0.20606060606060606</v>
      </c>
      <c r="U90" s="40" t="n"/>
      <c r="V90" s="40" t="n"/>
      <c r="W90" s="124" t="inlineStr">
        <is>
          <t>当社単価: 材料1,100＋0.08人工/m（同）（エストに単価なし）</t>
        </is>
      </c>
      <c r="X90" s="124" t="inlineStr">
        <is>
          <t>（エストマスタに単価なし）</t>
        </is>
      </c>
      <c r="Y90" s="148" t="inlineStr">
        <is>
          <t>実測+推測</t>
        </is>
      </c>
      <c r="Z90" s="124" t="inlineStr">
        <is>
          <t>外気導入（給気）ダクトの全長 ＝ 17.14m（結露防止）</t>
        </is>
      </c>
    </row>
    <row r="91" ht="18" customHeight="1">
      <c r="A91" s="113" t="inlineStr">
        <is>
          <t xml:space="preserve">　外壁貫通</t>
        </is>
      </c>
      <c r="B91" s="40" t="n"/>
      <c r="C91" s="40" t="n"/>
      <c r="D91" s="40" t="n"/>
      <c r="E91" s="40" t="n"/>
      <c r="F91" s="40" t="n"/>
      <c r="G91" s="40" t="n"/>
      <c r="H91" s="40" t="n"/>
      <c r="I91" s="112" t="n"/>
      <c r="J91" s="40" t="n"/>
      <c r="K91" s="40" t="n"/>
      <c r="L91" s="40" t="n"/>
      <c r="M91" s="40" t="n"/>
      <c r="N91" s="40" t="n"/>
      <c r="O91" s="40" t="n"/>
      <c r="P91" s="40" t="n"/>
      <c r="Q91" s="40" t="n"/>
      <c r="R91" s="40" t="n"/>
      <c r="S91" s="40" t="n"/>
      <c r="T91" s="40" t="n"/>
      <c r="U91" s="40" t="n"/>
      <c r="V91" s="40" t="n"/>
      <c r="W91" s="40" t="n"/>
      <c r="X91" s="40" t="n"/>
      <c r="Y91" s="40" t="n"/>
      <c r="Z91" s="40" t="n"/>
    </row>
    <row r="92" ht="18" customHeight="1">
      <c r="A92" s="114" t="inlineStr">
        <is>
          <t xml:space="preserve">　　外壁貫通処理</t>
        </is>
      </c>
      <c r="B92" s="40" t="n"/>
      <c r="C92" s="115" t="inlineStr">
        <is>
          <t>φ100 穴あけ・防水処理</t>
        </is>
      </c>
      <c r="D92" s="40" t="n"/>
      <c r="E92" s="116" t="n">
        <v>8</v>
      </c>
      <c r="F92" s="117" t="inlineStr">
        <is>
          <t>箇所</t>
        </is>
      </c>
      <c r="G92" s="116" t="n">
        <v>7000</v>
      </c>
      <c r="H92" s="118">
        <f>ROUND(E92*G92,0)</f>
        <v>56000</v>
      </c>
      <c r="I92" s="119" t="n"/>
      <c r="J92" s="120" t="inlineStr">
        <is>
          <t>当社単価（要確認）</t>
        </is>
      </c>
      <c r="K92" s="142" t="inlineStr">
        <is>
          <t>単価要確認</t>
        </is>
      </c>
      <c r="L92" s="121" t="n">
        <v>800</v>
      </c>
      <c r="M92" s="122" t="n">
        <v>0.25</v>
      </c>
      <c r="N92" s="116">
        <f>ROUND(M92*LABOR_COST,0)</f>
        <v>4750</v>
      </c>
      <c r="O92" s="116">
        <f>L92+N92</f>
        <v>5550</v>
      </c>
      <c r="P92" s="118">
        <f>E92*O92</f>
        <v>44400</v>
      </c>
      <c r="Q92" s="118">
        <f>E92*N92</f>
        <v>38000</v>
      </c>
      <c r="R92" s="118">
        <f>IF(H92=0,0,IF(E92*M92*EST_LABOR_PIPE&gt;H92,H92,E92*M92*EST_LABOR_PIPE))</f>
        <v>56000</v>
      </c>
      <c r="S92" s="118">
        <f>IF(H92="","",H92-P92)</f>
        <v>11600</v>
      </c>
      <c r="T92" s="123">
        <f>IF(OR(H92="",H92=0),"",S92/H92)</f>
        <v>0.20714285714285716</v>
      </c>
      <c r="U92" s="40" t="n"/>
      <c r="V92" s="40" t="n"/>
      <c r="W92" s="124" t="inlineStr">
        <is>
          <t>当社単価: 材料800＋0.25人工（エストに単価なし）</t>
        </is>
      </c>
      <c r="X92" s="124" t="inlineStr">
        <is>
          <t>（エストマスタに単価なし）</t>
        </is>
      </c>
      <c r="Y92" s="120" t="inlineStr">
        <is>
          <t>図面カウント</t>
        </is>
      </c>
      <c r="Z92" s="124" t="inlineStr">
        <is>
          <t>木造外壁。開口補強・外装仕上げ補修は建築</t>
        </is>
      </c>
    </row>
    <row r="93" ht="18" customHeight="1">
      <c r="A93" s="114" t="inlineStr">
        <is>
          <t xml:space="preserve">　　外壁貫通処理</t>
        </is>
      </c>
      <c r="B93" s="40" t="n"/>
      <c r="C93" s="115" t="inlineStr">
        <is>
          <t>φ150 穴あけ・防水処理</t>
        </is>
      </c>
      <c r="D93" s="40" t="n"/>
      <c r="E93" s="116" t="n">
        <v>6</v>
      </c>
      <c r="F93" s="117" t="inlineStr">
        <is>
          <t>箇所</t>
        </is>
      </c>
      <c r="G93" s="116" t="n">
        <v>8400</v>
      </c>
      <c r="H93" s="118">
        <f>ROUND(E93*G93,0)</f>
        <v>50400</v>
      </c>
      <c r="I93" s="119" t="n"/>
      <c r="J93" s="120" t="inlineStr">
        <is>
          <t>当社単価（要確認）</t>
        </is>
      </c>
      <c r="K93" s="142" t="inlineStr">
        <is>
          <t>単価要確認</t>
        </is>
      </c>
      <c r="L93" s="121" t="n">
        <v>1000</v>
      </c>
      <c r="M93" s="122" t="n">
        <v>0.3</v>
      </c>
      <c r="N93" s="116">
        <f>ROUND(M93*LABOR_COST,0)</f>
        <v>5700</v>
      </c>
      <c r="O93" s="116">
        <f>L93+N93</f>
        <v>6700</v>
      </c>
      <c r="P93" s="118">
        <f>E93*O93</f>
        <v>40200</v>
      </c>
      <c r="Q93" s="118">
        <f>E93*N93</f>
        <v>34200</v>
      </c>
      <c r="R93" s="118">
        <f>IF(H93=0,0,IF(E93*M93*EST_LABOR_PIPE&gt;H93,H93,E93*M93*EST_LABOR_PIPE))</f>
        <v>50400</v>
      </c>
      <c r="S93" s="118">
        <f>IF(H93="","",H93-P93)</f>
        <v>10200</v>
      </c>
      <c r="T93" s="123">
        <f>IF(OR(H93="",H93=0),"",S93/H93)</f>
        <v>0.20238095238095238</v>
      </c>
      <c r="U93" s="40" t="n"/>
      <c r="V93" s="40" t="n"/>
      <c r="W93" s="124" t="inlineStr">
        <is>
          <t>当社単価: 材料1,000＋0.30人工（エストに単価なし）</t>
        </is>
      </c>
      <c r="X93" s="124" t="inlineStr">
        <is>
          <t>（エストマスタに単価なし）</t>
        </is>
      </c>
      <c r="Y93" s="120" t="inlineStr">
        <is>
          <t>図面カウント</t>
        </is>
      </c>
      <c r="Z93" s="124" t="n"/>
    </row>
    <row r="94" ht="18" customHeight="1">
      <c r="A94" s="114" t="inlineStr">
        <is>
          <t xml:space="preserve">　　外壁貫通処理</t>
        </is>
      </c>
      <c r="B94" s="40" t="n"/>
      <c r="C94" s="115" t="inlineStr">
        <is>
          <t>φ200 穴あけ・防水処理</t>
        </is>
      </c>
      <c r="D94" s="40" t="n"/>
      <c r="E94" s="116" t="n">
        <v>4</v>
      </c>
      <c r="F94" s="117" t="inlineStr">
        <is>
          <t>箇所</t>
        </is>
      </c>
      <c r="G94" s="116" t="n">
        <v>9900</v>
      </c>
      <c r="H94" s="118">
        <f>ROUND(E94*G94,0)</f>
        <v>39600</v>
      </c>
      <c r="I94" s="119" t="n"/>
      <c r="J94" s="120" t="inlineStr">
        <is>
          <t>当社単価（要確認）</t>
        </is>
      </c>
      <c r="K94" s="142" t="inlineStr">
        <is>
          <t>単価要確認</t>
        </is>
      </c>
      <c r="L94" s="121" t="n">
        <v>1200</v>
      </c>
      <c r="M94" s="122" t="n">
        <v>0.35</v>
      </c>
      <c r="N94" s="116">
        <f>ROUND(M94*LABOR_COST,0)</f>
        <v>6650</v>
      </c>
      <c r="O94" s="116">
        <f>L94+N94</f>
        <v>7850</v>
      </c>
      <c r="P94" s="118">
        <f>E94*O94</f>
        <v>31400</v>
      </c>
      <c r="Q94" s="118">
        <f>E94*N94</f>
        <v>26600</v>
      </c>
      <c r="R94" s="118">
        <f>IF(H94=0,0,IF(E94*M94*EST_LABOR_PIPE&gt;H94,H94,E94*M94*EST_LABOR_PIPE))</f>
        <v>39600</v>
      </c>
      <c r="S94" s="118">
        <f>IF(H94="","",H94-P94)</f>
        <v>8200</v>
      </c>
      <c r="T94" s="123">
        <f>IF(OR(H94="",H94=0),"",S94/H94)</f>
        <v>0.20707070707070707</v>
      </c>
      <c r="U94" s="40" t="n"/>
      <c r="V94" s="40" t="n"/>
      <c r="W94" s="124" t="inlineStr">
        <is>
          <t>当社単価: 材料1,200＋0.35人工（エストに単価なし）</t>
        </is>
      </c>
      <c r="X94" s="124" t="inlineStr">
        <is>
          <t>（エストマスタに単価なし）</t>
        </is>
      </c>
      <c r="Y94" s="120" t="inlineStr">
        <is>
          <t>図面カウント</t>
        </is>
      </c>
      <c r="Z94" s="124" t="n"/>
    </row>
    <row r="95" ht="18" customHeight="1">
      <c r="A95" s="113" t="inlineStr">
        <is>
          <t xml:space="preserve">　試運転調整</t>
        </is>
      </c>
      <c r="B95" s="40" t="n"/>
      <c r="C95" s="40" t="n"/>
      <c r="D95" s="40" t="n"/>
      <c r="E95" s="40" t="n"/>
      <c r="F95" s="40" t="n"/>
      <c r="G95" s="40" t="n"/>
      <c r="H95" s="40" t="n"/>
      <c r="I95" s="112" t="n"/>
      <c r="J95" s="40" t="n"/>
      <c r="K95" s="40" t="n"/>
      <c r="L95" s="40" t="n"/>
      <c r="M95" s="40" t="n"/>
      <c r="N95" s="40" t="n"/>
      <c r="O95" s="40" t="n"/>
      <c r="P95" s="40" t="n"/>
      <c r="Q95" s="40" t="n"/>
      <c r="R95" s="40" t="n"/>
      <c r="S95" s="40" t="n"/>
      <c r="T95" s="40" t="n"/>
      <c r="U95" s="40" t="n"/>
      <c r="V95" s="40" t="n"/>
      <c r="W95" s="40" t="n"/>
      <c r="X95" s="40" t="n"/>
      <c r="Y95" s="40" t="n"/>
      <c r="Z95" s="40" t="n"/>
    </row>
    <row r="96" ht="18" customHeight="1">
      <c r="A96" s="114" t="inlineStr">
        <is>
          <t xml:space="preserve">　　試運転調整費</t>
        </is>
      </c>
      <c r="B96" s="40" t="n"/>
      <c r="C96" s="115" t="inlineStr">
        <is>
          <t>風量確認・24時間換気運転確認</t>
        </is>
      </c>
      <c r="D96" s="40" t="n"/>
      <c r="E96" s="116" t="n">
        <v>1</v>
      </c>
      <c r="F96" s="117" t="inlineStr">
        <is>
          <t>式</t>
        </is>
      </c>
      <c r="G96" s="116" t="n">
        <v>27500</v>
      </c>
      <c r="H96" s="118">
        <f>ROUND(E96*G96,0)</f>
        <v>27500</v>
      </c>
      <c r="I96" s="119" t="n"/>
      <c r="J96" s="120" t="inlineStr">
        <is>
          <t>当社単価（要確認）</t>
        </is>
      </c>
      <c r="K96" s="142" t="inlineStr">
        <is>
          <t>単価要確認</t>
        </is>
      </c>
      <c r="L96" s="121" t="n">
        <v>3000</v>
      </c>
      <c r="M96" s="122" t="n">
        <v>1</v>
      </c>
      <c r="N96" s="116">
        <f>ROUND(M96*LABOR_COST,0)</f>
        <v>19000</v>
      </c>
      <c r="O96" s="116">
        <f>L96+N96</f>
        <v>22000</v>
      </c>
      <c r="P96" s="118">
        <f>E96*O96</f>
        <v>22000</v>
      </c>
      <c r="Q96" s="118">
        <f>E96*N96</f>
        <v>19000</v>
      </c>
      <c r="R96" s="118">
        <f>IF(H96=0,0,IF(E96*M96*EST_LABOR_PIPE&gt;H96,H96,E96*M96*EST_LABOR_PIPE))</f>
        <v>27500</v>
      </c>
      <c r="S96" s="118">
        <f>IF(H96="","",H96-P96)</f>
        <v>5500</v>
      </c>
      <c r="T96" s="123">
        <f>IF(OR(H96="",H96=0),"",S96/H96)</f>
        <v>0.2</v>
      </c>
      <c r="U96" s="40" t="n"/>
      <c r="V96" s="40" t="n"/>
      <c r="W96" s="124" t="inlineStr">
        <is>
          <t>当社単価: 材料3,000＋1.0人工（エストに単価なし）</t>
        </is>
      </c>
      <c r="X96" s="124" t="inlineStr">
        <is>
          <t>（エストマスタに単価なし）</t>
        </is>
      </c>
      <c r="Y96" s="120" t="inlineStr">
        <is>
          <t>図面カウント</t>
        </is>
      </c>
      <c r="Z96" s="124" t="n"/>
    </row>
    <row r="97" ht="18" customHeight="1">
      <c r="A97" s="114" t="inlineStr">
        <is>
          <t xml:space="preserve">　　消耗品及び雑材料</t>
        </is>
      </c>
      <c r="B97" s="40" t="n"/>
      <c r="C97" s="40" t="n"/>
      <c r="D97" s="40" t="n"/>
      <c r="E97" s="116" t="n">
        <v>1</v>
      </c>
      <c r="F97" s="117" t="inlineStr">
        <is>
          <t>式</t>
        </is>
      </c>
      <c r="G97" s="40" t="n"/>
      <c r="H97" s="118">
        <f>ROUNDUP(SUM(H80:H96)*U97,-2)</f>
        <v>21000</v>
      </c>
      <c r="I97" s="112" t="n"/>
      <c r="J97" s="143" t="inlineStr">
        <is>
          <t>経費</t>
        </is>
      </c>
      <c r="K97" s="40" t="n"/>
      <c r="L97" s="40" t="n"/>
      <c r="M97" s="40" t="n"/>
      <c r="N97" s="40" t="n"/>
      <c r="O97" s="40" t="n"/>
      <c r="P97" s="118" t="n">
        <v>0</v>
      </c>
      <c r="Q97" s="118" t="n">
        <v>0</v>
      </c>
      <c r="R97" s="118" t="n">
        <v>0</v>
      </c>
      <c r="S97" s="40" t="n"/>
      <c r="T97" s="40" t="n"/>
      <c r="U97" s="144" t="n">
        <v>0.03</v>
      </c>
      <c r="V97" s="40" t="n"/>
      <c r="W97" s="124" t="inlineStr">
        <is>
          <t>基礎額×率（100円未満切上げ）</t>
        </is>
      </c>
      <c r="X97" s="124" t="n"/>
      <c r="Y97" s="120" t="n"/>
      <c r="Z97" s="40" t="n"/>
    </row>
    <row r="98" ht="18" customHeight="1">
      <c r="A98" s="114" t="inlineStr">
        <is>
          <t xml:space="preserve">　　資材運搬費</t>
        </is>
      </c>
      <c r="B98" s="40" t="n"/>
      <c r="C98" s="40" t="n"/>
      <c r="D98" s="40" t="n"/>
      <c r="E98" s="116" t="n">
        <v>1</v>
      </c>
      <c r="F98" s="117" t="inlineStr">
        <is>
          <t>式</t>
        </is>
      </c>
      <c r="G98" s="40" t="n"/>
      <c r="H98" s="118">
        <f>ROUNDUP((SUM(H80:H96)+H97)*U98,-2)</f>
        <v>36000</v>
      </c>
      <c r="I98" s="112" t="n"/>
      <c r="J98" s="143" t="inlineStr">
        <is>
          <t>経費</t>
        </is>
      </c>
      <c r="K98" s="40" t="n"/>
      <c r="L98" s="40" t="n"/>
      <c r="M98" s="40" t="n"/>
      <c r="N98" s="40" t="n"/>
      <c r="O98" s="40" t="n"/>
      <c r="P98" s="118" t="n">
        <v>0</v>
      </c>
      <c r="Q98" s="118" t="n">
        <v>0</v>
      </c>
      <c r="R98" s="118" t="n">
        <v>0</v>
      </c>
      <c r="S98" s="40" t="n"/>
      <c r="T98" s="40" t="n"/>
      <c r="U98" s="144" t="n">
        <v>0.05</v>
      </c>
      <c r="V98" s="40" t="n"/>
      <c r="W98" s="124" t="inlineStr">
        <is>
          <t>（基礎額＋消耗品）×率（100円未満切上げ）</t>
        </is>
      </c>
      <c r="X98" s="124" t="n"/>
      <c r="Y98" s="120" t="n"/>
      <c r="Z98" s="40" t="n"/>
    </row>
    <row r="99" ht="18" customHeight="1">
      <c r="A99" s="125" t="inlineStr">
        <is>
          <t xml:space="preserve">　　現場経費</t>
        </is>
      </c>
      <c r="B99" s="91" t="n"/>
      <c r="C99" s="91" t="n"/>
      <c r="D99" s="91" t="n"/>
      <c r="E99" s="127" t="n">
        <v>1</v>
      </c>
      <c r="F99" s="128" t="inlineStr">
        <is>
          <t>式</t>
        </is>
      </c>
      <c r="G99" s="91" t="n"/>
      <c r="H99" s="129">
        <f>ROUNDUP((SUM(H80:H96)+H97+H98)+ROUNDUP((SUM(H80:H96)+H97+H98)*U99,-2),-3)-(SUM(H80:H96)+H97+H98)</f>
        <v>76100</v>
      </c>
      <c r="I99" s="145" t="n"/>
      <c r="J99" s="146" t="inlineStr">
        <is>
          <t>経費</t>
        </is>
      </c>
      <c r="K99" s="91" t="n"/>
      <c r="L99" s="91" t="n"/>
      <c r="M99" s="91" t="n"/>
      <c r="N99" s="91" t="n"/>
      <c r="O99" s="91" t="n"/>
      <c r="P99" s="129" t="n">
        <v>0</v>
      </c>
      <c r="Q99" s="129" t="n">
        <v>0</v>
      </c>
      <c r="R99" s="129" t="n">
        <v>0</v>
      </c>
      <c r="S99" s="91" t="n"/>
      <c r="T99" s="91" t="n"/>
      <c r="U99" s="147" t="n">
        <v>0.1</v>
      </c>
      <c r="V99" s="91" t="n"/>
      <c r="W99" s="135" t="inlineStr">
        <is>
          <t>（基礎額＋消耗品＋運搬費）×率を加え、計を1,000円未満切上げ</t>
        </is>
      </c>
      <c r="X99" s="135" t="n"/>
      <c r="Y99" s="131" t="n"/>
      <c r="Z99" s="91" t="n"/>
    </row>
    <row r="100" ht="20" customHeight="1">
      <c r="A100" s="136" t="inlineStr">
        <is>
          <t>－　計　－</t>
        </is>
      </c>
      <c r="B100" s="109" t="n"/>
      <c r="C100" s="109" t="n"/>
      <c r="D100" s="109" t="n"/>
      <c r="E100" s="109" t="n"/>
      <c r="F100" s="109" t="n"/>
      <c r="G100" s="109" t="n"/>
      <c r="H100" s="137">
        <f>SUM(H80:H99)</f>
        <v>832000</v>
      </c>
      <c r="I100" s="110" t="n"/>
      <c r="J100" s="109" t="n"/>
      <c r="K100" s="109" t="n"/>
      <c r="L100" s="109" t="n"/>
      <c r="M100" s="138">
        <f>SUMPRODUCT(E80:E99,M80:M99)</f>
        <v>23.13</v>
      </c>
      <c r="N100" s="109" t="n"/>
      <c r="O100" s="109" t="n"/>
      <c r="P100" s="137">
        <f>SUM(P80:P99)</f>
        <v>555270</v>
      </c>
      <c r="Q100" s="137">
        <f>SUM(Q80:Q99)</f>
        <v>439470</v>
      </c>
      <c r="R100" s="137">
        <f>SUM(R80:R99)</f>
        <v>669900</v>
      </c>
      <c r="S100" s="137">
        <f>H100-P100</f>
        <v>276730</v>
      </c>
      <c r="T100" s="139">
        <f>IF(H100=0,"",S100/H100)</f>
        <v>0.3326081730769231</v>
      </c>
      <c r="U100" s="109" t="n"/>
      <c r="V100" s="109" t="n"/>
      <c r="W100" s="109" t="n"/>
      <c r="X100" s="109" t="n"/>
      <c r="Y100" s="109" t="n"/>
      <c r="Z100" s="109" t="n"/>
    </row>
    <row r="101" ht="10" customHeight="1">
      <c r="A101" s="140" t="n"/>
      <c r="B101" s="40" t="n"/>
      <c r="C101" s="40" t="n"/>
      <c r="D101" s="40" t="n"/>
      <c r="E101" s="40" t="n"/>
      <c r="F101" s="40" t="n"/>
      <c r="G101" s="40" t="n"/>
      <c r="H101" s="40" t="n"/>
      <c r="I101" s="112" t="n"/>
      <c r="J101" s="40" t="n"/>
      <c r="K101" s="40" t="n"/>
      <c r="L101" s="40" t="n"/>
      <c r="M101" s="40" t="n"/>
      <c r="N101" s="40" t="n"/>
      <c r="O101" s="40" t="n"/>
      <c r="P101" s="40" t="n"/>
      <c r="Q101" s="40" t="n"/>
      <c r="R101" s="40" t="n"/>
      <c r="S101" s="40" t="n"/>
      <c r="T101" s="40" t="n"/>
      <c r="U101" s="40" t="n"/>
      <c r="V101" s="40" t="n"/>
      <c r="W101" s="40" t="n"/>
      <c r="X101" s="40" t="n"/>
      <c r="Y101" s="40" t="n"/>
      <c r="Z101" s="40" t="n"/>
    </row>
    <row r="102" ht="20" customHeight="1">
      <c r="A102" s="111" t="inlineStr">
        <is>
          <t>６　工事諸経費</t>
        </is>
      </c>
      <c r="B102" s="40" t="n"/>
      <c r="C102" s="40" t="n"/>
      <c r="D102" s="40" t="n"/>
      <c r="E102" s="116" t="n">
        <v>1</v>
      </c>
      <c r="F102" s="117" t="inlineStr">
        <is>
          <t>式</t>
        </is>
      </c>
      <c r="G102" s="40" t="n"/>
      <c r="H102" s="68">
        <f>ROUNDUP((H28+H60+H100)*U102,-2)</f>
        <v>73500</v>
      </c>
      <c r="I102" s="112" t="n"/>
      <c r="J102" s="143" t="inlineStr">
        <is>
          <t>経費</t>
        </is>
      </c>
      <c r="K102" s="40" t="n"/>
      <c r="L102" s="40" t="n"/>
      <c r="M102" s="40" t="n"/>
      <c r="N102" s="40" t="n"/>
      <c r="O102" s="40" t="n"/>
      <c r="P102" s="118" t="n">
        <v>0</v>
      </c>
      <c r="Q102" s="40" t="n"/>
      <c r="R102" s="40" t="n"/>
      <c r="S102" s="40" t="n"/>
      <c r="T102" s="40" t="n"/>
      <c r="U102" s="144" t="n">
        <v>0.05</v>
      </c>
      <c r="V102" s="40" t="n"/>
      <c r="W102" s="124" t="inlineStr">
        <is>
          <t>（空調設備工事＋配管設備工事＋換気設備工事）×5%（100円未満切上げ）</t>
        </is>
      </c>
      <c r="X102" s="40" t="n"/>
      <c r="Y102" s="40" t="n"/>
      <c r="Z102" s="40" t="n"/>
    </row>
    <row r="103" ht="10" customHeight="1">
      <c r="A103" s="151" t="n"/>
      <c r="B103" s="152" t="n"/>
      <c r="C103" s="152" t="n"/>
      <c r="D103" s="152" t="n"/>
      <c r="E103" s="152" t="n"/>
      <c r="F103" s="152" t="n"/>
      <c r="G103" s="152" t="n"/>
      <c r="H103" s="152" t="n"/>
      <c r="I103" s="153" t="n"/>
      <c r="J103" s="152" t="n"/>
      <c r="K103" s="152" t="n"/>
      <c r="L103" s="152" t="n"/>
      <c r="M103" s="152" t="n"/>
      <c r="N103" s="152" t="n"/>
      <c r="O103" s="152" t="n"/>
      <c r="P103" s="152" t="n"/>
      <c r="Q103" s="152" t="n"/>
      <c r="R103" s="152" t="n"/>
      <c r="S103" s="152" t="n"/>
      <c r="T103" s="152" t="n"/>
      <c r="U103" s="152" t="n"/>
      <c r="V103" s="152" t="n"/>
      <c r="W103" s="152" t="n"/>
      <c r="X103" s="152" t="n"/>
      <c r="Y103" s="152" t="n"/>
      <c r="Z103" s="152" t="n"/>
    </row>
    <row r="104" ht="22" customHeight="1">
      <c r="A104" s="154" t="inlineStr">
        <is>
          <t>【小　　計】</t>
        </is>
      </c>
      <c r="B104" s="155" t="n"/>
      <c r="C104" s="155" t="n"/>
      <c r="D104" s="155" t="n"/>
      <c r="E104" s="155" t="n"/>
      <c r="F104" s="155" t="n"/>
      <c r="G104" s="155" t="n"/>
      <c r="H104" s="156">
        <f>H11+H28+H60+H77+H100+H102</f>
        <v>2886290</v>
      </c>
      <c r="I104" s="157" t="inlineStr">
        <is>
          <t>出精値引は表紙</t>
        </is>
      </c>
      <c r="J104" s="59" t="n"/>
      <c r="K104" s="59" t="n"/>
      <c r="L104" s="59" t="n"/>
      <c r="M104" s="158">
        <f>M11+M28+M60+M77+M100</f>
        <v>38.405</v>
      </c>
      <c r="N104" s="59" t="n"/>
      <c r="O104" s="59" t="n"/>
      <c r="P104" s="159">
        <f>P11+P28+P60+P77+P100</f>
        <v>2123151</v>
      </c>
      <c r="Q104" s="159">
        <f>Q11+Q28+Q60+Q77+Q100</f>
        <v>729695</v>
      </c>
      <c r="R104" s="159">
        <f>R11+R28+R60+R77+R100</f>
        <v>1031682.5</v>
      </c>
      <c r="S104" s="159">
        <f>H104-P104</f>
        <v>763139</v>
      </c>
      <c r="T104" s="160">
        <f>IF(H104=0,"",S104/H104)</f>
        <v>0.26440135953074706</v>
      </c>
      <c r="U104" s="59" t="n"/>
      <c r="V104" s="59" t="n"/>
      <c r="W104" s="59" t="n"/>
      <c r="X104" s="59" t="n"/>
      <c r="Y104" s="59" t="n"/>
      <c r="Z104" s="59" t="n"/>
    </row>
  </sheetData>
  <mergeCells count="194">
    <mergeCell ref="C6:D6"/>
    <mergeCell ref="A15:B15"/>
    <mergeCell ref="A64:B64"/>
    <mergeCell ref="C15:D15"/>
    <mergeCell ref="A73:B73"/>
    <mergeCell ref="A98:B98"/>
    <mergeCell ref="A51:B51"/>
    <mergeCell ref="C98:D98"/>
    <mergeCell ref="C89:D89"/>
    <mergeCell ref="A88:B88"/>
    <mergeCell ref="A70:B70"/>
    <mergeCell ref="C64:D64"/>
    <mergeCell ref="C73:D73"/>
    <mergeCell ref="A54:B54"/>
    <mergeCell ref="A7:B7"/>
    <mergeCell ref="C54:D54"/>
    <mergeCell ref="A41:B41"/>
    <mergeCell ref="C63:D63"/>
    <mergeCell ref="A90:B90"/>
    <mergeCell ref="C41:D41"/>
    <mergeCell ref="A99:B99"/>
    <mergeCell ref="C93:D93"/>
    <mergeCell ref="C50:D50"/>
    <mergeCell ref="A74:B74"/>
    <mergeCell ref="A56:B56"/>
    <mergeCell ref="A27:B27"/>
    <mergeCell ref="C56:D56"/>
    <mergeCell ref="A60:D60"/>
    <mergeCell ref="A62:I62"/>
    <mergeCell ref="C43:D43"/>
    <mergeCell ref="A101:B101"/>
    <mergeCell ref="A76:B76"/>
    <mergeCell ref="A33:B33"/>
    <mergeCell ref="C27:D27"/>
    <mergeCell ref="C76:D76"/>
    <mergeCell ref="A42:B42"/>
    <mergeCell ref="A85:B85"/>
    <mergeCell ref="C36:D36"/>
    <mergeCell ref="A17:B17"/>
    <mergeCell ref="C17:D17"/>
    <mergeCell ref="A22:B22"/>
    <mergeCell ref="A30:I30"/>
    <mergeCell ref="A35:B35"/>
    <mergeCell ref="A53:B53"/>
    <mergeCell ref="C67:D67"/>
    <mergeCell ref="A19:B19"/>
    <mergeCell ref="A68:B68"/>
    <mergeCell ref="C19:D19"/>
    <mergeCell ref="A79:I79"/>
    <mergeCell ref="A9:B9"/>
    <mergeCell ref="C3:D3"/>
    <mergeCell ref="A39:B39"/>
    <mergeCell ref="C69:D69"/>
    <mergeCell ref="C83:D83"/>
    <mergeCell ref="A48:B48"/>
    <mergeCell ref="C92:D92"/>
    <mergeCell ref="A59:B59"/>
    <mergeCell ref="A45:B45"/>
    <mergeCell ref="A103:B103"/>
    <mergeCell ref="C14:D14"/>
    <mergeCell ref="C45:D45"/>
    <mergeCell ref="C97:D97"/>
    <mergeCell ref="A28:D28"/>
    <mergeCell ref="A61:B61"/>
    <mergeCell ref="A87:B87"/>
    <mergeCell ref="C47:D47"/>
    <mergeCell ref="A37:B37"/>
    <mergeCell ref="A46:B46"/>
    <mergeCell ref="A89:B89"/>
    <mergeCell ref="C40:D40"/>
    <mergeCell ref="A11:D11"/>
    <mergeCell ref="A26:B26"/>
    <mergeCell ref="C90:D90"/>
    <mergeCell ref="A71:B71"/>
    <mergeCell ref="C71:D71"/>
    <mergeCell ref="A8:B8"/>
    <mergeCell ref="C8:D8"/>
    <mergeCell ref="A91:B91"/>
    <mergeCell ref="C91:D91"/>
    <mergeCell ref="A52:B52"/>
    <mergeCell ref="C82:D82"/>
    <mergeCell ref="A63:B63"/>
    <mergeCell ref="A10:B10"/>
    <mergeCell ref="C57:D57"/>
    <mergeCell ref="A1:I1"/>
    <mergeCell ref="A93:B93"/>
    <mergeCell ref="C66:D66"/>
    <mergeCell ref="A102:B102"/>
    <mergeCell ref="C18:D18"/>
    <mergeCell ref="C53:D53"/>
    <mergeCell ref="C102:D102"/>
    <mergeCell ref="A34:B34"/>
    <mergeCell ref="A83:B83"/>
    <mergeCell ref="C34:D34"/>
    <mergeCell ref="A92:B92"/>
    <mergeCell ref="C86:D86"/>
    <mergeCell ref="C68:D68"/>
    <mergeCell ref="A49:B49"/>
    <mergeCell ref="A100:D100"/>
    <mergeCell ref="C58:D58"/>
    <mergeCell ref="A36:B36"/>
    <mergeCell ref="A94:B94"/>
    <mergeCell ref="J1:Z1"/>
    <mergeCell ref="A69:B69"/>
    <mergeCell ref="C20:D20"/>
    <mergeCell ref="A78:B78"/>
    <mergeCell ref="C78:D78"/>
    <mergeCell ref="C29:D29"/>
    <mergeCell ref="C85:D85"/>
    <mergeCell ref="A65:B65"/>
    <mergeCell ref="A5:I5"/>
    <mergeCell ref="A77:D77"/>
    <mergeCell ref="C65:D65"/>
    <mergeCell ref="C94:D94"/>
    <mergeCell ref="A75:B75"/>
    <mergeCell ref="C44:D44"/>
    <mergeCell ref="C75:D75"/>
    <mergeCell ref="C22:D22"/>
    <mergeCell ref="A80:B80"/>
    <mergeCell ref="C84:D84"/>
    <mergeCell ref="C31:D31"/>
    <mergeCell ref="A4:I4"/>
    <mergeCell ref="A3:B3"/>
    <mergeCell ref="C80:D80"/>
    <mergeCell ref="A55:B55"/>
    <mergeCell ref="A12:B12"/>
    <mergeCell ref="C59:D59"/>
    <mergeCell ref="C12:D12"/>
    <mergeCell ref="A21:B21"/>
    <mergeCell ref="C46:D46"/>
    <mergeCell ref="C21:D21"/>
    <mergeCell ref="A57:B57"/>
    <mergeCell ref="C51:D51"/>
    <mergeCell ref="C95:D95"/>
    <mergeCell ref="A32:B32"/>
    <mergeCell ref="A14:B14"/>
    <mergeCell ref="C61:D61"/>
    <mergeCell ref="A23:B23"/>
    <mergeCell ref="C70:D70"/>
    <mergeCell ref="C48:D48"/>
    <mergeCell ref="C23:D23"/>
    <mergeCell ref="A38:B38"/>
    <mergeCell ref="A96:B96"/>
    <mergeCell ref="C32:D32"/>
    <mergeCell ref="C7:D7"/>
    <mergeCell ref="C38:D38"/>
    <mergeCell ref="A43:B43"/>
    <mergeCell ref="A104:D104"/>
    <mergeCell ref="A40:B40"/>
    <mergeCell ref="A67:B67"/>
    <mergeCell ref="C49:D49"/>
    <mergeCell ref="C101:D101"/>
    <mergeCell ref="A24:B24"/>
    <mergeCell ref="C24:D24"/>
    <mergeCell ref="A82:B82"/>
    <mergeCell ref="C33:D33"/>
    <mergeCell ref="C42:D42"/>
    <mergeCell ref="C74:D74"/>
    <mergeCell ref="C88:D88"/>
    <mergeCell ref="C26:D26"/>
    <mergeCell ref="A6:B6"/>
    <mergeCell ref="C35:D35"/>
    <mergeCell ref="A16:B16"/>
    <mergeCell ref="C10:D10"/>
    <mergeCell ref="C16:D16"/>
    <mergeCell ref="A25:B25"/>
    <mergeCell ref="C25:D25"/>
    <mergeCell ref="C103:D103"/>
    <mergeCell ref="C55:D55"/>
    <mergeCell ref="A84:B84"/>
    <mergeCell ref="C99:D99"/>
    <mergeCell ref="A66:B66"/>
    <mergeCell ref="C9:D9"/>
    <mergeCell ref="A18:B18"/>
    <mergeCell ref="A50:B50"/>
    <mergeCell ref="A86:B86"/>
    <mergeCell ref="A95:B95"/>
    <mergeCell ref="A13:I13"/>
    <mergeCell ref="A47:B47"/>
    <mergeCell ref="C52:D52"/>
    <mergeCell ref="C39:D39"/>
    <mergeCell ref="A97:B97"/>
    <mergeCell ref="A20:B20"/>
    <mergeCell ref="A72:B72"/>
    <mergeCell ref="A29:B29"/>
    <mergeCell ref="C72:D72"/>
    <mergeCell ref="A81:B81"/>
    <mergeCell ref="C81:D81"/>
    <mergeCell ref="C37:D37"/>
    <mergeCell ref="A44:B44"/>
    <mergeCell ref="C96:D96"/>
    <mergeCell ref="A31:B31"/>
    <mergeCell ref="A58:B58"/>
    <mergeCell ref="C87:D87"/>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rowBreaks count="2" manualBreakCount="2">
    <brk id="29" min="0" max="16383" man="1"/>
    <brk id="61" min="0" max="16383" man="1"/>
  </rowBreaks>
</worksheet>
</file>

<file path=xl/worksheets/sheet3.xml><?xml version="1.0" encoding="utf-8"?>
<worksheet xmlns="http://schemas.openxmlformats.org/spreadsheetml/2006/main">
  <sheetPr>
    <outlinePr summaryBelow="1" summaryRight="1"/>
    <pageSetUpPr fitToPage="1"/>
  </sheetPr>
  <dimension ref="B1:G31"/>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61" t="inlineStr">
        <is>
          <t>法 定 福 利 費 内 訳 明 細 書</t>
        </is>
      </c>
    </row>
    <row r="2">
      <c r="B2" s="162" t="str">
        <f>"（御見積書 No."&amp;'表紙(工事)'!K3&amp;" の添付資料）"</f>
        <v>（御見積書 No. の添付資料）</v>
      </c>
    </row>
    <row r="4" ht="20" customHeight="1">
      <c r="B4" s="163" t="inlineStr">
        <is>
          <t>見積年月日</t>
        </is>
      </c>
      <c r="C4" s="164">
        <f>'表紙(工事)'!J4</f>
        <v>46304</v>
      </c>
      <c r="D4" s="38" t="n"/>
      <c r="E4" s="38" t="n"/>
      <c r="F4" s="163" t="inlineStr">
        <is>
          <t>見積No.</t>
        </is>
      </c>
      <c r="G4" s="165" t="str">
        <f>IF('表紙(工事)'!K3="","",'表紙(工事)'!K3)</f>
        <v/>
      </c>
    </row>
    <row r="5" ht="20" customHeight="1">
      <c r="B5" s="163" t="inlineStr">
        <is>
          <t>発注者名</t>
        </is>
      </c>
      <c r="C5" s="37" t="inlineStr">
        <is>
          <t>宗教法人　安楽寺　御中</t>
        </is>
      </c>
      <c r="D5" s="38" t="n"/>
      <c r="E5" s="38" t="n"/>
      <c r="F5" s="38" t="n"/>
      <c r="G5" s="38" t="n"/>
    </row>
    <row r="6" ht="20" customHeight="1">
      <c r="B6" s="163" t="inlineStr">
        <is>
          <t>工事名</t>
        </is>
      </c>
      <c r="C6" s="37" t="inlineStr">
        <is>
          <t>安楽寺　本堂　新築工事　空調・換気設備工事</t>
        </is>
      </c>
      <c r="D6" s="38" t="n"/>
      <c r="E6" s="38" t="n"/>
      <c r="F6" s="38" t="n"/>
      <c r="G6" s="38" t="n"/>
    </row>
    <row r="7" ht="20" customHeight="1">
      <c r="B7" s="163" t="inlineStr">
        <is>
          <t>施工場所</t>
        </is>
      </c>
      <c r="C7" s="37" t="inlineStr">
        <is>
          <t>安楽寺 本堂 新築工事現場（所在地は確認申請書による）</t>
        </is>
      </c>
      <c r="D7" s="38" t="n"/>
      <c r="E7" s="38" t="n"/>
      <c r="F7" s="38" t="n"/>
      <c r="G7" s="38" t="n"/>
    </row>
    <row r="8" ht="20" customHeight="1">
      <c r="B8" s="163" t="inlineStr">
        <is>
          <t>会社名</t>
        </is>
      </c>
      <c r="C8" s="165" t="inlineStr">
        <is>
          <t>宮地機工株式会社</t>
        </is>
      </c>
      <c r="D8" s="38" t="n"/>
      <c r="E8" s="38" t="n"/>
      <c r="F8" s="163" t="inlineStr">
        <is>
          <t>所在地</t>
        </is>
      </c>
      <c r="G8" s="165" t="inlineStr">
        <is>
          <t>広島県尾道市東尾道9-9</t>
        </is>
      </c>
    </row>
    <row r="10">
      <c r="B10" s="166" t="inlineStr">
        <is>
          <t>【1】　労務費相当額（Ｙ）の内訳</t>
        </is>
      </c>
    </row>
    <row r="11" ht="28" customHeight="1">
      <c r="B11" s="167" t="inlineStr">
        <is>
          <t>※ 労務費相当額は、内訳書各項目の金額のうち労務費に相当する額（配管工費・電線材料施工費、および据付・保温・試験等の人工相当額）に、出精値引き後の比率を乗じたものです。空調機器・換気機器は含みません。</t>
        </is>
      </c>
    </row>
    <row r="12">
      <c r="B12" s="104" t="inlineStr">
        <is>
          <t>項　　目</t>
        </is>
      </c>
      <c r="C12" s="168" t="inlineStr">
        <is>
          <t>労務費相当額（円）</t>
        </is>
      </c>
      <c r="D12" s="32" t="n"/>
      <c r="E12" s="105" t="inlineStr">
        <is>
          <t>摘　　要</t>
        </is>
      </c>
      <c r="F12" s="32" t="n"/>
      <c r="G12" s="169" t="n"/>
    </row>
    <row r="13" ht="20" customHeight="1">
      <c r="B13" s="170" t="inlineStr">
        <is>
          <t>空調設備工事</t>
        </is>
      </c>
      <c r="C13" s="43">
        <f>'内訳書(空調設備工事)'!R28</f>
        <v>128625</v>
      </c>
      <c r="D13" s="38" t="n"/>
      <c r="E13" s="171" t="inlineStr">
        <is>
          <t>内訳書 ２ 空調設備工事（定価ベース）</t>
        </is>
      </c>
      <c r="F13" s="38" t="n"/>
      <c r="G13" s="39" t="n"/>
    </row>
    <row r="14" ht="20" customHeight="1">
      <c r="B14" s="170" t="inlineStr">
        <is>
          <t>配管設備工事</t>
        </is>
      </c>
      <c r="C14" s="43">
        <f>'内訳書(空調設備工事)'!R60</f>
        <v>233157.5</v>
      </c>
      <c r="D14" s="38" t="n"/>
      <c r="E14" s="171" t="inlineStr">
        <is>
          <t>内訳書 ３ 配管設備工事（定価ベース）</t>
        </is>
      </c>
      <c r="F14" s="38" t="n"/>
      <c r="G14" s="39" t="n"/>
    </row>
    <row r="15" ht="20" customHeight="1">
      <c r="B15" s="170" t="inlineStr">
        <is>
          <t>換気設備工事</t>
        </is>
      </c>
      <c r="C15" s="43">
        <f>'内訳書(空調設備工事)'!R100</f>
        <v>669900</v>
      </c>
      <c r="D15" s="38" t="n"/>
      <c r="E15" s="171" t="inlineStr">
        <is>
          <t>内訳書 ５ 換気設備工事（定価ベース）</t>
        </is>
      </c>
      <c r="F15" s="38" t="n"/>
      <c r="G15" s="39" t="n"/>
    </row>
    <row r="16" ht="20" customHeight="1">
      <c r="B16" s="172" t="inlineStr">
        <is>
          <t>小　　計</t>
        </is>
      </c>
      <c r="C16" s="173">
        <f>C13+C14+C15</f>
        <v>1031682.5</v>
      </c>
      <c r="D16" s="64" t="n"/>
      <c r="E16" s="174" t="inlineStr">
        <is>
          <t>定価ベース</t>
        </is>
      </c>
      <c r="F16" s="64" t="n"/>
      <c r="G16" s="66" t="n"/>
    </row>
    <row r="17" ht="20" customHeight="1">
      <c r="B17" s="175" t="inlineStr">
        <is>
          <t>労務費相当額（Ｙ）</t>
        </is>
      </c>
      <c r="C17" s="72">
        <f>ROUNDDOWN(C16*'表紙(工事)'!K30/'表紙(工事)'!K28,0)</f>
        <v>1004413</v>
      </c>
      <c r="D17" s="71" t="n"/>
      <c r="E17" s="176" t="inlineStr">
        <is>
          <t>小計 × 出精値引き後比率（合計÷小計）</t>
        </is>
      </c>
      <c r="F17" s="71" t="n"/>
      <c r="G17" s="177" t="n"/>
    </row>
    <row r="19">
      <c r="B19" s="166" t="inlineStr">
        <is>
          <t>【2】　法定福利費相当額（Ａ）の算定</t>
        </is>
      </c>
    </row>
    <row r="20">
      <c r="B20" s="178" t="inlineStr">
        <is>
          <t>計算式：　Ａ ＝ Ｙ × Ｚ（Ｚ：法定福利費事業者負担率、保険ごとに円未満切捨て）</t>
        </is>
      </c>
    </row>
    <row r="21" ht="22" customHeight="1">
      <c r="B21" s="179" t="inlineStr">
        <is>
          <t>保険の種類</t>
        </is>
      </c>
      <c r="C21" s="168" t="inlineStr">
        <is>
          <t>労務費相当額（円）</t>
        </is>
      </c>
      <c r="D21" s="32" t="n"/>
      <c r="E21" s="168" t="inlineStr">
        <is>
          <t>事業主負担料率</t>
        </is>
      </c>
      <c r="F21" s="168" t="inlineStr">
        <is>
          <t>法定福利費（円）</t>
        </is>
      </c>
      <c r="G21" s="180" t="inlineStr">
        <is>
          <t>算定根拠</t>
        </is>
      </c>
    </row>
    <row r="22" ht="27.5" customHeight="1">
      <c r="B22" s="170" t="inlineStr">
        <is>
          <t>健康保険料</t>
        </is>
      </c>
      <c r="C22" s="43">
        <f>$C$17</f>
        <v>1004413</v>
      </c>
      <c r="D22" s="38" t="n"/>
      <c r="E22" s="181" t="n">
        <v>0.0489</v>
      </c>
      <c r="F22" s="43">
        <f>ROUNDDOWN(C22*E22,0)</f>
        <v>49115</v>
      </c>
      <c r="G22" s="182" t="inlineStr">
        <is>
          <t>健康保険料率 9.780%（協会けんぽ 広島県 令和8年度）×1/2（労使折半）</t>
        </is>
      </c>
    </row>
    <row r="23" ht="27.5" customHeight="1">
      <c r="B23" s="170" t="inlineStr">
        <is>
          <t>介護保険料</t>
        </is>
      </c>
      <c r="C23" s="43">
        <f>$C$17</f>
        <v>1004413</v>
      </c>
      <c r="D23" s="38" t="n"/>
      <c r="E23" s="181" t="n">
        <v>0.0081</v>
      </c>
      <c r="F23" s="43">
        <f>ROUNDDOWN(C23*E23,0)</f>
        <v>8135</v>
      </c>
      <c r="G23" s="182" t="inlineStr">
        <is>
          <t>介護保険料率 1.620%（全国一律 令和8年度）×1/2（労使折半）</t>
        </is>
      </c>
    </row>
    <row r="24" ht="27.5" customHeight="1">
      <c r="B24" s="170" t="inlineStr">
        <is>
          <t>子ども・子育て支援金</t>
        </is>
      </c>
      <c r="C24" s="43">
        <f>$C$17</f>
        <v>1004413</v>
      </c>
      <c r="D24" s="38" t="n"/>
      <c r="E24" s="181" t="n">
        <v>0.00115</v>
      </c>
      <c r="F24" s="43">
        <f>ROUNDDOWN(C24*E24,0)</f>
        <v>1155</v>
      </c>
      <c r="G24" s="182" t="inlineStr">
        <is>
          <t>支援金率 0.230%（令和8年4月分〜）×1/2（労使折半）</t>
        </is>
      </c>
    </row>
    <row r="25" ht="27.5" customHeight="1">
      <c r="B25" s="170" t="inlineStr">
        <is>
          <t>厚生年金保険料</t>
        </is>
      </c>
      <c r="C25" s="43">
        <f>$C$17</f>
        <v>1004413</v>
      </c>
      <c r="D25" s="38" t="n"/>
      <c r="E25" s="181" t="n">
        <v>0.0915</v>
      </c>
      <c r="F25" s="43">
        <f>ROUNDDOWN(C25*E25,0)</f>
        <v>91903</v>
      </c>
      <c r="G25" s="182" t="inlineStr">
        <is>
          <t>厚生年金保険料率 18.300%（平成29年9月以降固定）×1/2（労使折半）</t>
        </is>
      </c>
    </row>
    <row r="26" ht="27.5" customHeight="1">
      <c r="B26" s="170" t="inlineStr">
        <is>
          <t>雇用保険料</t>
        </is>
      </c>
      <c r="C26" s="43">
        <f>$C$17</f>
        <v>1004413</v>
      </c>
      <c r="D26" s="38" t="n"/>
      <c r="E26" s="181" t="n">
        <v>0.0105</v>
      </c>
      <c r="F26" s="43">
        <f>ROUNDDOWN(C26*E26,0)</f>
        <v>10546</v>
      </c>
      <c r="G26" s="182" t="inlineStr">
        <is>
          <t>雇用保険料率（建設の事業）事業主負担分 1.050%</t>
        </is>
      </c>
    </row>
    <row r="27" ht="22" customHeight="1">
      <c r="B27" s="172" t="inlineStr">
        <is>
          <t>子ども・子育て拠出金</t>
        </is>
      </c>
      <c r="C27" s="173">
        <f>$C$17</f>
        <v>1004413</v>
      </c>
      <c r="D27" s="64" t="n"/>
      <c r="E27" s="183" t="n">
        <v>0.0036</v>
      </c>
      <c r="F27" s="173">
        <f>ROUNDDOWN(C27*E27,0)</f>
        <v>3615</v>
      </c>
      <c r="G27" s="184" t="inlineStr">
        <is>
          <t>拠出金率 0.360%（事業主全額負担）</t>
        </is>
      </c>
    </row>
    <row r="28" ht="24" customHeight="1">
      <c r="B28" s="185" t="inlineStr">
        <is>
          <t>合計（Ｚ ／ Ａ）</t>
        </is>
      </c>
      <c r="C28" s="71" t="n"/>
      <c r="D28" s="71" t="n"/>
      <c r="E28" s="186">
        <f>SUM(E22:E27)</f>
        <v>0.16375</v>
      </c>
      <c r="F28" s="72">
        <f>SUM(F22:F27)</f>
        <v>164469</v>
      </c>
      <c r="G28" s="177" t="n"/>
    </row>
    <row r="30" ht="15.5" customHeight="1">
      <c r="B30" s="167" t="inlineStr">
        <is>
          <t>※ 法定福利費相当額（Ａ）は見積金額（工事費）に含まれています。別途加算するものではありません。</t>
        </is>
      </c>
    </row>
    <row r="31" ht="28" customHeight="1">
      <c r="B31" s="167" t="inlineStr">
        <is>
          <t>※ 料率は見積作成時点（令和8年度）の公表料率によります。料率が改定された場合は改定後の料率により精算させていただきます。</t>
        </is>
      </c>
    </row>
  </sheetData>
  <mergeCells count="31">
    <mergeCell ref="B2:G2"/>
    <mergeCell ref="E13:G13"/>
    <mergeCell ref="C24:D24"/>
    <mergeCell ref="C6:G6"/>
    <mergeCell ref="C15:D15"/>
    <mergeCell ref="B1:G1"/>
    <mergeCell ref="C5:G5"/>
    <mergeCell ref="C14:D14"/>
    <mergeCell ref="E15:G15"/>
    <mergeCell ref="C26:D26"/>
    <mergeCell ref="C16:D16"/>
    <mergeCell ref="C25:D25"/>
    <mergeCell ref="C8:E8"/>
    <mergeCell ref="C22:D22"/>
    <mergeCell ref="B30:G30"/>
    <mergeCell ref="E16:G16"/>
    <mergeCell ref="C12:D12"/>
    <mergeCell ref="B20:G20"/>
    <mergeCell ref="C21:D21"/>
    <mergeCell ref="C27:D27"/>
    <mergeCell ref="E12:G12"/>
    <mergeCell ref="C17:D17"/>
    <mergeCell ref="C23:D23"/>
    <mergeCell ref="C7:G7"/>
    <mergeCell ref="E14:G14"/>
    <mergeCell ref="B31:G31"/>
    <mergeCell ref="C4:E4"/>
    <mergeCell ref="E17:G17"/>
    <mergeCell ref="C28:D28"/>
    <mergeCell ref="C13:D13"/>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F39"/>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87" t="inlineStr">
        <is>
          <t>御見積条件・注意事項</t>
        </is>
      </c>
    </row>
    <row r="2">
      <c r="A2" s="178" t="inlineStr">
        <is>
          <t>安楽寺　本堂　新築工事　空調・換気設備工事　御見積書 添付</t>
        </is>
      </c>
    </row>
    <row r="4" ht="22" customHeight="1">
      <c r="A4" s="18" t="inlineStr">
        <is>
          <t>【1】御見積条件・注意事項</t>
        </is>
      </c>
    </row>
    <row r="5" ht="49.2" customHeight="1">
      <c r="A5" s="188" t="inlineStr">
        <is>
          <t>1.</t>
        </is>
      </c>
      <c r="B5" s="189" t="inlineStr">
        <is>
          <t>本見積は当社作図の空調設備平面図（M-1）・換気設備平面図（M-2）（意匠 平面図 令和8年7月20日版ベース）および24時間換気計算書に基づいて作成しています。空調機の機種は8月10日付 検討最終VE案（提案① ダイキン）、換気機器は三菱電機製としています。</t>
        </is>
      </c>
    </row>
    <row r="6" ht="76.8" customHeight="1">
      <c r="A6" s="188" t="inlineStr">
        <is>
          <t>2.</t>
        </is>
      </c>
      <c r="B6" s="189" t="inlineStr">
        <is>
          <t>空調工事の範囲: 空調機の搬入・据付（AC-1 床置形 SZRV80BZV×2組〔大間・外陣〕、AC-2 壁掛形 S284ATEV-W×2組〔和室(1)・和室(2)〕、AC-3 壁掛形 S404ATEV-W×1組〔談話室〕）、室外機基礎（縁石基礎・置台）、冷媒配管（被覆銅管 液管10t・ガス管20t）・屋外化粧カバー、ドレン配管（VP 25A）・保温、内外連絡線（VVF 2.0-3C）、外壁貫通部の処理、気密試験・真空引き、試運転調整。</t>
        </is>
      </c>
    </row>
    <row r="7" ht="63" customHeight="1">
      <c r="A7" s="188" t="inlineStr">
        <is>
          <t>3.</t>
        </is>
      </c>
      <c r="B7" s="189" t="inlineStr">
        <is>
          <t>換気工事の範囲: 24時間換気（第3種機械換気）用パイプ用ファン V-08PP8-BL×3台、局所換気用天井埋込形換気扇（VD-18ZC14×5台〔焼香・護摩の排煙〕、VD-15ZC14・VD-10ZC14 各1台）、給気用給排気グリル×8個、スパイラルダクト（φ100〜φ200）・外気導入ダクトの保温、深形フード（ステンレス製・防虫網付）×18個、外壁貫通処理、試運転調整（風量確認）。</t>
        </is>
      </c>
    </row>
    <row r="8" ht="49.2" customHeight="1">
      <c r="A8" s="188" t="inlineStr">
        <is>
          <t>4.</t>
        </is>
      </c>
      <c r="B8" s="189" t="inlineStr">
        <is>
          <t>機器の単価は、メーカー定価（空調機はVE案の定価、換気機器は三菱電機の価格〔税別〕）を基準に当社にて算定しています。機器のメーカー価格改定（三菱電機は2027年1月1日改定予定）が生じた場合は御協議させていただきます。</t>
        </is>
      </c>
    </row>
    <row r="9" ht="49.2" customHeight="1">
      <c r="A9" s="188" t="inlineStr">
        <is>
          <t>5.</t>
        </is>
      </c>
      <c r="B9" s="189" t="inlineStr">
        <is>
          <t>24時間換気の有効換気量は、パイプ用ファン V-08PP8-BL のP-Q線図（電源周波数60Hz）により算定しています（80 m³/h/台×3台＝240 m³/h ≧ 必要有効換気量185.1 m³/h）。天井高の確定により必要換気量が増える場合は機器の見直しをお願いすることがあります。</t>
        </is>
      </c>
    </row>
    <row r="10" ht="35.5" customHeight="1">
      <c r="A10" s="188" t="inlineStr">
        <is>
          <t>6.</t>
        </is>
      </c>
      <c r="B10" s="189" t="inlineStr">
        <is>
          <t>電源・専用回路（空調機 単相200V×5回路、換気扇 単相100V）・スイッチ・接地等の電気工事、リモコン配線（本体リモコン・ワイヤレスリモコンのため不要の想定）は含みません。</t>
        </is>
      </c>
    </row>
    <row r="11" ht="49.2" customHeight="1">
      <c r="A11" s="188" t="inlineStr">
        <is>
          <t>7.</t>
        </is>
      </c>
      <c r="B11" s="189" t="inlineStr">
        <is>
          <t>外壁の開口補強・外装仕上げの補修、天井開口の補強・点検口、揚重機（クレーン等）、足場・高所作業車等の仮設、産業廃棄物（機器の梱包材を含む）の処分は含みません。外壁貫通部の穴あけ・防水処理は本見積に含みます。</t>
        </is>
      </c>
    </row>
    <row r="12" ht="35.5" customHeight="1">
      <c r="A12" s="188" t="inlineStr">
        <is>
          <t>8.</t>
        </is>
      </c>
      <c r="B12" s="189" t="inlineStr">
        <is>
          <t>冷媒の追加充填は、配管長が各機器のチャージレス配管長以内のため計上していません（真空引き・ガス充填は基本料金）。</t>
        </is>
      </c>
    </row>
    <row r="13" ht="35.5" customHeight="1">
      <c r="A13" s="188" t="inlineStr">
        <is>
          <t>9.</t>
        </is>
      </c>
      <c r="B13" s="189" t="inlineStr">
        <is>
          <t>ドレンは、AC-1は硬質塩化ビニル管（VP 25A、屋内部分は保温）で、AC-2・AC-3は付属ドレンホースで屋外へ開放排水する想定です（側溝・桝への接続は含みません）。</t>
        </is>
      </c>
    </row>
    <row r="14" ht="35.5" customHeight="1">
      <c r="A14" s="188" t="inlineStr">
        <is>
          <t>10.</t>
        </is>
      </c>
      <c r="B14" s="189" t="inlineStr">
        <is>
          <t>工期は建築工程に合わせた通常の日中作業を前提としております。夜間・休日作業、工程変更や他工事との輻輳による手待ち、工期延長に伴う経費増は別途協議とさせていただきます。</t>
        </is>
      </c>
    </row>
    <row r="15" ht="35.5" customHeight="1">
      <c r="A15" s="188" t="inlineStr">
        <is>
          <t>11.</t>
        </is>
      </c>
      <c r="B15" s="189" t="inlineStr">
        <is>
          <t>労務費に係る法定福利費（事業主負担分）は工事費に含んでおり、その額は御見積書表紙および別紙「法定福利費内訳明細書」のとおりです。</t>
        </is>
      </c>
    </row>
    <row r="16" ht="35.5" customHeight="1">
      <c r="A16" s="188" t="inlineStr">
        <is>
          <t>12.</t>
        </is>
      </c>
      <c r="B16" s="189" t="inlineStr">
        <is>
          <t>本見積書に記載なき事項については別途とさせていただきます。工事に係る電気・水道は無償支給願います。本見積金額には消費税は含まれておりません。本書有効期間は10日です。</t>
        </is>
      </c>
    </row>
    <row r="18" ht="22" customHeight="1">
      <c r="A18" s="18" t="inlineStr">
        <is>
          <t>【2】想定数量（推測）項目の前提</t>
        </is>
      </c>
    </row>
    <row r="19" ht="29" customHeight="1">
      <c r="A19" s="167" t="inlineStr">
        <is>
          <t>図面に数量・経路の記載がなく当社にて想定した項目です。「図面実測＋想定」は平面延長を図面計測し、立上り等を想定加算したものです。実数量確定後に精算させていただきます。</t>
        </is>
      </c>
    </row>
    <row r="20">
      <c r="A20" s="179" t="inlineStr">
        <is>
          <t>No.</t>
        </is>
      </c>
      <c r="B20" s="168" t="inlineStr">
        <is>
          <t>内訳書</t>
        </is>
      </c>
      <c r="C20" s="168" t="inlineStr">
        <is>
          <t>項　　目</t>
        </is>
      </c>
      <c r="D20" s="168" t="inlineStr">
        <is>
          <t>前提・想定内容</t>
        </is>
      </c>
      <c r="E20" s="32" t="n"/>
      <c r="F20" s="180" t="inlineStr">
        <is>
          <t>数量（区分）</t>
        </is>
      </c>
    </row>
    <row r="21" ht="54" customHeight="1">
      <c r="A21" s="190" t="n">
        <v>1</v>
      </c>
      <c r="B21" s="191" t="inlineStr">
        <is>
          <t>３</t>
        </is>
      </c>
      <c r="C21" s="192" t="inlineStr">
        <is>
          <t>冷媒用被覆銅管（10+20t） 9.52+15.88mm（10t+20t）AC-1</t>
        </is>
      </c>
      <c r="D21" s="192" t="inlineStr">
        <is>
          <t>AC-1 床置形 2系統 × 3.0m（室外機は外壁直近。最小配管長 3m を確保、壁貫通・立上り・余長込み）</t>
        </is>
      </c>
      <c r="E21" s="38" t="n"/>
      <c r="F21" s="193" t="inlineStr">
        <is>
          <t>6 m（想定）</t>
        </is>
      </c>
    </row>
    <row r="22" ht="41.5" customHeight="1">
      <c r="A22" s="190" t="n">
        <v>2</v>
      </c>
      <c r="B22" s="191" t="inlineStr">
        <is>
          <t>３</t>
        </is>
      </c>
      <c r="C22" s="192" t="inlineStr">
        <is>
          <t>冷媒用被覆銅管（10+20t） 6.35+9.52mm（10t+20t）AC-2・AC-3</t>
        </is>
      </c>
      <c r="D22" s="192" t="inlineStr">
        <is>
          <t>AC-2・AC-3 壁掛形 3台 × 4.0m（壁掛 約2.2m → 屋外置台への立下り・余長込み）</t>
        </is>
      </c>
      <c r="E22" s="38" t="n"/>
      <c r="F22" s="193" t="inlineStr">
        <is>
          <t>12 m（想定）</t>
        </is>
      </c>
    </row>
    <row r="23" ht="41.5" customHeight="1">
      <c r="A23" s="190" t="n">
        <v>3</v>
      </c>
      <c r="B23" s="191" t="inlineStr">
        <is>
          <t>３</t>
        </is>
      </c>
      <c r="C23" s="192" t="inlineStr">
        <is>
          <t>硬質塩化ビニル管 VP 25A（AC-1 ドレン）</t>
        </is>
      </c>
      <c r="D23" s="192" t="inlineStr">
        <is>
          <t>AC-1 2系統 × 1.5m（室内 1.0m＋屋外放流 0.5m）。ルームエアコンは付属ドレンホース</t>
        </is>
      </c>
      <c r="E23" s="38" t="n"/>
      <c r="F23" s="193" t="inlineStr">
        <is>
          <t>3 m（想定）</t>
        </is>
      </c>
    </row>
    <row r="24" ht="41.5" customHeight="1">
      <c r="A24" s="190" t="n">
        <v>4</v>
      </c>
      <c r="B24" s="191" t="inlineStr">
        <is>
          <t>３</t>
        </is>
      </c>
      <c r="C24" s="192" t="inlineStr">
        <is>
          <t>VVFケーブル（内外連絡線） 600V VV-F 2.0mm-3C</t>
        </is>
      </c>
      <c r="D24" s="192" t="inlineStr">
        <is>
          <t>内外連絡線 AC-1 5.0m×2・AC-2/3 5.0m×3（余長込み）</t>
        </is>
      </c>
      <c r="E24" s="38" t="n"/>
      <c r="F24" s="193" t="inlineStr">
        <is>
          <t>25 m（想定）</t>
        </is>
      </c>
    </row>
    <row r="25" ht="41.5" customHeight="1">
      <c r="A25" s="190" t="n">
        <v>5</v>
      </c>
      <c r="B25" s="191" t="inlineStr">
        <is>
          <t>３</t>
        </is>
      </c>
      <c r="C25" s="192" t="inlineStr">
        <is>
          <t>樹脂製化粧カバー 9.52+15.88 屋外（AC-1）</t>
        </is>
      </c>
      <c r="D25" s="192" t="inlineStr">
        <is>
          <t>AC-1 屋外 壁貫通〜室外機 1.0m × 2</t>
        </is>
      </c>
      <c r="E25" s="38" t="n"/>
      <c r="F25" s="193" t="inlineStr">
        <is>
          <t>2 m（想定）</t>
        </is>
      </c>
    </row>
    <row r="26" ht="41.5" customHeight="1">
      <c r="A26" s="190" t="n">
        <v>6</v>
      </c>
      <c r="B26" s="191" t="inlineStr">
        <is>
          <t>３</t>
        </is>
      </c>
      <c r="C26" s="192" t="inlineStr">
        <is>
          <t>樹脂製化粧カバー 6.35+9.52 屋外（AC-2・3）</t>
        </is>
      </c>
      <c r="D26" s="192" t="inlineStr">
        <is>
          <t>AC-2・AC-3 屋外立下り 2.0m × 3</t>
        </is>
      </c>
      <c r="E26" s="38" t="n"/>
      <c r="F26" s="193" t="inlineStr">
        <is>
          <t>6 m（想定）</t>
        </is>
      </c>
    </row>
    <row r="27" ht="29" customHeight="1">
      <c r="A27" s="190" t="n">
        <v>7</v>
      </c>
      <c r="B27" s="191" t="inlineStr">
        <is>
          <t>３</t>
        </is>
      </c>
      <c r="C27" s="192" t="inlineStr">
        <is>
          <t>排水VP保温 GW20mm+ALGC 屋内隠蔽 25A</t>
        </is>
      </c>
      <c r="D27" s="192" t="inlineStr">
        <is>
          <t>AC-1 ドレンの屋内部分 1.0m × 2系統</t>
        </is>
      </c>
      <c r="E27" s="38" t="n"/>
      <c r="F27" s="193" t="inlineStr">
        <is>
          <t>2 m（想定）</t>
        </is>
      </c>
    </row>
    <row r="28" ht="41.5" customHeight="1">
      <c r="A28" s="190" t="n">
        <v>8</v>
      </c>
      <c r="B28" s="191" t="inlineStr">
        <is>
          <t>５</t>
        </is>
      </c>
      <c r="C28" s="192" t="inlineStr">
        <is>
          <t>スパイラルダクト φ100 継手・支持金物共</t>
        </is>
      </c>
      <c r="D28" s="192" t="inlineStr">
        <is>
          <t>給気 SA-3 ×3・局所 EF-3/EF-4 の器具〜外壁（平面）＋立上り・接続 0.5m/本 ＝ 6.77m</t>
        </is>
      </c>
      <c r="E28" s="38" t="n"/>
      <c r="F28" s="193" t="inlineStr">
        <is>
          <t>7 m（実測＋想定）</t>
        </is>
      </c>
    </row>
    <row r="29" ht="29" customHeight="1">
      <c r="A29" s="190" t="n">
        <v>9</v>
      </c>
      <c r="B29" s="191" t="inlineStr">
        <is>
          <t>５</t>
        </is>
      </c>
      <c r="C29" s="192" t="inlineStr">
        <is>
          <t>スパイラルダクト φ150 継手・支持金物共</t>
        </is>
      </c>
      <c r="D29" s="192" t="inlineStr">
        <is>
          <t>給気 SA-2・局所 EF-2 ×5 の器具〜外壁（平面）＋0.5m/本 ＝ 21.30m</t>
        </is>
      </c>
      <c r="E29" s="38" t="n"/>
      <c r="F29" s="193" t="inlineStr">
        <is>
          <t>22 m（実測＋想定）</t>
        </is>
      </c>
    </row>
    <row r="30" ht="29" customHeight="1">
      <c r="A30" s="190" t="n">
        <v>10</v>
      </c>
      <c r="B30" s="191" t="inlineStr">
        <is>
          <t>５</t>
        </is>
      </c>
      <c r="C30" s="192" t="inlineStr">
        <is>
          <t>スパイラルダクト φ200 継手・支持金物共</t>
        </is>
      </c>
      <c r="D30" s="192" t="inlineStr">
        <is>
          <t>給気 SA-1 ×4 の器具〜外壁（平面）＋0.5m/本 ＝ 11.22m</t>
        </is>
      </c>
      <c r="E30" s="38" t="n"/>
      <c r="F30" s="193" t="inlineStr">
        <is>
          <t>12 m（実測＋想定）</t>
        </is>
      </c>
    </row>
    <row r="31" ht="29" customHeight="1">
      <c r="A31" s="194" t="n">
        <v>11</v>
      </c>
      <c r="B31" s="195" t="inlineStr">
        <is>
          <t>５</t>
        </is>
      </c>
      <c r="C31" s="196" t="inlineStr">
        <is>
          <t>ダクト保温 GW25＋ALGC 外気導入ダクト</t>
        </is>
      </c>
      <c r="D31" s="196" t="inlineStr">
        <is>
          <t>外気導入（給気）ダクトの全長 ＝ 17.14m（結露防止）</t>
        </is>
      </c>
      <c r="E31" s="52" t="n"/>
      <c r="F31" s="197" t="inlineStr">
        <is>
          <t>18 m（実測＋想定）</t>
        </is>
      </c>
    </row>
    <row r="33" ht="22" customHeight="1">
      <c r="A33" s="18" t="inlineStr">
        <is>
          <t>【3】図面読み取りに関する確認事項</t>
        </is>
      </c>
    </row>
    <row r="34" ht="35.5" customHeight="1">
      <c r="A34" s="188" t="inlineStr">
        <is>
          <t>1.</t>
        </is>
      </c>
      <c r="B34" s="189" t="inlineStr">
        <is>
          <t>施工場所（地番）をご教示ください。24時間換気は電源周波数60Hz（中国電力管内）で算定しています（50Hzの場合も 204 m³/h で適合）。</t>
        </is>
      </c>
    </row>
    <row r="35" ht="35.5" customHeight="1">
      <c r="A35" s="188" t="inlineStr">
        <is>
          <t>2.</t>
        </is>
      </c>
      <c r="B35" s="189" t="inlineStr">
        <is>
          <t>天井高（外陣・内陣・護摩堂の格天井・折上天井を含む）が未確定のため、24時間換気計算は仮定値（外陣3.3m・内陣3.6m・護摩堂3.3m・その他2.4m）で行っています。</t>
        </is>
      </c>
    </row>
    <row r="36" ht="35.5" customHeight="1">
      <c r="A36" s="188" t="inlineStr">
        <is>
          <t>3.</t>
        </is>
      </c>
      <c r="B36" s="189" t="inlineStr">
        <is>
          <t>室外機は各室の外壁直近（大間・外陣は西側、和室(1)は北側、和室(2)・談話室は東側）に置く計画です。設置場所の地盤・景観上の制約があればご指示ください。</t>
        </is>
      </c>
    </row>
    <row r="37" ht="35.5" customHeight="1">
      <c r="A37" s="188" t="inlineStr">
        <is>
          <t>4.</t>
        </is>
      </c>
      <c r="B37" s="189" t="inlineStr">
        <is>
          <t>AC-1（床置形）の位置は大間・外陣の西側 広縁としています。仏具・建具の配置と干渉する場合はご指示ください。</t>
        </is>
      </c>
    </row>
    <row r="38" ht="35.5" customHeight="1">
      <c r="A38" s="188" t="inlineStr">
        <is>
          <t>5.</t>
        </is>
      </c>
      <c r="B38" s="189" t="inlineStr">
        <is>
          <t>換気扇・給気口の位置、ダクトルートは当社計画です。天井内の梁・野縁との取合いにより変更となる場合があります。</t>
        </is>
      </c>
    </row>
    <row r="39" ht="35.5" customHeight="1">
      <c r="A39" s="188" t="inlineStr">
        <is>
          <t>6.</t>
        </is>
      </c>
      <c r="B39" s="189" t="inlineStr">
        <is>
          <t>機器の型番・価格（特に空調機のVE案定価、三菱電機機器の価格）は提出前に最新の価格表で確認します。</t>
        </is>
      </c>
    </row>
  </sheetData>
  <mergeCells count="31">
    <mergeCell ref="D20:E20"/>
    <mergeCell ref="B7:F7"/>
    <mergeCell ref="B16:F16"/>
    <mergeCell ref="D22:E22"/>
    <mergeCell ref="D31:E31"/>
    <mergeCell ref="D21:E21"/>
    <mergeCell ref="B12:F12"/>
    <mergeCell ref="B39:F39"/>
    <mergeCell ref="B11:F11"/>
    <mergeCell ref="D27:E27"/>
    <mergeCell ref="B14:F14"/>
    <mergeCell ref="B8:F8"/>
    <mergeCell ref="B13:F13"/>
    <mergeCell ref="B38:F38"/>
    <mergeCell ref="A19:F19"/>
    <mergeCell ref="B34:F34"/>
    <mergeCell ref="B10:F10"/>
    <mergeCell ref="B37:F37"/>
    <mergeCell ref="D28:E28"/>
    <mergeCell ref="B9:F9"/>
    <mergeCell ref="D25:E25"/>
    <mergeCell ref="B6:F6"/>
    <mergeCell ref="D24:E24"/>
    <mergeCell ref="D30:E30"/>
    <mergeCell ref="B15:F15"/>
    <mergeCell ref="D29:E29"/>
    <mergeCell ref="B5:F5"/>
    <mergeCell ref="D23:E23"/>
    <mergeCell ref="B36:F36"/>
    <mergeCell ref="D26:E26"/>
    <mergeCell ref="B35:F35"/>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17" min="0" max="16383" man="1"/>
  </rowBreaks>
</worksheet>
</file>

<file path=xl/worksheets/sheet5.xml><?xml version="1.0" encoding="utf-8"?>
<worksheet xmlns="http://schemas.openxmlformats.org/spreadsheetml/2006/main">
  <sheetPr>
    <outlinePr summaryBelow="1" summaryRight="1"/>
    <pageSetUpPr fitToPage="1"/>
  </sheetPr>
  <dimension ref="A1:J59"/>
  <sheetViews>
    <sheetView showGridLines="0" tabSelected="0" workbookViewId="0">
      <selection activeCell="A1" sqref="A1"/>
    </sheetView>
  </sheetViews>
  <sheetFormatPr baseColWidth="8" defaultRowHeight="15"/>
  <cols>
    <col width="12" customWidth="1" min="1" max="1"/>
    <col width="30" customWidth="1" min="2" max="2"/>
    <col width="34" customWidth="1" min="3" max="3"/>
    <col width="7" customWidth="1" min="4" max="4"/>
    <col width="6" customWidth="1" min="5" max="5"/>
    <col width="10" customWidth="1" min="6" max="6"/>
    <col width="12" customWidth="1" min="7" max="7"/>
    <col width="16" customWidth="1" min="8" max="8"/>
    <col width="14" customWidth="1" min="9" max="9"/>
    <col width="60" customWidth="1" min="10" max="10"/>
  </cols>
  <sheetData>
    <row r="1">
      <c r="A1" s="166" t="inlineStr">
        <is>
          <t>単価出典（内部用）　エスト見積 → エストマスタ → 推定 → 当社単価 → 要見積 の順で単価を決定</t>
        </is>
      </c>
    </row>
    <row r="3">
      <c r="A3" s="198" t="inlineStr">
        <is>
          <t>区分</t>
        </is>
      </c>
      <c r="B3" s="198" t="inlineStr">
        <is>
          <t>品名</t>
        </is>
      </c>
      <c r="C3" s="198" t="inlineStr">
        <is>
          <t>規格</t>
        </is>
      </c>
      <c r="D3" s="198" t="inlineStr">
        <is>
          <t>数量</t>
        </is>
      </c>
      <c r="E3" s="198" t="inlineStr">
        <is>
          <t>単位</t>
        </is>
      </c>
      <c r="F3" s="198" t="inlineStr">
        <is>
          <t>単価</t>
        </is>
      </c>
      <c r="G3" s="198" t="inlineStr">
        <is>
          <t>金額</t>
        </is>
      </c>
      <c r="H3" s="198" t="inlineStr">
        <is>
          <t>単価区分</t>
        </is>
      </c>
      <c r="I3" s="198" t="inlineStr">
        <is>
          <t>アラート</t>
        </is>
      </c>
      <c r="J3" s="198" t="inlineStr">
        <is>
          <t>単価の参照元</t>
        </is>
      </c>
    </row>
    <row r="4">
      <c r="A4" s="94" t="inlineStr">
        <is>
          <t>空調設備機器</t>
        </is>
      </c>
      <c r="B4" s="94" t="inlineStr">
        <is>
          <t>AC-1 床置形ペア EcoZEAS</t>
        </is>
      </c>
      <c r="C4" s="199" t="inlineStr">
        <is>
          <t>SZRV80BZV（P80）単相200V</t>
        </is>
      </c>
      <c r="D4" s="200">
        <f>'内訳書(空調設備工事)'!E7</f>
        <v>2</v>
      </c>
      <c r="E4" s="117" t="inlineStr">
        <is>
          <t>組</t>
        </is>
      </c>
      <c r="F4" s="116">
        <f>'内訳書(空調設備工事)'!G7</f>
        <v>316500</v>
      </c>
      <c r="G4" s="201">
        <f>'内訳書(空調設備工事)'!H7</f>
        <v>633000</v>
      </c>
      <c r="H4" s="120" t="inlineStr">
        <is>
          <t>原価基準（仕入率）</t>
        </is>
      </c>
      <c r="I4" s="143" t="n"/>
      <c r="J4" s="124" t="inlineStr">
        <is>
          <t>原価基準: 定価 1,266,000円（VE案 8月10日付 定価）× 仕入率 0.20（ダイキン業務用（EcoZEAS・FIVESTAR））＝原価 253,200円 ÷（1－目標粗利率 0.20）</t>
        </is>
      </c>
    </row>
    <row r="5">
      <c r="A5" s="94" t="inlineStr">
        <is>
          <t>空調設備機器</t>
        </is>
      </c>
      <c r="B5" s="94" t="inlineStr">
        <is>
          <t>AC-2 壁掛形</t>
        </is>
      </c>
      <c r="C5" s="199" t="inlineStr">
        <is>
          <t>S284ATEV-W（2.8kW）単相200V</t>
        </is>
      </c>
      <c r="D5" s="200">
        <f>'内訳書(空調設備工事)'!E9</f>
        <v>2</v>
      </c>
      <c r="E5" s="117" t="inlineStr">
        <is>
          <t>組</t>
        </is>
      </c>
      <c r="F5" s="116">
        <f>'内訳書(空調設備工事)'!G9</f>
        <v>142500</v>
      </c>
      <c r="G5" s="201">
        <f>'内訳書(空調設備工事)'!H9</f>
        <v>285000</v>
      </c>
      <c r="H5" s="120" t="inlineStr">
        <is>
          <t>原価基準（仕入率）</t>
        </is>
      </c>
      <c r="I5" s="143" t="n"/>
      <c r="J5" s="124" t="inlineStr">
        <is>
          <t>原価基準: 定価 380,000円（VE案 8月10日付 定価）× 仕入率 0.30（ダイキン家庭用（定価あり））＝原価 114,000円 ÷（1－目標粗利率 0.20）</t>
        </is>
      </c>
    </row>
    <row r="6">
      <c r="A6" s="94" t="inlineStr">
        <is>
          <t>空調設備機器</t>
        </is>
      </c>
      <c r="B6" s="94" t="inlineStr">
        <is>
          <t>AC-3 壁掛形</t>
        </is>
      </c>
      <c r="C6" s="199" t="inlineStr">
        <is>
          <t>S404ATEV-W（4.0kW）単相200V</t>
        </is>
      </c>
      <c r="D6" s="200">
        <f>'内訳書(空調設備工事)'!E10</f>
        <v>1</v>
      </c>
      <c r="E6" s="117" t="inlineStr">
        <is>
          <t>組</t>
        </is>
      </c>
      <c r="F6" s="116">
        <f>'内訳書(空調設備工事)'!G10</f>
        <v>168750</v>
      </c>
      <c r="G6" s="201">
        <f>'内訳書(空調設備工事)'!H10</f>
        <v>168750</v>
      </c>
      <c r="H6" s="120" t="inlineStr">
        <is>
          <t>原価基準（仕入率）</t>
        </is>
      </c>
      <c r="I6" s="143" t="n"/>
      <c r="J6" s="124" t="inlineStr">
        <is>
          <t>原価基準: 定価 450,000円（VE案 8月10日付 定価）× 仕入率 0.30（ダイキン家庭用（定価あり））＝原価 135,000円 ÷（1－目標粗利率 0.20）</t>
        </is>
      </c>
    </row>
    <row r="7">
      <c r="A7" s="94" t="inlineStr">
        <is>
          <t>空調設備工事</t>
        </is>
      </c>
      <c r="B7" s="94" t="inlineStr">
        <is>
          <t>SA 室外機</t>
        </is>
      </c>
      <c r="C7" s="199" t="inlineStr">
        <is>
          <t>P80（SZRV80BZV）地上設置</t>
        </is>
      </c>
      <c r="D7" s="200">
        <f>'内訳書(空調設備工事)'!E15</f>
        <v>2</v>
      </c>
      <c r="E7" s="117" t="inlineStr">
        <is>
          <t>台</t>
        </is>
      </c>
      <c r="F7" s="116">
        <f>'内訳書(空調設備工事)'!G15</f>
        <v>8750</v>
      </c>
      <c r="G7" s="201">
        <f>'内訳書(空調設備工事)'!H15</f>
        <v>17500</v>
      </c>
      <c r="H7" s="120" t="inlineStr">
        <is>
          <t>エスト見積</t>
        </is>
      </c>
      <c r="I7" s="143" t="n"/>
      <c r="J7" s="124" t="inlineStr">
        <is>
          <t>エスト見積 6330560-1 SA 室外機 11.2-16.0</t>
        </is>
      </c>
    </row>
    <row r="8">
      <c r="A8" s="94" t="inlineStr">
        <is>
          <t>空調設備工事</t>
        </is>
      </c>
      <c r="B8" s="94" t="inlineStr">
        <is>
          <t>SA 室内機</t>
        </is>
      </c>
      <c r="C8" s="199" t="inlineStr">
        <is>
          <t>床置形 P80（転倒防止金具共）</t>
        </is>
      </c>
      <c r="D8" s="200">
        <f>'内訳書(空調設備工事)'!E16</f>
        <v>2</v>
      </c>
      <c r="E8" s="117" t="inlineStr">
        <is>
          <t>台</t>
        </is>
      </c>
      <c r="F8" s="116">
        <f>'内訳書(空調設備工事)'!G16</f>
        <v>13000</v>
      </c>
      <c r="G8" s="201">
        <f>'内訳書(空調設備工事)'!H16</f>
        <v>26000</v>
      </c>
      <c r="H8" s="120" t="inlineStr">
        <is>
          <t>エストマスタ</t>
        </is>
      </c>
      <c r="I8" s="143" t="n"/>
      <c r="J8" s="124" t="inlineStr">
        <is>
          <t>エストマスタ 搬入据付 スカイエア室内機 床置形 P140</t>
        </is>
      </c>
    </row>
    <row r="9">
      <c r="A9" s="94" t="inlineStr">
        <is>
          <t>空調設備工事</t>
        </is>
      </c>
      <c r="B9" s="94" t="inlineStr">
        <is>
          <t>RA 室外機</t>
        </is>
      </c>
      <c r="C9" s="199" t="inlineStr">
        <is>
          <t>セパレート 2.2-5.0（S284/S404）</t>
        </is>
      </c>
      <c r="D9" s="200">
        <f>'内訳書(空調設備工事)'!E17</f>
        <v>3</v>
      </c>
      <c r="E9" s="117" t="inlineStr">
        <is>
          <t>台</t>
        </is>
      </c>
      <c r="F9" s="116">
        <f>'内訳書(空調設備工事)'!G17</f>
        <v>6250</v>
      </c>
      <c r="G9" s="201">
        <f>'内訳書(空調設備工事)'!H17</f>
        <v>18750</v>
      </c>
      <c r="H9" s="120" t="inlineStr">
        <is>
          <t>エスト見積</t>
        </is>
      </c>
      <c r="I9" s="143" t="n"/>
      <c r="J9" s="124" t="inlineStr">
        <is>
          <t>エスト見積 6330560-1 RA 室外機 セパレート2.2-5.0</t>
        </is>
      </c>
    </row>
    <row r="10">
      <c r="A10" s="94" t="inlineStr">
        <is>
          <t>空調設備工事</t>
        </is>
      </c>
      <c r="B10" s="94" t="inlineStr">
        <is>
          <t>RA 室内機</t>
        </is>
      </c>
      <c r="C10" s="199" t="inlineStr">
        <is>
          <t>壁掛（据付板・ドレンホース共）</t>
        </is>
      </c>
      <c r="D10" s="200">
        <f>'内訳書(空調設備工事)'!E18</f>
        <v>3</v>
      </c>
      <c r="E10" s="117" t="inlineStr">
        <is>
          <t>台</t>
        </is>
      </c>
      <c r="F10" s="116">
        <f>'内訳書(空調設備工事)'!G18</f>
        <v>6250</v>
      </c>
      <c r="G10" s="201">
        <f>'内訳書(空調設備工事)'!H18</f>
        <v>18750</v>
      </c>
      <c r="H10" s="120" t="inlineStr">
        <is>
          <t>エスト見積</t>
        </is>
      </c>
      <c r="I10" s="143" t="n"/>
      <c r="J10" s="124" t="inlineStr">
        <is>
          <t>エスト見積 6330560-1 RA 室内機 壁掛</t>
        </is>
      </c>
    </row>
    <row r="11">
      <c r="A11" s="94" t="inlineStr">
        <is>
          <t>空調設備工事</t>
        </is>
      </c>
      <c r="B11" s="94" t="inlineStr">
        <is>
          <t>基礎工事</t>
        </is>
      </c>
      <c r="C11" s="199" t="inlineStr">
        <is>
          <t>縁石基礎（SA 室外機 P80）</t>
        </is>
      </c>
      <c r="D11" s="200">
        <f>'内訳書(空調設備工事)'!E20</f>
        <v>2</v>
      </c>
      <c r="E11" s="117" t="inlineStr">
        <is>
          <t>台</t>
        </is>
      </c>
      <c r="F11" s="116">
        <f>'内訳書(空調設備工事)'!G20</f>
        <v>5000</v>
      </c>
      <c r="G11" s="201">
        <f>'内訳書(空調設備工事)'!H20</f>
        <v>10000</v>
      </c>
      <c r="H11" s="120" t="inlineStr">
        <is>
          <t>エスト見積</t>
        </is>
      </c>
      <c r="I11" s="143" t="n"/>
      <c r="J11" s="124" t="inlineStr">
        <is>
          <t>エスト見積 6330560-1 縁石 11.2-16.0</t>
        </is>
      </c>
    </row>
    <row r="12">
      <c r="A12" s="94" t="inlineStr">
        <is>
          <t>空調設備工事</t>
        </is>
      </c>
      <c r="B12" s="94" t="inlineStr">
        <is>
          <t>室外機置台</t>
        </is>
      </c>
      <c r="C12" s="199" t="inlineStr">
        <is>
          <t>RA 室外機用 プラ製（防振ゴム付）</t>
        </is>
      </c>
      <c r="D12" s="200">
        <f>'内訳書(空調設備工事)'!E21</f>
        <v>3</v>
      </c>
      <c r="E12" s="117" t="inlineStr">
        <is>
          <t>台</t>
        </is>
      </c>
      <c r="F12" s="116">
        <f>'内訳書(空調設備工事)'!G21</f>
        <v>5500</v>
      </c>
      <c r="G12" s="201">
        <f>'内訳書(空調設備工事)'!H21</f>
        <v>16500</v>
      </c>
      <c r="H12" s="120" t="inlineStr">
        <is>
          <t>当社単価（要確認）</t>
        </is>
      </c>
      <c r="I12" s="202" t="inlineStr">
        <is>
          <t>単価要確認</t>
        </is>
      </c>
      <c r="J12" s="124" t="inlineStr">
        <is>
          <t>当社単価: 置台 2,500＋0.1人工（エストに単価なし）</t>
        </is>
      </c>
    </row>
    <row r="13">
      <c r="A13" s="94" t="inlineStr">
        <is>
          <t>空調設備工事</t>
        </is>
      </c>
      <c r="B13" s="94" t="inlineStr">
        <is>
          <t>試運転調整費</t>
        </is>
      </c>
      <c r="C13" s="199" t="inlineStr">
        <is>
          <t>SA 室外機（-160）</t>
        </is>
      </c>
      <c r="D13" s="200">
        <f>'内訳書(空調設備工事)'!E23</f>
        <v>2</v>
      </c>
      <c r="E13" s="117" t="inlineStr">
        <is>
          <t>台</t>
        </is>
      </c>
      <c r="F13" s="116">
        <f>'内訳書(空調設備工事)'!G23</f>
        <v>10000</v>
      </c>
      <c r="G13" s="201">
        <f>'内訳書(空調設備工事)'!H23</f>
        <v>20000</v>
      </c>
      <c r="H13" s="120" t="inlineStr">
        <is>
          <t>エスト見積</t>
        </is>
      </c>
      <c r="I13" s="143" t="n"/>
      <c r="J13" s="124" t="inlineStr">
        <is>
          <t>エスト見積 6330560-1 試運転調整費 SA 室外機(-160)</t>
        </is>
      </c>
    </row>
    <row r="14">
      <c r="A14" s="94" t="inlineStr">
        <is>
          <t>空調設備工事</t>
        </is>
      </c>
      <c r="B14" s="94" t="inlineStr">
        <is>
          <t>試運転調整費</t>
        </is>
      </c>
      <c r="C14" s="199" t="inlineStr">
        <is>
          <t>RA 室外機（0-56）</t>
        </is>
      </c>
      <c r="D14" s="200">
        <f>'内訳書(空調設備工事)'!E24</f>
        <v>3</v>
      </c>
      <c r="E14" s="117" t="inlineStr">
        <is>
          <t>台</t>
        </is>
      </c>
      <c r="F14" s="116">
        <f>'内訳書(空調設備工事)'!G24</f>
        <v>2500</v>
      </c>
      <c r="G14" s="201">
        <f>'内訳書(空調設備工事)'!H24</f>
        <v>7500</v>
      </c>
      <c r="H14" s="120" t="inlineStr">
        <is>
          <t>エスト見積</t>
        </is>
      </c>
      <c r="I14" s="143" t="n"/>
      <c r="J14" s="124" t="inlineStr">
        <is>
          <t>エスト見積 6330560-1 試運転調整費 RA 室外機(0-56)</t>
        </is>
      </c>
    </row>
    <row r="15">
      <c r="A15" s="94" t="inlineStr">
        <is>
          <t>配管設備工事</t>
        </is>
      </c>
      <c r="B15" s="94" t="inlineStr">
        <is>
          <t>冷媒用被覆銅管（10+20t）</t>
        </is>
      </c>
      <c r="C15" s="199" t="inlineStr">
        <is>
          <t>9.52+15.88mm（10t+20t）AC-1</t>
        </is>
      </c>
      <c r="D15" s="200">
        <f>'内訳書(空調設備工事)'!E32</f>
        <v>6</v>
      </c>
      <c r="E15" s="117" t="inlineStr">
        <is>
          <t>m</t>
        </is>
      </c>
      <c r="F15" s="116">
        <f>'内訳書(空調設備工事)'!G32</f>
        <v>5138</v>
      </c>
      <c r="G15" s="201">
        <f>'内訳書(空調設備工事)'!H32</f>
        <v>30828</v>
      </c>
      <c r="H15" s="120" t="inlineStr">
        <is>
          <t>エスト見積</t>
        </is>
      </c>
      <c r="I15" s="143" t="n"/>
      <c r="J15" s="124" t="inlineStr">
        <is>
          <t>エスト見積 6330560-1 冷媒用被覆銅管(10+20t) 9.52+15.88</t>
        </is>
      </c>
    </row>
    <row r="16">
      <c r="A16" s="94" t="inlineStr">
        <is>
          <t>配管設備工事</t>
        </is>
      </c>
      <c r="B16" s="94" t="inlineStr">
        <is>
          <t>冷媒用被覆銅管（10+20t）</t>
        </is>
      </c>
      <c r="C16" s="199" t="inlineStr">
        <is>
          <t>6.35+9.52mm（10t+20t）AC-2・AC-3</t>
        </is>
      </c>
      <c r="D16" s="200">
        <f>'内訳書(空調設備工事)'!E33</f>
        <v>12</v>
      </c>
      <c r="E16" s="117" t="inlineStr">
        <is>
          <t>m</t>
        </is>
      </c>
      <c r="F16" s="116">
        <f>'内訳書(空調設備工事)'!G33</f>
        <v>3388</v>
      </c>
      <c r="G16" s="201">
        <f>'内訳書(空調設備工事)'!H33</f>
        <v>40656</v>
      </c>
      <c r="H16" s="120" t="inlineStr">
        <is>
          <t>エスト見積</t>
        </is>
      </c>
      <c r="I16" s="143" t="n"/>
      <c r="J16" s="124" t="inlineStr">
        <is>
          <t>エスト見積 6330560-1 冷媒用被覆銅管(10+20t) 6.35+9.52</t>
        </is>
      </c>
    </row>
    <row r="17">
      <c r="A17" s="94" t="inlineStr">
        <is>
          <t>配管設備工事</t>
        </is>
      </c>
      <c r="B17" s="94" t="inlineStr">
        <is>
          <t>硬質塩化ビニル管</t>
        </is>
      </c>
      <c r="C17" s="199" t="inlineStr">
        <is>
          <t>VP 25A（AC-1 ドレン）</t>
        </is>
      </c>
      <c r="D17" s="200">
        <f>'内訳書(空調設備工事)'!E38</f>
        <v>3</v>
      </c>
      <c r="E17" s="117" t="inlineStr">
        <is>
          <t>m</t>
        </is>
      </c>
      <c r="F17" s="116">
        <f>'内訳書(空調設備工事)'!G38</f>
        <v>313</v>
      </c>
      <c r="G17" s="201">
        <f>'内訳書(空調設備工事)'!H38</f>
        <v>939</v>
      </c>
      <c r="H17" s="120" t="inlineStr">
        <is>
          <t>エスト見積</t>
        </is>
      </c>
      <c r="I17" s="143" t="n"/>
      <c r="J17" s="124" t="inlineStr">
        <is>
          <t>エスト見積 6330560-1 硬質塩化ビニル管 VP 25A</t>
        </is>
      </c>
    </row>
    <row r="18">
      <c r="A18" s="94" t="inlineStr">
        <is>
          <t>配管設備工事</t>
        </is>
      </c>
      <c r="B18" s="94" t="inlineStr">
        <is>
          <t>VVFケーブル（内外連絡線）</t>
        </is>
      </c>
      <c r="C18" s="199" t="inlineStr">
        <is>
          <t>600V VV-F 2.0mm-3C</t>
        </is>
      </c>
      <c r="D18" s="200">
        <f>'内訳書(空調設備工事)'!E43</f>
        <v>25</v>
      </c>
      <c r="E18" s="117" t="inlineStr">
        <is>
          <t>m</t>
        </is>
      </c>
      <c r="F18" s="116">
        <f>'内訳書(空調設備工事)'!G43</f>
        <v>203</v>
      </c>
      <c r="G18" s="201">
        <f>'内訳書(空調設備工事)'!H43</f>
        <v>5075</v>
      </c>
      <c r="H18" s="120" t="inlineStr">
        <is>
          <t>エスト見積</t>
        </is>
      </c>
      <c r="I18" s="143" t="n"/>
      <c r="J18" s="124" t="inlineStr">
        <is>
          <t>エスト見積 6330560-1 VVF 2.0mm-3C</t>
        </is>
      </c>
    </row>
    <row r="19">
      <c r="A19" s="94" t="inlineStr">
        <is>
          <t>配管設備工事</t>
        </is>
      </c>
      <c r="B19" s="94" t="inlineStr">
        <is>
          <t>樹脂製化粧カバー</t>
        </is>
      </c>
      <c r="C19" s="199" t="inlineStr">
        <is>
          <t>9.52+15.88 屋外（AC-1）</t>
        </is>
      </c>
      <c r="D19" s="200">
        <f>'内訳書(空調設備工事)'!E48</f>
        <v>2</v>
      </c>
      <c r="E19" s="117" t="inlineStr">
        <is>
          <t>m</t>
        </is>
      </c>
      <c r="F19" s="116">
        <f>'内訳書(空調設備工事)'!G48</f>
        <v>5525</v>
      </c>
      <c r="G19" s="201">
        <f>'内訳書(空調設備工事)'!H48</f>
        <v>11050</v>
      </c>
      <c r="H19" s="120" t="inlineStr">
        <is>
          <t>エスト見積</t>
        </is>
      </c>
      <c r="I19" s="143" t="n"/>
      <c r="J19" s="124" t="inlineStr">
        <is>
          <t>エスト見積 6330560-1 樹脂製化粧カバー（9.52+15.88 用と推定）</t>
        </is>
      </c>
    </row>
    <row r="20">
      <c r="A20" s="94" t="inlineStr">
        <is>
          <t>配管設備工事</t>
        </is>
      </c>
      <c r="B20" s="94" t="inlineStr">
        <is>
          <t>樹脂製化粧カバー</t>
        </is>
      </c>
      <c r="C20" s="199" t="inlineStr">
        <is>
          <t>6.35+9.52 屋外（AC-2・3）</t>
        </is>
      </c>
      <c r="D20" s="200">
        <f>'内訳書(空調設備工事)'!E49</f>
        <v>6</v>
      </c>
      <c r="E20" s="117" t="inlineStr">
        <is>
          <t>m</t>
        </is>
      </c>
      <c r="F20" s="116">
        <f>'内訳書(空調設備工事)'!G49</f>
        <v>4225</v>
      </c>
      <c r="G20" s="201">
        <f>'内訳書(空調設備工事)'!H49</f>
        <v>25350</v>
      </c>
      <c r="H20" s="120" t="inlineStr">
        <is>
          <t>エスト見積</t>
        </is>
      </c>
      <c r="I20" s="143" t="n"/>
      <c r="J20" s="124" t="inlineStr">
        <is>
          <t>エスト見積 6330560-1 樹脂製化粧カバー（6.35+9.52 用と推定）</t>
        </is>
      </c>
    </row>
    <row r="21">
      <c r="A21" s="94" t="inlineStr">
        <is>
          <t>配管設備工事</t>
        </is>
      </c>
      <c r="B21" s="94" t="inlineStr">
        <is>
          <t>排水VP保温 GW20mm+ALGC</t>
        </is>
      </c>
      <c r="C21" s="199" t="inlineStr">
        <is>
          <t>屋内隠蔽 25A</t>
        </is>
      </c>
      <c r="D21" s="200">
        <f>'内訳書(空調設備工事)'!E50</f>
        <v>2</v>
      </c>
      <c r="E21" s="117" t="inlineStr">
        <is>
          <t>m</t>
        </is>
      </c>
      <c r="F21" s="116">
        <f>'内訳書(空調設備工事)'!G50</f>
        <v>2563</v>
      </c>
      <c r="G21" s="201">
        <f>'内訳書(空調設備工事)'!H50</f>
        <v>5126</v>
      </c>
      <c r="H21" s="120" t="inlineStr">
        <is>
          <t>エスト見積</t>
        </is>
      </c>
      <c r="I21" s="143" t="n"/>
      <c r="J21" s="124" t="inlineStr">
        <is>
          <t>エスト見積 6330560-1 排水VP 屋内隠蔽 GW20mm+アルミガラスクロス（25A と推定）</t>
        </is>
      </c>
    </row>
    <row r="22">
      <c r="A22" s="94" t="inlineStr">
        <is>
          <t>配管設備工事</t>
        </is>
      </c>
      <c r="B22" s="94" t="inlineStr">
        <is>
          <t>スリーブインサート費</t>
        </is>
      </c>
      <c r="C22" s="199" t="inlineStr">
        <is>
          <t>外壁貫通 穴あけ・シーリング</t>
        </is>
      </c>
      <c r="D22" s="200">
        <f>'内訳書(空調設備工事)'!E52</f>
        <v>5</v>
      </c>
      <c r="E22" s="117" t="inlineStr">
        <is>
          <t>箇所</t>
        </is>
      </c>
      <c r="F22" s="116">
        <f>'内訳書(空調設備工事)'!G52</f>
        <v>12500</v>
      </c>
      <c r="G22" s="201">
        <f>'内訳書(空調設備工事)'!H52</f>
        <v>62500</v>
      </c>
      <c r="H22" s="120" t="inlineStr">
        <is>
          <t>推定（要確認）</t>
        </is>
      </c>
      <c r="I22" s="202" t="inlineStr">
        <is>
          <t>単価要確認（推定）</t>
        </is>
      </c>
      <c r="J22" s="124" t="inlineStr">
        <is>
          <t>按分: エスト見積 6330560-1 スリーブインサート費 50,000円／外壁貫通4箇所</t>
        </is>
      </c>
    </row>
    <row r="23">
      <c r="A23" s="94" t="inlineStr">
        <is>
          <t>配管設備工事</t>
        </is>
      </c>
      <c r="B23" s="94" t="inlineStr">
        <is>
          <t>気密テスト費</t>
        </is>
      </c>
      <c r="C23" s="199" t="inlineStr">
        <is>
          <t>SA</t>
        </is>
      </c>
      <c r="D23" s="200">
        <f>'内訳書(空調設備工事)'!E53</f>
        <v>2</v>
      </c>
      <c r="E23" s="117" t="inlineStr">
        <is>
          <t>系統</t>
        </is>
      </c>
      <c r="F23" s="116">
        <f>'内訳書(空調設備工事)'!G53</f>
        <v>12500</v>
      </c>
      <c r="G23" s="201">
        <f>'内訳書(空調設備工事)'!H53</f>
        <v>25000</v>
      </c>
      <c r="H23" s="120" t="inlineStr">
        <is>
          <t>エスト見積</t>
        </is>
      </c>
      <c r="I23" s="143" t="n"/>
      <c r="J23" s="124" t="inlineStr">
        <is>
          <t>エスト見積 6330560-1 気密テスト費 SA</t>
        </is>
      </c>
    </row>
    <row r="24">
      <c r="A24" s="94" t="inlineStr">
        <is>
          <t>配管設備工事</t>
        </is>
      </c>
      <c r="B24" s="94" t="inlineStr">
        <is>
          <t>気密テスト費</t>
        </is>
      </c>
      <c r="C24" s="199" t="inlineStr">
        <is>
          <t>RA</t>
        </is>
      </c>
      <c r="D24" s="200">
        <f>'内訳書(空調設備工事)'!E54</f>
        <v>3</v>
      </c>
      <c r="E24" s="117" t="inlineStr">
        <is>
          <t>系統</t>
        </is>
      </c>
      <c r="F24" s="116">
        <f>'内訳書(空調設備工事)'!G54</f>
        <v>10000</v>
      </c>
      <c r="G24" s="201">
        <f>'内訳書(空調設備工事)'!H54</f>
        <v>30000</v>
      </c>
      <c r="H24" s="120" t="inlineStr">
        <is>
          <t>エスト見積</t>
        </is>
      </c>
      <c r="I24" s="143" t="n"/>
      <c r="J24" s="124" t="inlineStr">
        <is>
          <t>エスト見積 6330560-1 気密テスト費 RA</t>
        </is>
      </c>
    </row>
    <row r="25">
      <c r="A25" s="94" t="inlineStr">
        <is>
          <t>配管設備工事</t>
        </is>
      </c>
      <c r="B25" s="94" t="inlineStr">
        <is>
          <t>真空引き・ガス充填</t>
        </is>
      </c>
      <c r="C25" s="199" t="inlineStr">
        <is>
          <t>SA（基本料金）</t>
        </is>
      </c>
      <c r="D25" s="200">
        <f>'内訳書(空調設備工事)'!E55</f>
        <v>2</v>
      </c>
      <c r="E25" s="117" t="inlineStr">
        <is>
          <t>系統</t>
        </is>
      </c>
      <c r="F25" s="116">
        <f>'内訳書(空調設備工事)'!G55</f>
        <v>2500</v>
      </c>
      <c r="G25" s="201">
        <f>'内訳書(空調設備工事)'!H55</f>
        <v>5000</v>
      </c>
      <c r="H25" s="120" t="inlineStr">
        <is>
          <t>エスト見積</t>
        </is>
      </c>
      <c r="I25" s="143" t="n"/>
      <c r="J25" s="124" t="inlineStr">
        <is>
          <t>エスト見積 6330560-1 真空引き・ガス充填 SA（基本料金）</t>
        </is>
      </c>
    </row>
    <row r="26">
      <c r="A26" s="94" t="inlineStr">
        <is>
          <t>配管設備工事</t>
        </is>
      </c>
      <c r="B26" s="94" t="inlineStr">
        <is>
          <t>真空引き・ガス充填</t>
        </is>
      </c>
      <c r="C26" s="199" t="inlineStr">
        <is>
          <t>RA（基本料金）</t>
        </is>
      </c>
      <c r="D26" s="200">
        <f>'内訳書(空調設備工事)'!E56</f>
        <v>3</v>
      </c>
      <c r="E26" s="117" t="inlineStr">
        <is>
          <t>系統</t>
        </is>
      </c>
      <c r="F26" s="116">
        <f>'内訳書(空調設備工事)'!G56</f>
        <v>1880</v>
      </c>
      <c r="G26" s="201">
        <f>'内訳書(空調設備工事)'!H56</f>
        <v>5640</v>
      </c>
      <c r="H26" s="120" t="inlineStr">
        <is>
          <t>エスト見積</t>
        </is>
      </c>
      <c r="I26" s="143" t="n"/>
      <c r="J26" s="124" t="inlineStr">
        <is>
          <t>エスト見積 6330560-1 真空引き・ガス充填 RA（基本料金）</t>
        </is>
      </c>
    </row>
    <row r="27">
      <c r="A27" s="94" t="inlineStr">
        <is>
          <t>換気設備機器</t>
        </is>
      </c>
      <c r="B27" s="94" t="inlineStr">
        <is>
          <t>EF-1 パイプ用ファン</t>
        </is>
      </c>
      <c r="C27" s="199" t="inlineStr">
        <is>
          <t>V-08PP8-BL（三菱）φ100 BL品</t>
        </is>
      </c>
      <c r="D27" s="200">
        <f>'内訳書(空調設備工事)'!E64</f>
        <v>3</v>
      </c>
      <c r="E27" s="117" t="inlineStr">
        <is>
          <t>台</t>
        </is>
      </c>
      <c r="F27" s="116">
        <f>'内訳書(空調設備工事)'!G64</f>
        <v>4920</v>
      </c>
      <c r="G27" s="201">
        <f>'内訳書(空調設備工事)'!H64</f>
        <v>14760</v>
      </c>
      <c r="H27" s="120" t="inlineStr">
        <is>
          <t>原価基準（仕入率）</t>
        </is>
      </c>
      <c r="I27" s="143" t="n"/>
      <c r="J27" s="124" t="inlineStr">
        <is>
          <t>原価基準: 定価 12,300円（三菱電機 WIN2K 価格（税別））× 仕入率 0.32（三菱電機 換気機器）＝原価 3,936円 ÷（1－目標粗利率 0.20）</t>
        </is>
      </c>
    </row>
    <row r="28">
      <c r="A28" s="94" t="inlineStr">
        <is>
          <t>換気設備機器</t>
        </is>
      </c>
      <c r="B28" s="94" t="inlineStr">
        <is>
          <t>EF-2 天井埋込形換気扇</t>
        </is>
      </c>
      <c r="C28" s="199" t="inlineStr">
        <is>
          <t>VD-18ZC14（三菱）φ150 排煙用</t>
        </is>
      </c>
      <c r="D28" s="200">
        <f>'内訳書(空調設備工事)'!E66</f>
        <v>5</v>
      </c>
      <c r="E28" s="117" t="inlineStr">
        <is>
          <t>台</t>
        </is>
      </c>
      <c r="F28" s="116">
        <f>'内訳書(空調設備工事)'!G66</f>
        <v>15920</v>
      </c>
      <c r="G28" s="201">
        <f>'内訳書(空調設備工事)'!H66</f>
        <v>79600</v>
      </c>
      <c r="H28" s="120" t="inlineStr">
        <is>
          <t>原価基準（仕入率）</t>
        </is>
      </c>
      <c r="I28" s="143" t="n"/>
      <c r="J28" s="124" t="inlineStr">
        <is>
          <t>原価基準: 定価 39,800円（販売店掲載の参考基準価格（税別））× 仕入率 0.32（三菱電機 換気機器）＝原価 12,736円 ÷（1－目標粗利率 0.20）</t>
        </is>
      </c>
    </row>
    <row r="29">
      <c r="A29" s="94" t="inlineStr">
        <is>
          <t>換気設備機器</t>
        </is>
      </c>
      <c r="B29" s="94" t="inlineStr">
        <is>
          <t>EF-3 天井埋込形換気扇</t>
        </is>
      </c>
      <c r="C29" s="199" t="inlineStr">
        <is>
          <t>VD-15ZC14（三菱）φ100 台所</t>
        </is>
      </c>
      <c r="D29" s="200">
        <f>'内訳書(空調設備工事)'!E67</f>
        <v>1</v>
      </c>
      <c r="E29" s="117" t="inlineStr">
        <is>
          <t>台</t>
        </is>
      </c>
      <c r="F29" s="116">
        <f>'内訳書(空調設備工事)'!G67</f>
        <v>10080</v>
      </c>
      <c r="G29" s="201">
        <f>'内訳書(空調設備工事)'!H67</f>
        <v>10080</v>
      </c>
      <c r="H29" s="120" t="inlineStr">
        <is>
          <t>原価基準（仕入率）</t>
        </is>
      </c>
      <c r="I29" s="143" t="n"/>
      <c r="J29" s="124" t="inlineStr">
        <is>
          <t>原価基準: 定価 25,200円（販売店掲載の参考基準価格（税別））× 仕入率 0.32（三菱電機 換気機器）＝原価 8,064円 ÷（1－目標粗利率 0.20）</t>
        </is>
      </c>
    </row>
    <row r="30">
      <c r="A30" s="94" t="inlineStr">
        <is>
          <t>換気設備機器</t>
        </is>
      </c>
      <c r="B30" s="94" t="inlineStr">
        <is>
          <t>EF-4 天井埋込形換気扇</t>
        </is>
      </c>
      <c r="C30" s="199" t="inlineStr">
        <is>
          <t>VD-10ZC14（三菱）φ100</t>
        </is>
      </c>
      <c r="D30" s="200">
        <f>'内訳書(空調設備工事)'!E68</f>
        <v>1</v>
      </c>
      <c r="E30" s="117" t="inlineStr">
        <is>
          <t>台</t>
        </is>
      </c>
      <c r="F30" s="116">
        <f>'内訳書(空調設備工事)'!G68</f>
        <v>8280</v>
      </c>
      <c r="G30" s="201">
        <f>'内訳書(空調設備工事)'!H68</f>
        <v>8280</v>
      </c>
      <c r="H30" s="120" t="inlineStr">
        <is>
          <t>原価基準（仕入率）</t>
        </is>
      </c>
      <c r="I30" s="143" t="n"/>
      <c r="J30" s="124" t="inlineStr">
        <is>
          <t>原価基準: 定価 20,700円（販売店掲載の参考基準価格（税別））× 仕入率 0.32（三菱電機 換気機器）＝原価 6,624円 ÷（1－目標粗利率 0.20）</t>
        </is>
      </c>
    </row>
    <row r="31">
      <c r="A31" s="94" t="inlineStr">
        <is>
          <t>換気設備機器</t>
        </is>
      </c>
      <c r="B31" s="94" t="inlineStr">
        <is>
          <t>SA-1 給排気グリル</t>
        </is>
      </c>
      <c r="C31" s="199" t="inlineStr">
        <is>
          <t>P-23GHF5（三菱）φ200 フィルター付</t>
        </is>
      </c>
      <c r="D31" s="200">
        <f>'内訳書(空調設備工事)'!E70</f>
        <v>4</v>
      </c>
      <c r="E31" s="117" t="inlineStr">
        <is>
          <t>個</t>
        </is>
      </c>
      <c r="F31" s="116">
        <f>'内訳書(空調設備工事)'!G70</f>
        <v>4360</v>
      </c>
      <c r="G31" s="201">
        <f>'内訳書(空調設備工事)'!H70</f>
        <v>17440</v>
      </c>
      <c r="H31" s="120" t="inlineStr">
        <is>
          <t>原価基準（仕入率）</t>
        </is>
      </c>
      <c r="I31" s="143" t="n"/>
      <c r="J31" s="124" t="inlineStr">
        <is>
          <t>原価基準: 定価 10,900円（三菱電機 WIN2K 価格（税別））× 仕入率 0.32（三菱電機 換気機器）＝原価 3,488円 ÷（1－目標粗利率 0.20）</t>
        </is>
      </c>
    </row>
    <row r="32">
      <c r="A32" s="94" t="inlineStr">
        <is>
          <t>換気設備機器</t>
        </is>
      </c>
      <c r="B32" s="94" t="inlineStr">
        <is>
          <t>SA-2 給排気グリル</t>
        </is>
      </c>
      <c r="C32" s="199" t="inlineStr">
        <is>
          <t>P-18GHF5（三菱）φ150 フィルター付</t>
        </is>
      </c>
      <c r="D32" s="200">
        <f>'内訳書(空調設備工事)'!E71</f>
        <v>1</v>
      </c>
      <c r="E32" s="117" t="inlineStr">
        <is>
          <t>個</t>
        </is>
      </c>
      <c r="F32" s="116">
        <f>'内訳書(空調設備工事)'!G71</f>
        <v>2400</v>
      </c>
      <c r="G32" s="201">
        <f>'内訳書(空調設備工事)'!H71</f>
        <v>2400</v>
      </c>
      <c r="H32" s="120" t="inlineStr">
        <is>
          <t>原価基準（仕入率）</t>
        </is>
      </c>
      <c r="I32" s="143" t="n"/>
      <c r="J32" s="124" t="inlineStr">
        <is>
          <t>原価基準: 定価 6,000円（販売店掲載の参考基準価格（税別））× 仕入率 0.32（三菱電機 換気機器）＝原価 1,920円 ÷（1－目標粗利率 0.20）</t>
        </is>
      </c>
    </row>
    <row r="33">
      <c r="A33" s="94" t="inlineStr">
        <is>
          <t>換気設備機器</t>
        </is>
      </c>
      <c r="B33" s="94" t="inlineStr">
        <is>
          <t>SA-3 給排気グリル</t>
        </is>
      </c>
      <c r="C33" s="199" t="inlineStr">
        <is>
          <t>P-13GHF5（三菱）φ100 フィルター付</t>
        </is>
      </c>
      <c r="D33" s="200">
        <f>'内訳書(空調設備工事)'!E72</f>
        <v>3</v>
      </c>
      <c r="E33" s="117" t="inlineStr">
        <is>
          <t>個</t>
        </is>
      </c>
      <c r="F33" s="116">
        <f>'内訳書(空調設備工事)'!G72</f>
        <v>1840</v>
      </c>
      <c r="G33" s="201">
        <f>'内訳書(空調設備工事)'!H72</f>
        <v>5520</v>
      </c>
      <c r="H33" s="120" t="inlineStr">
        <is>
          <t>原価基準（仕入率）</t>
        </is>
      </c>
      <c r="I33" s="143" t="n"/>
      <c r="J33" s="124" t="inlineStr">
        <is>
          <t>原価基準: 定価 4,600円（販売店掲載の参考基準価格（税別）（税込5,060円））× 仕入率 0.32（三菱電機 換気機器）＝原価 1,472円 ÷（1－目標粗利率 0.20）</t>
        </is>
      </c>
    </row>
    <row r="34">
      <c r="A34" s="94" t="inlineStr">
        <is>
          <t>換気設備機器</t>
        </is>
      </c>
      <c r="B34" s="94" t="inlineStr">
        <is>
          <t>深形フード</t>
        </is>
      </c>
      <c r="C34" s="199" t="inlineStr">
        <is>
          <t>P-13VSQ4（三菱）φ100 SUS 防虫網付</t>
        </is>
      </c>
      <c r="D34" s="200">
        <f>'内訳書(空調設備工事)'!E74</f>
        <v>8</v>
      </c>
      <c r="E34" s="117" t="inlineStr">
        <is>
          <t>個</t>
        </is>
      </c>
      <c r="F34" s="116">
        <f>'内訳書(空調設備工事)'!G74</f>
        <v>4200</v>
      </c>
      <c r="G34" s="201">
        <f>'内訳書(空調設備工事)'!H74</f>
        <v>33600</v>
      </c>
      <c r="H34" s="120" t="inlineStr">
        <is>
          <t>原価基準（仕入率）</t>
        </is>
      </c>
      <c r="I34" s="143" t="n"/>
      <c r="J34" s="124" t="inlineStr">
        <is>
          <t>原価基準: 定価 10,500円（販売店掲載の参考基準価格（税別））× 仕入率 0.32（三菱電機 換気機器）＝原価 3,360円 ÷（1－目標粗利率 0.20）</t>
        </is>
      </c>
    </row>
    <row r="35">
      <c r="A35" s="94" t="inlineStr">
        <is>
          <t>換気設備機器</t>
        </is>
      </c>
      <c r="B35" s="94" t="inlineStr">
        <is>
          <t>深形フード</t>
        </is>
      </c>
      <c r="C35" s="199" t="inlineStr">
        <is>
          <t>P-18VSQ4（三菱）φ150 SUS 防虫網付</t>
        </is>
      </c>
      <c r="D35" s="200">
        <f>'内訳書(空調設備工事)'!E75</f>
        <v>6</v>
      </c>
      <c r="E35" s="117" t="inlineStr">
        <is>
          <t>個</t>
        </is>
      </c>
      <c r="F35" s="116">
        <f>'内訳書(空調設備工事)'!G75</f>
        <v>5320</v>
      </c>
      <c r="G35" s="201">
        <f>'内訳書(空調設備工事)'!H75</f>
        <v>31920</v>
      </c>
      <c r="H35" s="120" t="inlineStr">
        <is>
          <t>原価基準（仕入率）</t>
        </is>
      </c>
      <c r="I35" s="143" t="n"/>
      <c r="J35" s="124" t="inlineStr">
        <is>
          <t>原価基準: 定価 13,300円（三菱電機 WIN2K 価格（税別））× 仕入率 0.32（三菱電機 換気機器）＝原価 4,256円 ÷（1－目標粗利率 0.20）</t>
        </is>
      </c>
    </row>
    <row r="36">
      <c r="A36" s="94" t="inlineStr">
        <is>
          <t>換気設備機器</t>
        </is>
      </c>
      <c r="B36" s="94" t="inlineStr">
        <is>
          <t>深形フード</t>
        </is>
      </c>
      <c r="C36" s="199" t="inlineStr">
        <is>
          <t>P-23VSQ4（三菱）φ200 SUS 防虫網付</t>
        </is>
      </c>
      <c r="D36" s="200">
        <f>'内訳書(空調設備工事)'!E76</f>
        <v>4</v>
      </c>
      <c r="E36" s="117" t="inlineStr">
        <is>
          <t>個</t>
        </is>
      </c>
      <c r="F36" s="116">
        <f>'内訳書(空調設備工事)'!G76</f>
        <v>13360</v>
      </c>
      <c r="G36" s="201">
        <f>'内訳書(空調設備工事)'!H76</f>
        <v>53440</v>
      </c>
      <c r="H36" s="120" t="inlineStr">
        <is>
          <t>原価基準（仕入率）</t>
        </is>
      </c>
      <c r="I36" s="143" t="n"/>
      <c r="J36" s="124" t="inlineStr">
        <is>
          <t>原価基準: 定価 33,400円（販売店掲載の参考基準価格（税別））× 仕入率 0.32（三菱電機 換気機器）＝原価 10,688円 ÷（1－目標粗利率 0.20）</t>
        </is>
      </c>
    </row>
    <row r="37">
      <c r="A37" s="94" t="inlineStr">
        <is>
          <t>換気設備工事</t>
        </is>
      </c>
      <c r="B37" s="94" t="inlineStr">
        <is>
          <t>パイプ用ファン取付</t>
        </is>
      </c>
      <c r="C37" s="199" t="inlineStr">
        <is>
          <t>V-08PP8-BL 外壁付け（VU100共）</t>
        </is>
      </c>
      <c r="D37" s="200">
        <f>'内訳書(空調設備工事)'!E81</f>
        <v>3</v>
      </c>
      <c r="E37" s="117" t="inlineStr">
        <is>
          <t>台</t>
        </is>
      </c>
      <c r="F37" s="116">
        <f>'内訳書(空調設備工事)'!G81</f>
        <v>9400</v>
      </c>
      <c r="G37" s="201">
        <f>'内訳書(空調設備工事)'!H81</f>
        <v>28200</v>
      </c>
      <c r="H37" s="120" t="inlineStr">
        <is>
          <t>当社単価（要確認）</t>
        </is>
      </c>
      <c r="I37" s="202" t="inlineStr">
        <is>
          <t>単価要確認</t>
        </is>
      </c>
      <c r="J37" s="124" t="inlineStr">
        <is>
          <t>当社単価: 材料800（VU100・ビス）＋0.35人工（エストに単価なし）</t>
        </is>
      </c>
    </row>
    <row r="38">
      <c r="A38" s="94" t="inlineStr">
        <is>
          <t>換気設備工事</t>
        </is>
      </c>
      <c r="B38" s="94" t="inlineStr">
        <is>
          <t>天井埋込形換気扇取付</t>
        </is>
      </c>
      <c r="C38" s="199" t="inlineStr">
        <is>
          <t>VD-18ZC14（吊ボルト共）</t>
        </is>
      </c>
      <c r="D38" s="200">
        <f>'内訳書(空調設備工事)'!E82</f>
        <v>5</v>
      </c>
      <c r="E38" s="117" t="inlineStr">
        <is>
          <t>台</t>
        </is>
      </c>
      <c r="F38" s="116">
        <f>'内訳書(空調設備工事)'!G82</f>
        <v>15300</v>
      </c>
      <c r="G38" s="201">
        <f>'内訳書(空調設備工事)'!H82</f>
        <v>76500</v>
      </c>
      <c r="H38" s="120" t="inlineStr">
        <is>
          <t>当社単価（要確認）</t>
        </is>
      </c>
      <c r="I38" s="202" t="inlineStr">
        <is>
          <t>単価要確認</t>
        </is>
      </c>
      <c r="J38" s="124" t="inlineStr">
        <is>
          <t>当社単価: 材料800（吊ボルト・振れ止め）＋0.6人工（エストに単価なし）</t>
        </is>
      </c>
    </row>
    <row r="39">
      <c r="A39" s="94" t="inlineStr">
        <is>
          <t>換気設備工事</t>
        </is>
      </c>
      <c r="B39" s="94" t="inlineStr">
        <is>
          <t>天井埋込形換気扇取付</t>
        </is>
      </c>
      <c r="C39" s="199" t="inlineStr">
        <is>
          <t>VD-15ZC14・VD-10ZC14</t>
        </is>
      </c>
      <c r="D39" s="200">
        <f>'内訳書(空調設備工事)'!E83</f>
        <v>2</v>
      </c>
      <c r="E39" s="117" t="inlineStr">
        <is>
          <t>台</t>
        </is>
      </c>
      <c r="F39" s="116">
        <f>'内訳書(空調設備工事)'!G83</f>
        <v>11400</v>
      </c>
      <c r="G39" s="201">
        <f>'内訳書(空調設備工事)'!H83</f>
        <v>22800</v>
      </c>
      <c r="H39" s="120" t="inlineStr">
        <is>
          <t>当社単価（要確認）</t>
        </is>
      </c>
      <c r="I39" s="202" t="inlineStr">
        <is>
          <t>単価要確認</t>
        </is>
      </c>
      <c r="J39" s="124" t="inlineStr">
        <is>
          <t>当社単価: 材料500＋0.45人工（エストに単価なし）</t>
        </is>
      </c>
    </row>
    <row r="40">
      <c r="A40" s="94" t="inlineStr">
        <is>
          <t>換気設備工事</t>
        </is>
      </c>
      <c r="B40" s="94" t="inlineStr">
        <is>
          <t>給排気グリル取付</t>
        </is>
      </c>
      <c r="C40" s="199" t="inlineStr">
        <is>
          <t>φ100〜φ200 ダクト接続共</t>
        </is>
      </c>
      <c r="D40" s="200">
        <f>'内訳書(空調設備工事)'!E84</f>
        <v>8</v>
      </c>
      <c r="E40" s="117" t="inlineStr">
        <is>
          <t>個</t>
        </is>
      </c>
      <c r="F40" s="116">
        <f>'内訳書(空調設備工事)'!G84</f>
        <v>6400</v>
      </c>
      <c r="G40" s="201">
        <f>'内訳書(空調設備工事)'!H84</f>
        <v>51200</v>
      </c>
      <c r="H40" s="120" t="inlineStr">
        <is>
          <t>当社単価（要確認）</t>
        </is>
      </c>
      <c r="I40" s="202" t="inlineStr">
        <is>
          <t>単価要確認</t>
        </is>
      </c>
      <c r="J40" s="124" t="inlineStr">
        <is>
          <t>当社単価: 材料300＋0.25人工（エストに単価なし）</t>
        </is>
      </c>
    </row>
    <row r="41">
      <c r="A41" s="94" t="inlineStr">
        <is>
          <t>換気設備工事</t>
        </is>
      </c>
      <c r="B41" s="94" t="inlineStr">
        <is>
          <t>屋外フード取付</t>
        </is>
      </c>
      <c r="C41" s="199" t="inlineStr">
        <is>
          <t>深形フード φ100〜φ200</t>
        </is>
      </c>
      <c r="D41" s="200">
        <f>'内訳書(空調設備工事)'!E85</f>
        <v>18</v>
      </c>
      <c r="E41" s="117" t="inlineStr">
        <is>
          <t>個</t>
        </is>
      </c>
      <c r="F41" s="116">
        <f>'内訳書(空調設備工事)'!G85</f>
        <v>4000</v>
      </c>
      <c r="G41" s="201">
        <f>'内訳書(空調設備工事)'!H85</f>
        <v>72000</v>
      </c>
      <c r="H41" s="120" t="inlineStr">
        <is>
          <t>当社単価（要確認）</t>
        </is>
      </c>
      <c r="I41" s="202" t="inlineStr">
        <is>
          <t>単価要確認</t>
        </is>
      </c>
      <c r="J41" s="124" t="inlineStr">
        <is>
          <t>当社単価: 材料300＋0.15人工（エストに単価なし）</t>
        </is>
      </c>
    </row>
    <row r="42">
      <c r="A42" s="94" t="inlineStr">
        <is>
          <t>換気設備工事</t>
        </is>
      </c>
      <c r="B42" s="94" t="inlineStr">
        <is>
          <t>スパイラルダクト</t>
        </is>
      </c>
      <c r="C42" s="199" t="inlineStr">
        <is>
          <t>φ100 継手・支持金物共</t>
        </is>
      </c>
      <c r="D42" s="200">
        <f>'内訳書(空調設備工事)'!E87</f>
        <v>7</v>
      </c>
      <c r="E42" s="117" t="inlineStr">
        <is>
          <t>m</t>
        </is>
      </c>
      <c r="F42" s="116">
        <f>'内訳書(空調設備工事)'!G87</f>
        <v>4100</v>
      </c>
      <c r="G42" s="201">
        <f>'内訳書(空調設備工事)'!H87</f>
        <v>28700</v>
      </c>
      <c r="H42" s="120" t="inlineStr">
        <is>
          <t>当社単価（要確認）</t>
        </is>
      </c>
      <c r="I42" s="202" t="inlineStr">
        <is>
          <t>単価要確認</t>
        </is>
      </c>
      <c r="J42" s="124" t="inlineStr">
        <is>
          <t>当社単価: 材料1,000＋0.12人工/m（三矢寮 当社想定）（エストに単価なし）</t>
        </is>
      </c>
    </row>
    <row r="43">
      <c r="A43" s="94" t="inlineStr">
        <is>
          <t>換気設備工事</t>
        </is>
      </c>
      <c r="B43" s="94" t="inlineStr">
        <is>
          <t>スパイラルダクト</t>
        </is>
      </c>
      <c r="C43" s="199" t="inlineStr">
        <is>
          <t>φ150 継手・支持金物共</t>
        </is>
      </c>
      <c r="D43" s="200">
        <f>'内訳書(空調設備工事)'!E88</f>
        <v>22</v>
      </c>
      <c r="E43" s="117" t="inlineStr">
        <is>
          <t>m</t>
        </is>
      </c>
      <c r="F43" s="116">
        <f>'内訳書(空調設備工事)'!G88</f>
        <v>5100</v>
      </c>
      <c r="G43" s="201">
        <f>'内訳書(空調設備工事)'!H88</f>
        <v>112200</v>
      </c>
      <c r="H43" s="120" t="inlineStr">
        <is>
          <t>当社単価（要確認）</t>
        </is>
      </c>
      <c r="I43" s="202" t="inlineStr">
        <is>
          <t>単価要確認</t>
        </is>
      </c>
      <c r="J43" s="124" t="inlineStr">
        <is>
          <t>当社単価: 材料1,400＋0.14人工/m（同）（エストに単価なし）</t>
        </is>
      </c>
    </row>
    <row r="44">
      <c r="A44" s="94" t="inlineStr">
        <is>
          <t>換気設備工事</t>
        </is>
      </c>
      <c r="B44" s="94" t="inlineStr">
        <is>
          <t>スパイラルダクト</t>
        </is>
      </c>
      <c r="C44" s="199" t="inlineStr">
        <is>
          <t>φ200 継手・支持金物共</t>
        </is>
      </c>
      <c r="D44" s="200">
        <f>'内訳書(空調設備工事)'!E89</f>
        <v>12</v>
      </c>
      <c r="E44" s="117" t="inlineStr">
        <is>
          <t>m</t>
        </is>
      </c>
      <c r="F44" s="116">
        <f>'内訳書(空調設備工事)'!G89</f>
        <v>6200</v>
      </c>
      <c r="G44" s="201">
        <f>'内訳書(空調設備工事)'!H89</f>
        <v>74400</v>
      </c>
      <c r="H44" s="120" t="inlineStr">
        <is>
          <t>当社単価（要確認）</t>
        </is>
      </c>
      <c r="I44" s="202" t="inlineStr">
        <is>
          <t>単価要確認</t>
        </is>
      </c>
      <c r="J44" s="124" t="inlineStr">
        <is>
          <t>当社単価: 材料1,900＋0.16人工/m（同）（エストに単価なし）</t>
        </is>
      </c>
    </row>
    <row r="45">
      <c r="A45" s="94" t="inlineStr">
        <is>
          <t>換気設備工事</t>
        </is>
      </c>
      <c r="B45" s="94" t="inlineStr">
        <is>
          <t>ダクト保温</t>
        </is>
      </c>
      <c r="C45" s="199" t="inlineStr">
        <is>
          <t>GW25＋ALGC 外気導入ダクト</t>
        </is>
      </c>
      <c r="D45" s="200">
        <f>'内訳書(空調設備工事)'!E90</f>
        <v>18</v>
      </c>
      <c r="E45" s="117" t="inlineStr">
        <is>
          <t>m</t>
        </is>
      </c>
      <c r="F45" s="116">
        <f>'内訳書(空調設備工事)'!G90</f>
        <v>3300</v>
      </c>
      <c r="G45" s="201">
        <f>'内訳書(空調設備工事)'!H90</f>
        <v>59400</v>
      </c>
      <c r="H45" s="120" t="inlineStr">
        <is>
          <t>当社単価（要確認）</t>
        </is>
      </c>
      <c r="I45" s="202" t="inlineStr">
        <is>
          <t>単価要確認</t>
        </is>
      </c>
      <c r="J45" s="124" t="inlineStr">
        <is>
          <t>当社単価: 材料1,100＋0.08人工/m（同）（エストに単価なし）</t>
        </is>
      </c>
    </row>
    <row r="46">
      <c r="A46" s="94" t="inlineStr">
        <is>
          <t>換気設備工事</t>
        </is>
      </c>
      <c r="B46" s="94" t="inlineStr">
        <is>
          <t>外壁貫通処理</t>
        </is>
      </c>
      <c r="C46" s="199" t="inlineStr">
        <is>
          <t>φ100 穴あけ・防水処理</t>
        </is>
      </c>
      <c r="D46" s="200">
        <f>'内訳書(空調設備工事)'!E92</f>
        <v>8</v>
      </c>
      <c r="E46" s="117" t="inlineStr">
        <is>
          <t>箇所</t>
        </is>
      </c>
      <c r="F46" s="116">
        <f>'内訳書(空調設備工事)'!G92</f>
        <v>7000</v>
      </c>
      <c r="G46" s="201">
        <f>'内訳書(空調設備工事)'!H92</f>
        <v>56000</v>
      </c>
      <c r="H46" s="120" t="inlineStr">
        <is>
          <t>当社単価（要確認）</t>
        </is>
      </c>
      <c r="I46" s="202" t="inlineStr">
        <is>
          <t>単価要確認</t>
        </is>
      </c>
      <c r="J46" s="124" t="inlineStr">
        <is>
          <t>当社単価: 材料800＋0.25人工（エストに単価なし）</t>
        </is>
      </c>
    </row>
    <row r="47">
      <c r="A47" s="94" t="inlineStr">
        <is>
          <t>換気設備工事</t>
        </is>
      </c>
      <c r="B47" s="94" t="inlineStr">
        <is>
          <t>外壁貫通処理</t>
        </is>
      </c>
      <c r="C47" s="199" t="inlineStr">
        <is>
          <t>φ150 穴あけ・防水処理</t>
        </is>
      </c>
      <c r="D47" s="200">
        <f>'内訳書(空調設備工事)'!E93</f>
        <v>6</v>
      </c>
      <c r="E47" s="117" t="inlineStr">
        <is>
          <t>箇所</t>
        </is>
      </c>
      <c r="F47" s="116">
        <f>'内訳書(空調設備工事)'!G93</f>
        <v>8400</v>
      </c>
      <c r="G47" s="201">
        <f>'内訳書(空調設備工事)'!H93</f>
        <v>50400</v>
      </c>
      <c r="H47" s="120" t="inlineStr">
        <is>
          <t>当社単価（要確認）</t>
        </is>
      </c>
      <c r="I47" s="202" t="inlineStr">
        <is>
          <t>単価要確認</t>
        </is>
      </c>
      <c r="J47" s="124" t="inlineStr">
        <is>
          <t>当社単価: 材料1,000＋0.30人工（エストに単価なし）</t>
        </is>
      </c>
    </row>
    <row r="48">
      <c r="A48" s="94" t="inlineStr">
        <is>
          <t>換気設備工事</t>
        </is>
      </c>
      <c r="B48" s="94" t="inlineStr">
        <is>
          <t>外壁貫通処理</t>
        </is>
      </c>
      <c r="C48" s="199" t="inlineStr">
        <is>
          <t>φ200 穴あけ・防水処理</t>
        </is>
      </c>
      <c r="D48" s="200">
        <f>'内訳書(空調設備工事)'!E94</f>
        <v>4</v>
      </c>
      <c r="E48" s="117" t="inlineStr">
        <is>
          <t>箇所</t>
        </is>
      </c>
      <c r="F48" s="116">
        <f>'内訳書(空調設備工事)'!G94</f>
        <v>9900</v>
      </c>
      <c r="G48" s="201">
        <f>'内訳書(空調設備工事)'!H94</f>
        <v>39600</v>
      </c>
      <c r="H48" s="120" t="inlineStr">
        <is>
          <t>当社単価（要確認）</t>
        </is>
      </c>
      <c r="I48" s="202" t="inlineStr">
        <is>
          <t>単価要確認</t>
        </is>
      </c>
      <c r="J48" s="124" t="inlineStr">
        <is>
          <t>当社単価: 材料1,200＋0.35人工（エストに単価なし）</t>
        </is>
      </c>
    </row>
    <row r="49">
      <c r="A49" s="203" t="inlineStr">
        <is>
          <t>換気設備工事</t>
        </is>
      </c>
      <c r="B49" s="203" t="inlineStr">
        <is>
          <t>試運転調整費</t>
        </is>
      </c>
      <c r="C49" s="204" t="inlineStr">
        <is>
          <t>風量確認・24時間換気運転確認</t>
        </is>
      </c>
      <c r="D49" s="205">
        <f>'内訳書(空調設備工事)'!E96</f>
        <v>1</v>
      </c>
      <c r="E49" s="128" t="inlineStr">
        <is>
          <t>式</t>
        </is>
      </c>
      <c r="F49" s="127">
        <f>'内訳書(空調設備工事)'!G96</f>
        <v>27500</v>
      </c>
      <c r="G49" s="206">
        <f>'内訳書(空調設備工事)'!H96</f>
        <v>27500</v>
      </c>
      <c r="H49" s="131" t="inlineStr">
        <is>
          <t>当社単価（要確認）</t>
        </is>
      </c>
      <c r="I49" s="207" t="inlineStr">
        <is>
          <t>単価要確認</t>
        </is>
      </c>
      <c r="J49" s="135" t="inlineStr">
        <is>
          <t>当社単価: 材料3,000＋1.0人工（エストに単価なし）</t>
        </is>
      </c>
    </row>
    <row r="51">
      <c r="A51" s="208" t="inlineStr">
        <is>
          <t>エストの計算規則</t>
        </is>
      </c>
    </row>
    <row r="52">
      <c r="A52" s="209" t="inlineStr">
        <is>
          <t>・冷媒管: 継手類30%・消耗品15%・支持金物40%（管金額比）。塩ビ管: 20%・10%・25%</t>
        </is>
      </c>
    </row>
    <row r="53">
      <c r="A53" s="209" t="inlineStr">
        <is>
          <t>・配管工費＝国交省 公共建築工事標準単価積算基準 R8 の歩掛×33,750円/人。電線材料施工費＝0.017人/m×33,600円/人</t>
        </is>
      </c>
    </row>
    <row r="54">
      <c r="A54" s="209" t="inlineStr">
        <is>
          <t>・部門内経費: 空調 3%→4%→8%、配管 3%→5%→10% を順に積上げ（100円未満切上げ）、計を1,000円未満切上げ</t>
        </is>
      </c>
    </row>
    <row r="55">
      <c r="A55" s="209" t="inlineStr">
        <is>
          <t>・工事諸経費＝（空調＋配管）×5%。提出額は出精値引で調整。法定福利費は工事費に内含して表示</t>
        </is>
      </c>
    </row>
    <row r="56">
      <c r="A56" s="209" t="inlineStr">
        <is>
          <t>・当社単価＝原価（材料＋人工×労務原価日額）×1.25 を100円単位で切上げ</t>
        </is>
      </c>
    </row>
    <row r="57">
      <c r="A57" s="209" t="inlineStr">
        <is>
          <t>・機器（１ 空調設備機器・４ 換気設備機器）: 原価＝定価×仕入率（ダイキン業務用0.20・家庭用0.30・三菱電機換気0.32）、提出単価＝原価÷（1－目標粗利率0.20）を10円未満切上げ。部門内経費・工事諸経費の対象外</t>
        </is>
      </c>
    </row>
    <row r="58">
      <c r="A58" s="209" t="inlineStr">
        <is>
          <t>・換気設備工事の部門内経費は、エスト見積に換気部門の規則がないため配管設備工事と同率（3%→5%→10%）を当社設定</t>
        </is>
      </c>
    </row>
    <row r="59">
      <c r="A59" s="209" t="inlineStr">
        <is>
          <t>・工事諸経費＝（空調設備工事＋配管設備工事＋換気設備工事）×5%</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C16"/>
  <sheetViews>
    <sheetView showGridLines="0" tabSelected="0" workbookViewId="0">
      <selection activeCell="A1" sqref="A1"/>
    </sheetView>
  </sheetViews>
  <sheetFormatPr baseColWidth="8" defaultRowHeight="15"/>
  <cols>
    <col width="30" customWidth="1" min="1" max="1"/>
    <col width="34" customWidth="1" min="2" max="2"/>
    <col width="80" customWidth="1" min="3" max="3"/>
  </cols>
  <sheetData>
    <row r="1">
      <c r="A1" s="166" t="inlineStr">
        <is>
          <t>エスト単価マスタ（参考・抜粋）　エスト見積 6330560-1 に単価がない種別はこのマスタの値を採用</t>
        </is>
      </c>
    </row>
    <row r="3">
      <c r="A3" s="198" t="inlineStr">
        <is>
          <t>区分</t>
        </is>
      </c>
      <c r="B3" s="198" t="inlineStr">
        <is>
          <t>種別</t>
        </is>
      </c>
      <c r="C3" s="198" t="inlineStr">
        <is>
          <t>単価（円）</t>
        </is>
      </c>
    </row>
    <row r="4">
      <c r="A4" s="94" t="inlineStr">
        <is>
          <t>基礎工事 スカイエア</t>
        </is>
      </c>
      <c r="B4" s="94" t="inlineStr">
        <is>
          <t>縁石基礎</t>
        </is>
      </c>
      <c r="C4" s="94" t="inlineStr">
        <is>
          <t>P28〜P140 5,000 ／ P160〜P280 8,000</t>
        </is>
      </c>
    </row>
    <row r="5">
      <c r="A5" s="94" t="inlineStr">
        <is>
          <t>基礎工事 スカイエア</t>
        </is>
      </c>
      <c r="B5" s="94" t="inlineStr">
        <is>
          <t>ベタ基礎</t>
        </is>
      </c>
      <c r="C5" s="94" t="inlineStr">
        <is>
          <t>P28〜P56 22,000 ／ P63〜P140 33,000 ／ P160〜P280 39,000</t>
        </is>
      </c>
    </row>
    <row r="6">
      <c r="A6" s="94" t="inlineStr">
        <is>
          <t>搬入据付 スカイエア室内機</t>
        </is>
      </c>
      <c r="B6" s="94" t="inlineStr">
        <is>
          <t>天井埋込カセット形</t>
        </is>
      </c>
      <c r="C6" s="94" t="inlineStr">
        <is>
          <t>P28〜P56 28,000 ／ P63〜P80 28,500 ／ P90〜P160 29,000</t>
        </is>
      </c>
    </row>
    <row r="7">
      <c r="A7" s="94" t="inlineStr">
        <is>
          <t>搬入据付 スカイエア室内機</t>
        </is>
      </c>
      <c r="B7" s="94" t="inlineStr">
        <is>
          <t>天井吊形</t>
        </is>
      </c>
      <c r="C7" s="94" t="inlineStr">
        <is>
          <t>P36〜P56 16,000 ／ P63〜P80 16,500 ／ P90〜P112 17,000 ／ P125〜P160 23,000</t>
        </is>
      </c>
    </row>
    <row r="8">
      <c r="A8" s="94" t="inlineStr">
        <is>
          <t>搬入据付 スカイエア室内機</t>
        </is>
      </c>
      <c r="B8" s="94" t="inlineStr">
        <is>
          <t>壁掛形</t>
        </is>
      </c>
      <c r="C8" s="94" t="inlineStr">
        <is>
          <t>P36〜P56 8,000 ／ P63〜P112 12,000</t>
        </is>
      </c>
    </row>
    <row r="9">
      <c r="A9" s="94" t="inlineStr">
        <is>
          <t>搬入据付 スカイエア室内機</t>
        </is>
      </c>
      <c r="B9" s="94" t="inlineStr">
        <is>
          <t>ダクト形</t>
        </is>
      </c>
      <c r="C9" s="94" t="inlineStr">
        <is>
          <t>P50・P63 16,500 ／ P80 17,000 ／ P112〜P160 23,000</t>
        </is>
      </c>
    </row>
    <row r="10">
      <c r="A10" s="94" t="inlineStr">
        <is>
          <t>搬入据付 スカイエア室外機</t>
        </is>
      </c>
      <c r="B10" s="94" t="inlineStr">
        <is>
          <t>地上設置 ／ 2F設置 ／ 3F設置</t>
        </is>
      </c>
      <c r="C10" s="94" t="inlineStr">
        <is>
          <t>P112 13,000・33,000・48,000 ／ P140 15,000・35,000・50,000</t>
        </is>
      </c>
    </row>
    <row r="11">
      <c r="A11" s="94" t="inlineStr">
        <is>
          <t>搬入据付 ルームエアコン</t>
        </is>
      </c>
      <c r="B11" s="94" t="inlineStr">
        <is>
          <t>室内機 壁掛形 ／ 室外機 地上設置</t>
        </is>
      </c>
      <c r="C11" s="94" t="inlineStr">
        <is>
          <t>P22 5,000 ／ 2,000</t>
        </is>
      </c>
    </row>
    <row r="12">
      <c r="A12" s="94" t="inlineStr">
        <is>
          <t>フレキダクト工事 スカイエア</t>
        </is>
      </c>
      <c r="B12" s="94" t="inlineStr">
        <is>
          <t>5m以下 ／ 追加1m ／ 吹出口1ケ</t>
        </is>
      </c>
      <c r="C12" s="94" t="inlineStr">
        <is>
          <t>21,000 ／ 4,200 ／ 6,000</t>
        </is>
      </c>
    </row>
    <row r="13">
      <c r="A13" s="94" t="inlineStr">
        <is>
          <t>冷媒配管（テープ巻き）新築</t>
        </is>
      </c>
      <c r="B13" s="94" t="inlineStr">
        <is>
          <t>φ6.4/9.5 ／ φ6.4/12.7 ／ φ9.5/15.9</t>
        </is>
      </c>
      <c r="C13" s="94" t="inlineStr">
        <is>
          <t>5m以下 26,000・27,700・29,500 ＋1m追加 5,300・5,600・5,900</t>
        </is>
      </c>
    </row>
    <row r="14">
      <c r="A14" s="94" t="inlineStr">
        <is>
          <t>外装仕上げ スカイダクト</t>
        </is>
      </c>
      <c r="B14" s="94" t="inlineStr">
        <is>
          <t>φ6.4/9.5・φ6.4/12.7 ／ φ9.5/15.9</t>
        </is>
      </c>
      <c r="C14" s="94" t="inlineStr">
        <is>
          <t>5m以下 10,500 ／ 15,800 ＋1m追加 2,100 ／ 2,600</t>
        </is>
      </c>
    </row>
    <row r="15">
      <c r="A15" s="94" t="inlineStr">
        <is>
          <t>外装仕上げ カラー鉄板 ／ SUS ラッキング</t>
        </is>
      </c>
      <c r="B15" s="94" t="inlineStr">
        <is>
          <t>全サイズ</t>
        </is>
      </c>
      <c r="C15" s="94" t="inlineStr">
        <is>
          <t>5m以下 26,300 ／ 31,500 ＋1m追加 4,200 ／ 5,300</t>
        </is>
      </c>
    </row>
    <row r="16">
      <c r="A16" s="203" t="inlineStr">
        <is>
          <t>ドレン配管 新築</t>
        </is>
      </c>
      <c r="B16" s="203" t="inlineStr">
        <is>
          <t>φ6.4/9.5 ／ それ以外</t>
        </is>
      </c>
      <c r="C16" s="203" t="inlineStr">
        <is>
          <t>5m以下 10,500 ／ 14,200 ＋1m追加 2,100 ／ 2,800</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36"/>
  <sheetViews>
    <sheetView showGridLines="0" tabSelected="0" workbookViewId="0">
      <selection activeCell="A1" sqref="A1"/>
    </sheetView>
  </sheetViews>
  <sheetFormatPr baseColWidth="8" defaultRowHeight="15"/>
  <cols>
    <col width="36" customWidth="1" min="1" max="1"/>
    <col width="14" customWidth="1" min="2" max="2"/>
    <col width="12" customWidth="1" min="3" max="3"/>
    <col width="12" customWidth="1" min="4" max="4"/>
    <col width="12" customWidth="1" min="5" max="5"/>
    <col width="70" customWidth="1" min="6" max="6"/>
  </cols>
  <sheetData>
    <row r="1">
      <c r="A1" s="208" t="inlineStr">
        <is>
          <t>数量拾い根拠（内部用）　当社作図 M-1 空調設備平面図・M-2 換気設備平面図（JWW、1単位＝実寸50mm）の配置座標から算出</t>
        </is>
      </c>
    </row>
    <row r="2">
      <c r="A2" s="209" t="inlineStr">
        <is>
          <t>空調は室外機を各室の外壁直近に置く計画のため配管は短く、最小配管長・立下り・余長を想定値で計上。換気ダクトは器具〜外壁の平面距離＋立上り・接続 0.5m/本。座標・機器定義は drawings/tools/project_data.py</t>
        </is>
      </c>
    </row>
    <row r="4">
      <c r="A4" s="210" t="inlineStr">
        <is>
          <t>1. 冷媒・ドレン配管（M-1 空調設備平面図：室外機は各室外壁の直近）</t>
        </is>
      </c>
    </row>
    <row r="5">
      <c r="A5" s="198" t="inlineStr">
        <is>
          <t>系統</t>
        </is>
      </c>
      <c r="B5" s="198" t="inlineStr">
        <is>
          <t>管径</t>
        </is>
      </c>
      <c r="C5" s="198" t="inlineStr">
        <is>
          <t>数量</t>
        </is>
      </c>
      <c r="D5" s="198" t="inlineStr">
        <is>
          <t>1系統(m)</t>
        </is>
      </c>
      <c r="E5" s="198" t="inlineStr">
        <is>
          <t>合計(m)</t>
        </is>
      </c>
      <c r="F5" s="198" t="inlineStr">
        <is>
          <t>想定内容</t>
        </is>
      </c>
    </row>
    <row r="6">
      <c r="A6" s="211" t="inlineStr">
        <is>
          <t>AC-1 SZRV80BZV 床置形（大間・外陣）</t>
        </is>
      </c>
      <c r="B6" s="211" t="inlineStr">
        <is>
          <t>φ9.52/15.88</t>
        </is>
      </c>
      <c r="C6" s="212" t="n">
        <v>2</v>
      </c>
      <c r="D6" s="213" t="n">
        <v>3</v>
      </c>
      <c r="E6" s="213" t="n">
        <v>6</v>
      </c>
      <c r="F6" s="211" t="inlineStr">
        <is>
          <t>AC-1 床置形 2系統 × 3.0m（室外機は外壁直近。最小配管長 3m を確保、壁貫通・立上り・余長込み）</t>
        </is>
      </c>
    </row>
    <row r="7">
      <c r="A7" s="211" t="inlineStr">
        <is>
          <t>AC-2 S284ATEV-W・AC-3 S404ATEV-W 壁掛形</t>
        </is>
      </c>
      <c r="B7" s="211" t="inlineStr">
        <is>
          <t>φ6.35/9.52</t>
        </is>
      </c>
      <c r="C7" s="212" t="n">
        <v>3</v>
      </c>
      <c r="D7" s="213" t="n">
        <v>4</v>
      </c>
      <c r="E7" s="213" t="n">
        <v>12</v>
      </c>
      <c r="F7" s="211" t="inlineStr">
        <is>
          <t>AC-2・AC-3 壁掛形 3台 × 4.0m（壁掛 約2.2m → 屋外置台への立下り・余長込み）</t>
        </is>
      </c>
    </row>
    <row r="8">
      <c r="A8" s="211" t="inlineStr">
        <is>
          <t>ドレン VP25（AC-1）</t>
        </is>
      </c>
      <c r="B8" s="211" t="inlineStr">
        <is>
          <t>25A</t>
        </is>
      </c>
      <c r="C8" s="212" t="n">
        <v>2</v>
      </c>
      <c r="D8" s="213" t="n">
        <v>1.5</v>
      </c>
      <c r="E8" s="213" t="n">
        <v>3</v>
      </c>
      <c r="F8" s="211" t="inlineStr">
        <is>
          <t>AC-1 2系統 × 1.5m（室内 1.0m＋屋外放流 0.5m）。ルームエアコンは付属ドレンホース</t>
        </is>
      </c>
    </row>
    <row r="9">
      <c r="A9" s="214" t="inlineStr">
        <is>
          <t>内外連絡線 VVF 2.0-3C</t>
        </is>
      </c>
      <c r="B9" s="214" t="inlineStr"/>
      <c r="C9" s="215" t="n">
        <v>5</v>
      </c>
      <c r="D9" s="216" t="n">
        <v>5</v>
      </c>
      <c r="E9" s="216" t="n">
        <v>25</v>
      </c>
      <c r="F9" s="214" t="inlineStr">
        <is>
          <t>内外連絡線 AC-1 5.0m×2・AC-2/3 5.0m×3（余長込み）</t>
        </is>
      </c>
    </row>
    <row r="11">
      <c r="A11" s="210" t="inlineStr">
        <is>
          <t>2. 換気ダクト（M-2 換気設備平面図：器具〜外壁の平面距離＋立上り・接続）</t>
        </is>
      </c>
    </row>
    <row r="12">
      <c r="A12" s="198" t="inlineStr">
        <is>
          <t>記号</t>
        </is>
      </c>
      <c r="B12" s="198" t="inlineStr">
        <is>
          <t>室名</t>
        </is>
      </c>
      <c r="C12" s="198" t="inlineStr">
        <is>
          <t>口径</t>
        </is>
      </c>
      <c r="D12" s="198" t="inlineStr">
        <is>
          <t>平面(m)</t>
        </is>
      </c>
      <c r="E12" s="198" t="inlineStr">
        <is>
          <t>計(m)</t>
        </is>
      </c>
      <c r="F12" s="198" t="inlineStr">
        <is>
          <t>備考</t>
        </is>
      </c>
    </row>
    <row r="13">
      <c r="A13" s="211" t="inlineStr">
        <is>
          <t>SA-1</t>
        </is>
      </c>
      <c r="B13" s="211" t="inlineStr">
        <is>
          <t>外陣（大間）</t>
        </is>
      </c>
      <c r="C13" s="211" t="inlineStr">
        <is>
          <t>φ200</t>
        </is>
      </c>
      <c r="D13" s="213" t="n">
        <v>1.37</v>
      </c>
      <c r="E13" s="213" t="n">
        <v>1.87</v>
      </c>
      <c r="F13" s="211" t="inlineStr">
        <is>
          <t>給気（外気導入）</t>
        </is>
      </c>
    </row>
    <row r="14">
      <c r="A14" s="211" t="inlineStr">
        <is>
          <t>SA-1</t>
        </is>
      </c>
      <c r="B14" s="211" t="inlineStr">
        <is>
          <t>外陣（大間）</t>
        </is>
      </c>
      <c r="C14" s="211" t="inlineStr">
        <is>
          <t>φ200</t>
        </is>
      </c>
      <c r="D14" s="213" t="n">
        <v>1.37</v>
      </c>
      <c r="E14" s="213" t="n">
        <v>1.87</v>
      </c>
      <c r="F14" s="211" t="inlineStr">
        <is>
          <t>給気（外気導入）</t>
        </is>
      </c>
    </row>
    <row r="15">
      <c r="A15" s="211" t="inlineStr">
        <is>
          <t>SA-1</t>
        </is>
      </c>
      <c r="B15" s="211" t="inlineStr">
        <is>
          <t>外陣（大間）</t>
        </is>
      </c>
      <c r="C15" s="211" t="inlineStr">
        <is>
          <t>φ200</t>
        </is>
      </c>
      <c r="D15" s="213" t="n">
        <v>1.37</v>
      </c>
      <c r="E15" s="213" t="n">
        <v>1.87</v>
      </c>
      <c r="F15" s="211" t="inlineStr">
        <is>
          <t>給気（外気導入）</t>
        </is>
      </c>
    </row>
    <row r="16">
      <c r="A16" s="211" t="inlineStr">
        <is>
          <t>SA-1</t>
        </is>
      </c>
      <c r="B16" s="211" t="inlineStr">
        <is>
          <t>内陣（本陣・御本尊）</t>
        </is>
      </c>
      <c r="C16" s="211" t="inlineStr">
        <is>
          <t>φ200</t>
        </is>
      </c>
      <c r="D16" s="213" t="n">
        <v>5.11</v>
      </c>
      <c r="E16" s="213" t="n">
        <v>5.61</v>
      </c>
      <c r="F16" s="211" t="inlineStr">
        <is>
          <t>給気（外気導入）</t>
        </is>
      </c>
    </row>
    <row r="17">
      <c r="A17" s="211" t="inlineStr">
        <is>
          <t>SA-2</t>
        </is>
      </c>
      <c r="B17" s="211" t="inlineStr">
        <is>
          <t>護摩堂</t>
        </is>
      </c>
      <c r="C17" s="211" t="inlineStr">
        <is>
          <t>φ150</t>
        </is>
      </c>
      <c r="D17" s="213" t="n">
        <v>0.86</v>
      </c>
      <c r="E17" s="213" t="n">
        <v>1.36</v>
      </c>
      <c r="F17" s="211" t="inlineStr">
        <is>
          <t>給気（外気導入）</t>
        </is>
      </c>
    </row>
    <row r="18">
      <c r="A18" s="211" t="inlineStr">
        <is>
          <t>SA-3</t>
        </is>
      </c>
      <c r="B18" s="211" t="inlineStr">
        <is>
          <t>和室(1)</t>
        </is>
      </c>
      <c r="C18" s="211" t="inlineStr">
        <is>
          <t>φ100</t>
        </is>
      </c>
      <c r="D18" s="213" t="n">
        <v>0.41</v>
      </c>
      <c r="E18" s="213" t="n">
        <v>0.91</v>
      </c>
      <c r="F18" s="211" t="inlineStr">
        <is>
          <t>給気（外気導入）</t>
        </is>
      </c>
    </row>
    <row r="19">
      <c r="A19" s="211" t="inlineStr">
        <is>
          <t>SA-3</t>
        </is>
      </c>
      <c r="B19" s="211" t="inlineStr">
        <is>
          <t>和室(2)</t>
        </is>
      </c>
      <c r="C19" s="211" t="inlineStr">
        <is>
          <t>φ100</t>
        </is>
      </c>
      <c r="D19" s="213" t="n">
        <v>1.7</v>
      </c>
      <c r="E19" s="213" t="n">
        <v>2.2</v>
      </c>
      <c r="F19" s="211" t="inlineStr">
        <is>
          <t>給気（外気導入）</t>
        </is>
      </c>
    </row>
    <row r="20">
      <c r="A20" s="211" t="inlineStr">
        <is>
          <t>SA-3</t>
        </is>
      </c>
      <c r="B20" s="211" t="inlineStr">
        <is>
          <t>談話室</t>
        </is>
      </c>
      <c r="C20" s="211" t="inlineStr">
        <is>
          <t>φ100</t>
        </is>
      </c>
      <c r="D20" s="213" t="n">
        <v>0.95</v>
      </c>
      <c r="E20" s="213" t="n">
        <v>1.45</v>
      </c>
      <c r="F20" s="211" t="inlineStr">
        <is>
          <t>給気（外気導入）</t>
        </is>
      </c>
    </row>
    <row r="21">
      <c r="A21" s="211" t="inlineStr">
        <is>
          <t>EF-2</t>
        </is>
      </c>
      <c r="B21" s="211" t="inlineStr">
        <is>
          <t>外陣（大間）</t>
        </is>
      </c>
      <c r="C21" s="211" t="inlineStr">
        <is>
          <t>φ150</t>
        </is>
      </c>
      <c r="D21" s="213" t="n">
        <v>3.37</v>
      </c>
      <c r="E21" s="213" t="n">
        <v>3.87</v>
      </c>
      <c r="F21" s="211" t="inlineStr">
        <is>
          <t>局所排気</t>
        </is>
      </c>
    </row>
    <row r="22">
      <c r="A22" s="211" t="inlineStr">
        <is>
          <t>EF-2</t>
        </is>
      </c>
      <c r="B22" s="211" t="inlineStr">
        <is>
          <t>外陣（大間）</t>
        </is>
      </c>
      <c r="C22" s="211" t="inlineStr">
        <is>
          <t>φ150</t>
        </is>
      </c>
      <c r="D22" s="213" t="n">
        <v>3.37</v>
      </c>
      <c r="E22" s="213" t="n">
        <v>3.87</v>
      </c>
      <c r="F22" s="211" t="inlineStr">
        <is>
          <t>局所排気</t>
        </is>
      </c>
    </row>
    <row r="23">
      <c r="A23" s="211" t="inlineStr">
        <is>
          <t>EF-2</t>
        </is>
      </c>
      <c r="B23" s="211" t="inlineStr">
        <is>
          <t>外陣（大間）</t>
        </is>
      </c>
      <c r="C23" s="211" t="inlineStr">
        <is>
          <t>φ150</t>
        </is>
      </c>
      <c r="D23" s="213" t="n">
        <v>3.37</v>
      </c>
      <c r="E23" s="213" t="n">
        <v>3.87</v>
      </c>
      <c r="F23" s="211" t="inlineStr">
        <is>
          <t>局所排気</t>
        </is>
      </c>
    </row>
    <row r="24">
      <c r="A24" s="211" t="inlineStr">
        <is>
          <t>EF-2</t>
        </is>
      </c>
      <c r="B24" s="211" t="inlineStr">
        <is>
          <t>内陣（本陣・御本尊）</t>
        </is>
      </c>
      <c r="C24" s="211" t="inlineStr">
        <is>
          <t>φ150</t>
        </is>
      </c>
      <c r="D24" s="213" t="n">
        <v>5.37</v>
      </c>
      <c r="E24" s="213" t="n">
        <v>5.87</v>
      </c>
      <c r="F24" s="211" t="inlineStr">
        <is>
          <t>局所排気</t>
        </is>
      </c>
    </row>
    <row r="25">
      <c r="A25" s="211" t="inlineStr">
        <is>
          <t>EF-2</t>
        </is>
      </c>
      <c r="B25" s="211" t="inlineStr">
        <is>
          <t>護摩堂</t>
        </is>
      </c>
      <c r="C25" s="211" t="inlineStr">
        <is>
          <t>φ150</t>
        </is>
      </c>
      <c r="D25" s="213" t="n">
        <v>1.96</v>
      </c>
      <c r="E25" s="213" t="n">
        <v>2.46</v>
      </c>
      <c r="F25" s="211" t="inlineStr">
        <is>
          <t>局所排気</t>
        </is>
      </c>
    </row>
    <row r="26">
      <c r="A26" s="211" t="inlineStr">
        <is>
          <t>EF-3</t>
        </is>
      </c>
      <c r="B26" s="211" t="inlineStr">
        <is>
          <t>談話室</t>
        </is>
      </c>
      <c r="C26" s="211" t="inlineStr">
        <is>
          <t>φ100</t>
        </is>
      </c>
      <c r="D26" s="213" t="n">
        <v>0.7</v>
      </c>
      <c r="E26" s="213" t="n">
        <v>1.2</v>
      </c>
      <c r="F26" s="211" t="inlineStr">
        <is>
          <t>局所排気</t>
        </is>
      </c>
    </row>
    <row r="27">
      <c r="A27" s="211" t="inlineStr">
        <is>
          <t>EF-4</t>
        </is>
      </c>
      <c r="B27" s="211" t="inlineStr">
        <is>
          <t>パントリー</t>
        </is>
      </c>
      <c r="C27" s="211" t="inlineStr">
        <is>
          <t>φ100</t>
        </is>
      </c>
      <c r="D27" s="213" t="n">
        <v>0.51</v>
      </c>
      <c r="E27" s="213" t="n">
        <v>1.01</v>
      </c>
      <c r="F27" s="211" t="inlineStr">
        <is>
          <t>局所排気</t>
        </is>
      </c>
    </row>
    <row r="28">
      <c r="A28" s="214" t="inlineStr">
        <is>
          <t>合計 → 内訳書</t>
        </is>
      </c>
      <c r="B28" s="214" t="inlineStr"/>
      <c r="C28" s="214" t="inlineStr"/>
      <c r="D28" s="214" t="inlineStr"/>
      <c r="E28" s="216" t="n">
        <v>39.29</v>
      </c>
      <c r="F28" s="214" t="inlineStr">
        <is>
          <t>φ100 7m・φ150 22m・φ200 12m、保温（給気）18m</t>
        </is>
      </c>
    </row>
    <row r="30">
      <c r="A30" s="210" t="inlineStr">
        <is>
          <t>3. 機器・外壁貫通（図面カウント）</t>
        </is>
      </c>
    </row>
    <row r="31">
      <c r="A31" s="198" t="inlineStr">
        <is>
          <t>項目</t>
        </is>
      </c>
      <c r="B31" s="198" t="inlineStr">
        <is>
          <t>数量</t>
        </is>
      </c>
      <c r="C31" s="198" t="inlineStr">
        <is>
          <t>備考</t>
        </is>
      </c>
    </row>
    <row r="32">
      <c r="A32" s="211" t="inlineStr">
        <is>
          <t>24時間換気 パイプファン V-08PP8-BL</t>
        </is>
      </c>
      <c r="B32" s="211" t="inlineStr">
        <is>
          <t>3台</t>
        </is>
      </c>
      <c r="C32" s="211" t="inlineStr">
        <is>
          <t>便所(女)・小便所・便所(男) 外壁付け</t>
        </is>
      </c>
    </row>
    <row r="33">
      <c r="A33" s="211" t="inlineStr">
        <is>
          <t>天井埋込形換気扇 VD-18ZC14 / VD-15ZC14 / VD-10ZC14</t>
        </is>
      </c>
      <c r="B33" s="211" t="inlineStr">
        <is>
          <t>5・1・1台</t>
        </is>
      </c>
      <c r="C33" s="211" t="inlineStr">
        <is>
          <t>局所換気（排煙・台所・パントリー）</t>
        </is>
      </c>
    </row>
    <row r="34">
      <c r="A34" s="211" t="inlineStr">
        <is>
          <t>給排気グリル P-23GHF5 / P-18GHF5 / P-13GHF5</t>
        </is>
      </c>
      <c r="B34" s="211" t="inlineStr">
        <is>
          <t>4・1・3個</t>
        </is>
      </c>
      <c r="C34" s="211" t="inlineStr">
        <is>
          <t>外気導入（給気）</t>
        </is>
      </c>
    </row>
    <row r="35">
      <c r="A35" s="211" t="inlineStr">
        <is>
          <t>外壁貫通・深形フード φ100 / φ150 / φ200</t>
        </is>
      </c>
      <c r="B35" s="211" t="inlineStr">
        <is>
          <t>8・6・4箇所</t>
        </is>
      </c>
      <c r="C35" s="211" t="inlineStr">
        <is>
          <t>パイプファン・給気・局所排気</t>
        </is>
      </c>
    </row>
    <row r="36">
      <c r="A36" s="214" t="inlineStr">
        <is>
          <t>空調 外壁貫通（冷媒・ドレン）</t>
        </is>
      </c>
      <c r="B36" s="214" t="inlineStr">
        <is>
          <t>5箇所</t>
        </is>
      </c>
      <c r="C36" s="214" t="inlineStr">
        <is>
          <t>AC-1 ×2、AC-2・AC-3 ×3</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C37"/>
  <sheetViews>
    <sheetView showGridLines="0" tabSelected="0" workbookViewId="0">
      <selection activeCell="A1" sqref="A1"/>
    </sheetView>
  </sheetViews>
  <sheetFormatPr baseColWidth="8" defaultRowHeight="15"/>
  <cols>
    <col width="40" customWidth="1" min="1" max="1"/>
    <col width="16" customWidth="1" min="2" max="2"/>
    <col width="90" customWidth="1" min="3" max="3"/>
  </cols>
  <sheetData>
    <row r="1">
      <c r="A1" s="166" t="inlineStr">
        <is>
          <t>原価根拠（内部用）　材料＝建設物価相当、労務＝人工×労務原価日額、法定福利費＝労務原価×事業主負担率</t>
        </is>
      </c>
    </row>
    <row r="3">
      <c r="A3" s="210" t="inlineStr">
        <is>
          <t>出典</t>
        </is>
      </c>
    </row>
    <row r="4" ht="30" customHeight="1">
      <c r="A4" s="208" t="inlineStr">
        <is>
          <t>エスト見積</t>
        </is>
      </c>
      <c r="B4" s="217" t="inlineStr">
        <is>
          <t>見積番号 6330560-1（2026年10月8日、2026/11月からの価格）。単価・経費率・配管工費の算式の基準</t>
        </is>
      </c>
    </row>
    <row r="5" ht="30" customHeight="1">
      <c r="A5" s="208" t="inlineStr">
        <is>
          <t>エスト単価マスタ</t>
        </is>
      </c>
      <c r="B5" s="217" t="inlineStr">
        <is>
          <t>搬入据付・基礎・フレキダクト・冷媒配管/外装仕上げ/ドレン配管（5m以下＋1m追加）</t>
        </is>
      </c>
    </row>
    <row r="6" ht="30" customHeight="1">
      <c r="A6" s="208" t="inlineStr">
        <is>
          <t>公共工事設計労務単価</t>
        </is>
      </c>
      <c r="B6" s="217" t="inlineStr">
        <is>
          <t>令和8年3月適用（農林水産省・国土交通省）広島県: 配管工 24,700、保温工 25,100、電工 26,300 円/日</t>
        </is>
      </c>
    </row>
    <row r="7" ht="30" customHeight="1">
      <c r="A7" s="208" t="inlineStr">
        <is>
          <t>公共建築工事標準単価積算基準</t>
        </is>
      </c>
      <c r="B7" s="217" t="inlineStr">
        <is>
          <t>令和8年改定（国土交通省 官庁営繕部）表M1-1-50 冷媒用断熱材被覆銅管、表M1-1-46 硬質ポリ塩化ビニル管</t>
        </is>
      </c>
    </row>
    <row r="8" ht="30" customHeight="1">
      <c r="A8" s="208" t="inlineStr">
        <is>
          <t>メーカー公表価格</t>
        </is>
      </c>
      <c r="B8" s="217" t="inlineStr">
        <is>
          <t>桃陽電線 冷媒用被覆銅管 標準単価表 2026年2月1日改定版（国交省仕様 10×20mm保温 2分3分 110,600・2分4分 130,300・3分5分 175,400 円/20m）</t>
        </is>
      </c>
    </row>
    <row r="9" ht="30" customHeight="1">
      <c r="A9" s="208" t="inlineStr">
        <is>
          <t>建設物価</t>
        </is>
      </c>
      <c r="B9" s="217" t="inlineStr">
        <is>
          <t>会員制のため数値未取得。自治体の公表単価表でも冷媒管・保温は主要資材として非公表。材料原価はエスト材料単価を建設物価相当として採用</t>
        </is>
      </c>
    </row>
    <row r="11">
      <c r="A11" s="210" t="inlineStr">
        <is>
          <t>公共工事設計労務単価（令和8年3月適用・広島県、円/日）</t>
        </is>
      </c>
    </row>
    <row r="12">
      <c r="A12" s="178" t="inlineStr">
        <is>
          <t>配管工</t>
        </is>
      </c>
      <c r="B12" s="218" t="n">
        <v>24700</v>
      </c>
    </row>
    <row r="13">
      <c r="A13" s="178" t="inlineStr">
        <is>
          <t>保温工</t>
        </is>
      </c>
      <c r="B13" s="218" t="n">
        <v>25100</v>
      </c>
    </row>
    <row r="14">
      <c r="A14" s="178" t="inlineStr">
        <is>
          <t>電工</t>
        </is>
      </c>
      <c r="B14" s="218" t="n">
        <v>26300</v>
      </c>
    </row>
    <row r="15">
      <c r="A15" s="178" t="inlineStr">
        <is>
          <t>ダクト工</t>
        </is>
      </c>
      <c r="B15" s="218" t="n">
        <v>24300</v>
      </c>
    </row>
    <row r="16">
      <c r="A16" s="178" t="inlineStr">
        <is>
          <t>普通作業員</t>
        </is>
      </c>
      <c r="B16" s="218" t="n">
        <v>22200</v>
      </c>
    </row>
    <row r="17">
      <c r="A17" s="178" t="inlineStr">
        <is>
          <t>特殊作業員</t>
        </is>
      </c>
      <c r="B17" s="218" t="n">
        <v>25800</v>
      </c>
    </row>
    <row r="18">
      <c r="A18" s="178" t="inlineStr">
        <is>
          <t>設備機械工</t>
        </is>
      </c>
      <c r="B18" s="218" t="n">
        <v>29500</v>
      </c>
    </row>
    <row r="19">
      <c r="A19" s="178" t="inlineStr">
        <is>
          <t>鉄骨工</t>
        </is>
      </c>
      <c r="B19" s="218" t="n">
        <v>27000</v>
      </c>
    </row>
    <row r="20">
      <c r="A20" s="178" t="inlineStr">
        <is>
          <t>溶接工</t>
        </is>
      </c>
      <c r="B20" s="218" t="n">
        <v>27300</v>
      </c>
    </row>
    <row r="22">
      <c r="A22" s="210" t="inlineStr">
        <is>
          <t>国交省 公共建築工事標準単価積算基準（令和8年改定）配管工 歩掛（人/m）</t>
        </is>
      </c>
    </row>
    <row r="23">
      <c r="A23" s="178" t="inlineStr">
        <is>
          <t>被覆銅管6.35+9.52</t>
        </is>
      </c>
      <c r="B23" s="219" t="n">
        <v>0.104</v>
      </c>
    </row>
    <row r="24">
      <c r="A24" s="178" t="inlineStr">
        <is>
          <t>被覆銅管6.35+12.70</t>
        </is>
      </c>
      <c r="B24" s="219" t="n">
        <v>0.118</v>
      </c>
    </row>
    <row r="25">
      <c r="A25" s="178" t="inlineStr">
        <is>
          <t>被覆銅管9.52+15.88</t>
        </is>
      </c>
      <c r="B25" s="219" t="n">
        <v>0.15</v>
      </c>
    </row>
    <row r="26">
      <c r="A26" s="178" t="inlineStr">
        <is>
          <t>VP25</t>
        </is>
      </c>
      <c r="B26" s="219" t="n">
        <v>0.074</v>
      </c>
    </row>
    <row r="27">
      <c r="A27" s="178" t="inlineStr">
        <is>
          <t>VP30</t>
        </is>
      </c>
      <c r="B27" s="219" t="n">
        <v>0.079</v>
      </c>
    </row>
    <row r="28">
      <c r="A28" s="178" t="inlineStr">
        <is>
          <t>VP40</t>
        </is>
      </c>
      <c r="B28" s="219" t="n">
        <v>0.101</v>
      </c>
    </row>
    <row r="29">
      <c r="A29" s="178" t="inlineStr">
        <is>
          <t>VVF2.0-3C</t>
        </is>
      </c>
      <c r="B29" s="219" t="n">
        <v>0.017</v>
      </c>
    </row>
    <row r="31">
      <c r="A31" s="210" t="inlineStr">
        <is>
          <t>原価の前提（内訳書 L・M 列の黄セル）</t>
        </is>
      </c>
    </row>
    <row r="32" ht="28" customHeight="1">
      <c r="A32" s="217" t="inlineStr">
        <is>
          <t>・機器: 原価＝定価×仕入率（ダイキン業務用 EcoZEAS・FIVESTAR 0.20、ダイキン家庭用 0.30、三菱電機 換気機器 0.32）。内訳書 L 列＝原価（定額）、提出単価＝原価÷（1－0.20）の10円未満切上げ</t>
        </is>
      </c>
    </row>
    <row r="33" ht="28" customHeight="1">
      <c r="A33" s="217" t="inlineStr">
        <is>
          <t>・据付の人工: SA 室外 0.8・床置室内 0.8、RA 室外 0.4・室内 0.5 人工/台。縁石基礎 材料2,500＋0.15、RA 置台 2,500＋0.1</t>
        </is>
      </c>
    </row>
    <row r="34" ht="28" customHeight="1">
      <c r="A34" s="217" t="inlineStr">
        <is>
          <t>・試運転: SA 材料450＋0.45、RA 0.15人工。気密: SA 2,000＋0.45、RA 1,000＋0.3。真空引き: SA 500＋0.15、RA 300＋0.12</t>
        </is>
      </c>
    </row>
    <row r="35" ht="28" customHeight="1">
      <c r="A35" s="217" t="inlineStr">
        <is>
          <t>・化粧カバー: 大径2,400・小径1,800円/m＋0.10人工/m。GW保温 25A: 900＋0.06人工/m。スリーブ: 材料1,500＋0.25人工/箇所</t>
        </is>
      </c>
    </row>
    <row r="36" ht="28" customHeight="1">
      <c r="A36" s="217" t="inlineStr">
        <is>
          <t>・換気: パイプファン取付 800＋0.35、天井扇 VD-18 800＋0.6・VD-15/10 500＋0.45、グリル 300＋0.25、フード 300＋0.15、スパイラルダクト φ100 1,000＋0.12・φ150 1,400＋0.14・φ200 1,900＋0.16（/m、三矢寮の当社想定）、ダクト保温 1,100＋0.08/m、外壁貫通 φ100 800＋0.25・φ150 1,000＋0.30・φ200 1,200＋0.35、試運転 3,000＋1.0人工</t>
        </is>
      </c>
    </row>
    <row r="37" ht="28" customHeight="1">
      <c r="A37" s="217" t="inlineStr">
        <is>
          <t>・当社単価の項目（要確認）は 原価×1.25 を100円切上げ（粗利20%相当）。エストに同種の単価が見つかれば差し替える</t>
        </is>
      </c>
    </row>
  </sheetData>
  <mergeCells count="12">
    <mergeCell ref="B6:C6"/>
    <mergeCell ref="A33:C33"/>
    <mergeCell ref="A36:C36"/>
    <mergeCell ref="B7:C7"/>
    <mergeCell ref="A37:C37"/>
    <mergeCell ref="A32:C32"/>
    <mergeCell ref="B5:C5"/>
    <mergeCell ref="A35:C35"/>
    <mergeCell ref="A34:C34"/>
    <mergeCell ref="B9:C9"/>
    <mergeCell ref="B8:C8"/>
    <mergeCell ref="B4:C4"/>
  </mergeCells>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宮地機工株式会社</dc:creator>
  <dc:title xmlns:dc="http://purl.org/dc/elements/1.1/">御見積書 安楽寺　本堂　新築工事　空調・換気設備工事</dc:title>
  <dcterms:created xmlns:dcterms="http://purl.org/dc/terms/" xmlns:xsi="http://www.w3.org/2001/XMLSchema-instance" xsi:type="dcterms:W3CDTF">2026-10-09T01:31:47Z</dcterms:created>
  <dcterms:modified xmlns:dcterms="http://purl.org/dc/terms/" xmlns:xsi="http://www.w3.org/2001/XMLSchema-instance" xsi:type="dcterms:W3CDTF">2026-10-09T01:31:47Z</dcterms:modified>
</cp:coreProperties>
</file>