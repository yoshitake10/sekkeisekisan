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時間換気計算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&quot; m³/h&quot;"/>
    <numFmt numFmtId="166" formatCode="0.00&quot; 倍&quot;"/>
    <numFmt numFmtId="167" formatCode="0.00&quot; m&quot;"/>
  </numFmts>
  <fonts count="10">
    <font>
      <name val="Calibri"/>
      <family val="2"/>
      <color theme="1"/>
      <sz val="11"/>
      <scheme val="minor"/>
    </font>
    <font>
      <name val="ＭＳ ゴシック"/>
      <b val="1"/>
      <sz val="16"/>
    </font>
    <font>
      <name val="ＭＳ ゴシック"/>
      <sz val="9"/>
    </font>
    <font>
      <name val="ＭＳ ゴシック"/>
      <b val="1"/>
      <sz val="11"/>
    </font>
    <font>
      <name val="ＭＳ ゴシック"/>
      <sz val="10"/>
    </font>
    <font>
      <name val="ＭＳ ゴシック"/>
      <sz val="9.5"/>
    </font>
    <font>
      <name val="ＭＳ ゴシック"/>
      <b val="1"/>
      <sz val="9"/>
    </font>
    <font>
      <name val="ＭＳ ゴシック"/>
      <b val="1"/>
      <sz val="9.5"/>
    </font>
    <font>
      <name val="ＭＳ ゴシック"/>
      <sz val="8.5"/>
    </font>
    <font>
      <name val="ＭＳ ゴシック"/>
      <b val="1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2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0" fillId="0" borderId="4" pivotButton="0" quotePrefix="0" xfId="0"/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8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10" customWidth="1" min="4" max="4"/>
    <col width="9" customWidth="1" min="5" max="5"/>
    <col width="10" customWidth="1" min="6" max="6"/>
    <col width="9" customWidth="1" min="7" max="7"/>
    <col width="12" customWidth="1" min="8" max="8"/>
    <col width="38" customWidth="1" min="9" max="9"/>
  </cols>
  <sheetData>
    <row r="1" ht="28" customHeight="1">
      <c r="A1" s="1" t="inlineStr">
        <is>
          <t>シックハウス対策に係る 24時間換気計算書</t>
        </is>
      </c>
    </row>
    <row r="2">
      <c r="A2" s="2" t="inlineStr">
        <is>
          <t>（建築基準法 第28条の2 第三号、同法施行令 第20条の8 第1項第一号イ(1)）</t>
        </is>
      </c>
    </row>
    <row r="4">
      <c r="A4" s="3" t="inlineStr">
        <is>
          <t>1. 建築物の概要</t>
        </is>
      </c>
    </row>
    <row r="5">
      <c r="A5" s="4" t="inlineStr">
        <is>
          <t>工事名称</t>
        </is>
      </c>
      <c r="B5" s="5" t="n"/>
      <c r="C5" s="5" t="n"/>
      <c r="D5" s="6" t="inlineStr">
        <is>
          <t>宗教法人 安楽寺 様（本堂）新築工事</t>
        </is>
      </c>
      <c r="E5" s="5" t="n"/>
      <c r="F5" s="5" t="n"/>
      <c r="G5" s="5" t="n"/>
      <c r="H5" s="5" t="n"/>
      <c r="I5" s="5" t="n"/>
    </row>
    <row r="6">
      <c r="A6" s="4" t="inlineStr">
        <is>
          <t>建築場所</t>
        </is>
      </c>
      <c r="B6" s="5" t="n"/>
      <c r="C6" s="5" t="n"/>
      <c r="D6" s="6" t="inlineStr">
        <is>
          <t>（確認申請書による）</t>
        </is>
      </c>
      <c r="E6" s="5" t="n"/>
      <c r="F6" s="5" t="n"/>
      <c r="G6" s="5" t="n"/>
      <c r="H6" s="5" t="n"/>
      <c r="I6" s="5" t="n"/>
    </row>
    <row r="7">
      <c r="A7" s="4" t="inlineStr">
        <is>
          <t>主要用途</t>
        </is>
      </c>
      <c r="B7" s="5" t="n"/>
      <c r="C7" s="5" t="n"/>
      <c r="D7" s="6" t="inlineStr">
        <is>
          <t>寺院（本堂）</t>
        </is>
      </c>
      <c r="E7" s="5" t="n"/>
      <c r="F7" s="5" t="n"/>
      <c r="G7" s="5" t="n"/>
      <c r="H7" s="5" t="n"/>
      <c r="I7" s="5" t="n"/>
    </row>
    <row r="8">
      <c r="A8" s="4" t="inlineStr">
        <is>
          <t>構造・階数</t>
        </is>
      </c>
      <c r="B8" s="5" t="n"/>
      <c r="C8" s="5" t="n"/>
      <c r="D8" s="6" t="inlineStr">
        <is>
          <t>木造 平家建（意匠図による）</t>
        </is>
      </c>
      <c r="E8" s="5" t="n"/>
      <c r="F8" s="5" t="n"/>
      <c r="G8" s="5" t="n"/>
      <c r="H8" s="5" t="n"/>
      <c r="I8" s="5" t="n"/>
    </row>
    <row r="9">
      <c r="A9" s="4" t="inlineStr">
        <is>
          <t>建築面積／延べ面積</t>
        </is>
      </c>
      <c r="B9" s="5" t="n"/>
      <c r="C9" s="5" t="n"/>
      <c r="D9" s="6" t="inlineStr">
        <is>
          <t>220.743 ㎡ ／ 198.56 ㎡（意匠図 平面図 令和8年7月20日版）</t>
        </is>
      </c>
      <c r="E9" s="5" t="n"/>
      <c r="F9" s="5" t="n"/>
      <c r="G9" s="5" t="n"/>
      <c r="H9" s="5" t="n"/>
      <c r="I9" s="5" t="n"/>
    </row>
    <row r="10">
      <c r="A10" s="4" t="inlineStr">
        <is>
          <t>意匠設計</t>
        </is>
      </c>
      <c r="B10" s="5" t="n"/>
      <c r="C10" s="5" t="n"/>
      <c r="D10" s="6" t="inlineStr">
        <is>
          <t>松森設計事務所</t>
        </is>
      </c>
      <c r="E10" s="5" t="n"/>
      <c r="F10" s="5" t="n"/>
      <c r="G10" s="5" t="n"/>
      <c r="H10" s="5" t="n"/>
      <c r="I10" s="5" t="n"/>
    </row>
    <row r="11">
      <c r="A11" s="4" t="inlineStr">
        <is>
          <t>設備設計（換気）</t>
        </is>
      </c>
      <c r="B11" s="5" t="n"/>
      <c r="C11" s="5" t="n"/>
      <c r="D11" s="7" t="inlineStr"/>
      <c r="E11" s="5" t="n"/>
      <c r="F11" s="5" t="n"/>
      <c r="G11" s="5" t="n"/>
      <c r="H11" s="5" t="n"/>
      <c r="I11" s="5" t="n"/>
    </row>
    <row r="13">
      <c r="A13" s="3" t="inlineStr">
        <is>
          <t>2. 換気方式</t>
        </is>
      </c>
    </row>
    <row r="14" ht="15" customHeight="1">
      <c r="A14" s="8" t="inlineStr">
        <is>
          <t>第3種機械換気設備（排気機：パイプ用ファン 外壁貫通・常時運転／給気：外気導入グリル）。</t>
        </is>
      </c>
    </row>
    <row r="15" ht="15" customHeight="1">
      <c r="A15" s="8" t="inlineStr">
        <is>
          <t>全館の居室及び廊下・ホール・便所等を、建具アンダーカット等の通気経路により一体的に換気する一の換気経路とする。</t>
        </is>
      </c>
    </row>
    <row r="16" ht="15" customHeight="1">
      <c r="A16" s="8" t="inlineStr">
        <is>
          <t>換気回数 n：本堂部（外陣・内陣・護摩堂・広縁）＝住宅等の居室以外の居室 0.3回/h、</t>
        </is>
      </c>
    </row>
    <row r="17" ht="15" customHeight="1">
      <c r="A17" s="8" t="inlineStr">
        <is>
          <t xml:space="preserve">　　　　　　庫裏側（和室・談話室及び廊下等）＝安全側に住宅等の居室の値 0.5回/h を採用。</t>
        </is>
      </c>
    </row>
    <row r="18" ht="15" customHeight="1">
      <c r="A18" s="8" t="inlineStr">
        <is>
          <t>局所換気（焼香・護摩の排煙、台所等：EF-2〜EF-4）は必要有効換気量の算定に算入しない。</t>
        </is>
      </c>
    </row>
    <row r="20">
      <c r="A20" s="3" t="inlineStr">
        <is>
          <t>3. 必要有効換気量 Vr ＝ n × A × h</t>
        </is>
      </c>
    </row>
    <row r="21" ht="30" customHeight="1">
      <c r="A21" s="9" t="inlineStr">
        <is>
          <t>No</t>
        </is>
      </c>
      <c r="B21" s="9" t="inlineStr">
        <is>
          <t>室  名</t>
        </is>
      </c>
      <c r="C21" s="9" t="inlineStr">
        <is>
          <t>区分</t>
        </is>
      </c>
      <c r="D21" s="9" t="inlineStr">
        <is>
          <t>床面積
A (㎡)</t>
        </is>
      </c>
      <c r="E21" s="9" t="inlineStr">
        <is>
          <t>天井高
h (m)</t>
        </is>
      </c>
      <c r="F21" s="9" t="inlineStr">
        <is>
          <t>気積
V (m³)</t>
        </is>
      </c>
      <c r="G21" s="9" t="inlineStr">
        <is>
          <t>換気回数
n (回/h)</t>
        </is>
      </c>
      <c r="H21" s="9" t="inlineStr">
        <is>
          <t>必要有効換気量
Vr (m³/h)</t>
        </is>
      </c>
      <c r="I21" s="9" t="inlineStr">
        <is>
          <t>備  考</t>
        </is>
      </c>
    </row>
    <row r="22">
      <c r="A22" s="10" t="n">
        <v>1</v>
      </c>
      <c r="B22" s="11" t="inlineStr">
        <is>
          <t>外陣（大間）</t>
        </is>
      </c>
      <c r="C22" s="10" t="inlineStr">
        <is>
          <t>居室</t>
        </is>
      </c>
      <c r="D22" s="12" t="n">
        <v>46.1</v>
      </c>
      <c r="E22" s="13" t="n">
        <v>3.3</v>
      </c>
      <c r="F22" s="14">
        <f>ROUND(D22*E22,2)</f>
        <v/>
      </c>
      <c r="G22" s="13" t="n">
        <v>0.3</v>
      </c>
      <c r="H22" s="14">
        <f>ROUND(F22*G22,2)</f>
        <v/>
      </c>
      <c r="I22" s="11" t="inlineStr">
        <is>
          <t>天井高 仮定</t>
        </is>
      </c>
    </row>
    <row r="23">
      <c r="A23" s="10" t="n">
        <v>2</v>
      </c>
      <c r="B23" s="11" t="inlineStr">
        <is>
          <t>廊下（広縁・南）</t>
        </is>
      </c>
      <c r="C23" s="10" t="inlineStr">
        <is>
          <t>非居室</t>
        </is>
      </c>
      <c r="D23" s="12" t="n">
        <v>11.57</v>
      </c>
      <c r="E23" s="13" t="n">
        <v>2.7</v>
      </c>
      <c r="F23" s="14">
        <f>ROUND(D23*E23,2)</f>
        <v/>
      </c>
      <c r="G23" s="13" t="n">
        <v>0.3</v>
      </c>
      <c r="H23" s="14">
        <f>ROUND(F23*G23,2)</f>
        <v/>
      </c>
      <c r="I23" s="11" t="inlineStr">
        <is>
          <t>外陣と一体（障子・ガラス戸 通気確保）</t>
        </is>
      </c>
    </row>
    <row r="24">
      <c r="A24" s="10" t="n">
        <v>3</v>
      </c>
      <c r="B24" s="11" t="inlineStr">
        <is>
          <t>内陣（本陣・御本尊）</t>
        </is>
      </c>
      <c r="C24" s="10" t="inlineStr">
        <is>
          <t>居室</t>
        </is>
      </c>
      <c r="D24" s="12" t="n">
        <v>29.14</v>
      </c>
      <c r="E24" s="13" t="n">
        <v>3.6</v>
      </c>
      <c r="F24" s="14">
        <f>ROUND(D24*E24,2)</f>
        <v/>
      </c>
      <c r="G24" s="13" t="n">
        <v>0.3</v>
      </c>
      <c r="H24" s="14">
        <f>ROUND(F24*G24,2)</f>
        <v/>
      </c>
      <c r="I24" s="11" t="inlineStr">
        <is>
          <t>天井高 仮定（折上天井の場合は平均天井高）</t>
        </is>
      </c>
    </row>
    <row r="25">
      <c r="A25" s="10" t="n">
        <v>4</v>
      </c>
      <c r="B25" s="11" t="inlineStr">
        <is>
          <t>護摩堂</t>
        </is>
      </c>
      <c r="C25" s="10" t="inlineStr">
        <is>
          <t>居室</t>
        </is>
      </c>
      <c r="D25" s="12" t="n">
        <v>19.29</v>
      </c>
      <c r="E25" s="13" t="n">
        <v>3.3</v>
      </c>
      <c r="F25" s="14">
        <f>ROUND(D25*E25,2)</f>
        <v/>
      </c>
      <c r="G25" s="13" t="n">
        <v>0.3</v>
      </c>
      <c r="H25" s="14">
        <f>ROUND(F25*G25,2)</f>
        <v/>
      </c>
      <c r="I25" s="11" t="inlineStr">
        <is>
          <t>天井高 仮定</t>
        </is>
      </c>
    </row>
    <row r="26">
      <c r="A26" s="10" t="n">
        <v>5</v>
      </c>
      <c r="B26" s="11" t="inlineStr">
        <is>
          <t>和室(1)（床の間含む）</t>
        </is>
      </c>
      <c r="C26" s="10" t="inlineStr">
        <is>
          <t>居室</t>
        </is>
      </c>
      <c r="D26" s="12" t="n">
        <v>12.05</v>
      </c>
      <c r="E26" s="13" t="n">
        <v>2.4</v>
      </c>
      <c r="F26" s="14">
        <f>ROUND(D26*E26,2)</f>
        <v/>
      </c>
      <c r="G26" s="13" t="n">
        <v>0.5</v>
      </c>
      <c r="H26" s="14">
        <f>ROUND(F26*G26,2)</f>
        <v/>
      </c>
      <c r="I26" s="11" t="inlineStr"/>
    </row>
    <row r="27">
      <c r="A27" s="10" t="n">
        <v>6</v>
      </c>
      <c r="B27" s="11" t="inlineStr">
        <is>
          <t>談話室</t>
        </is>
      </c>
      <c r="C27" s="10" t="inlineStr">
        <is>
          <t>居室</t>
        </is>
      </c>
      <c r="D27" s="12" t="n">
        <v>18.47</v>
      </c>
      <c r="E27" s="13" t="n">
        <v>2.4</v>
      </c>
      <c r="F27" s="14">
        <f>ROUND(D27*E27,2)</f>
        <v/>
      </c>
      <c r="G27" s="13" t="n">
        <v>0.5</v>
      </c>
      <c r="H27" s="14">
        <f>ROUND(F27*G27,2)</f>
        <v/>
      </c>
      <c r="I27" s="11" t="inlineStr">
        <is>
          <t>パントリー・勝手口を除く</t>
        </is>
      </c>
    </row>
    <row r="28">
      <c r="A28" s="10" t="n">
        <v>7</v>
      </c>
      <c r="B28" s="11" t="inlineStr">
        <is>
          <t>和室(2)</t>
        </is>
      </c>
      <c r="C28" s="10" t="inlineStr">
        <is>
          <t>居室</t>
        </is>
      </c>
      <c r="D28" s="12" t="n">
        <v>11.01</v>
      </c>
      <c r="E28" s="13" t="n">
        <v>2.4</v>
      </c>
      <c r="F28" s="14">
        <f>ROUND(D28*E28,2)</f>
        <v/>
      </c>
      <c r="G28" s="13" t="n">
        <v>0.5</v>
      </c>
      <c r="H28" s="14">
        <f>ROUND(F28*G28,2)</f>
        <v/>
      </c>
      <c r="I28" s="11" t="inlineStr"/>
    </row>
    <row r="29">
      <c r="A29" s="10" t="n">
        <v>8</v>
      </c>
      <c r="B29" s="11" t="inlineStr">
        <is>
          <t>廊下（北）</t>
        </is>
      </c>
      <c r="C29" s="10" t="inlineStr">
        <is>
          <t>非居室</t>
        </is>
      </c>
      <c r="D29" s="12" t="n">
        <v>4.49</v>
      </c>
      <c r="E29" s="13" t="n">
        <v>2.4</v>
      </c>
      <c r="F29" s="14">
        <f>ROUND(D29*E29,2)</f>
        <v/>
      </c>
      <c r="G29" s="13" t="n">
        <v>0.5</v>
      </c>
      <c r="H29" s="14">
        <f>ROUND(F29*G29,2)</f>
        <v/>
      </c>
      <c r="I29" s="11" t="inlineStr">
        <is>
          <t>物入(1.47㎡)を除く</t>
        </is>
      </c>
    </row>
    <row r="30">
      <c r="A30" s="10" t="n">
        <v>9</v>
      </c>
      <c r="B30" s="11" t="inlineStr">
        <is>
          <t>廊下（東）</t>
        </is>
      </c>
      <c r="C30" s="10" t="inlineStr">
        <is>
          <t>非居室</t>
        </is>
      </c>
      <c r="D30" s="12" t="n">
        <v>7.01</v>
      </c>
      <c r="E30" s="13" t="n">
        <v>2.4</v>
      </c>
      <c r="F30" s="14">
        <f>ROUND(D30*E30,2)</f>
        <v/>
      </c>
      <c r="G30" s="13" t="n">
        <v>0.5</v>
      </c>
      <c r="H30" s="14">
        <f>ROUND(F30*G30,2)</f>
        <v/>
      </c>
      <c r="I30" s="11" t="inlineStr"/>
    </row>
    <row r="31">
      <c r="A31" s="10" t="n">
        <v>10</v>
      </c>
      <c r="B31" s="11" t="inlineStr">
        <is>
          <t>ホール</t>
        </is>
      </c>
      <c r="C31" s="10" t="inlineStr">
        <is>
          <t>非居室</t>
        </is>
      </c>
      <c r="D31" s="12" t="n">
        <v>3.31</v>
      </c>
      <c r="E31" s="13" t="n">
        <v>2.4</v>
      </c>
      <c r="F31" s="14">
        <f>ROUND(D31*E31,2)</f>
        <v/>
      </c>
      <c r="G31" s="13" t="n">
        <v>0.5</v>
      </c>
      <c r="H31" s="14">
        <f>ROUND(F31*G31,2)</f>
        <v/>
      </c>
      <c r="I31" s="11" t="inlineStr"/>
    </row>
    <row r="32">
      <c r="A32" s="10" t="n">
        <v>11</v>
      </c>
      <c r="B32" s="11" t="inlineStr">
        <is>
          <t>玄関</t>
        </is>
      </c>
      <c r="C32" s="10" t="inlineStr">
        <is>
          <t>非居室</t>
        </is>
      </c>
      <c r="D32" s="12" t="n">
        <v>2.88</v>
      </c>
      <c r="E32" s="13" t="n">
        <v>2.4</v>
      </c>
      <c r="F32" s="14">
        <f>ROUND(D32*E32,2)</f>
        <v/>
      </c>
      <c r="G32" s="13" t="n">
        <v>0.5</v>
      </c>
      <c r="H32" s="14">
        <f>ROUND(F32*G32,2)</f>
        <v/>
      </c>
      <c r="I32" s="11" t="inlineStr"/>
    </row>
    <row r="33">
      <c r="A33" s="10" t="n">
        <v>12</v>
      </c>
      <c r="B33" s="11" t="inlineStr">
        <is>
          <t>便所(女)</t>
        </is>
      </c>
      <c r="C33" s="10" t="inlineStr">
        <is>
          <t>非居室</t>
        </is>
      </c>
      <c r="D33" s="12" t="n">
        <v>1.61</v>
      </c>
      <c r="E33" s="13" t="n">
        <v>2.4</v>
      </c>
      <c r="F33" s="14">
        <f>ROUND(D33*E33,2)</f>
        <v/>
      </c>
      <c r="G33" s="13" t="n">
        <v>0.5</v>
      </c>
      <c r="H33" s="14">
        <f>ROUND(F33*G33,2)</f>
        <v/>
      </c>
      <c r="I33" s="11" t="inlineStr">
        <is>
          <t>排気</t>
        </is>
      </c>
    </row>
    <row r="34">
      <c r="A34" s="10" t="n">
        <v>13</v>
      </c>
      <c r="B34" s="11" t="inlineStr">
        <is>
          <t>手洗い</t>
        </is>
      </c>
      <c r="C34" s="10" t="inlineStr">
        <is>
          <t>非居室</t>
        </is>
      </c>
      <c r="D34" s="12" t="n">
        <v>1.61</v>
      </c>
      <c r="E34" s="13" t="n">
        <v>2.4</v>
      </c>
      <c r="F34" s="14">
        <f>ROUND(D34*E34,2)</f>
        <v/>
      </c>
      <c r="G34" s="13" t="n">
        <v>0.5</v>
      </c>
      <c r="H34" s="14">
        <f>ROUND(F34*G34,2)</f>
        <v/>
      </c>
      <c r="I34" s="11" t="inlineStr"/>
    </row>
    <row r="35">
      <c r="A35" s="10" t="n">
        <v>14</v>
      </c>
      <c r="B35" s="11" t="inlineStr">
        <is>
          <t>小便所</t>
        </is>
      </c>
      <c r="C35" s="10" t="inlineStr">
        <is>
          <t>非居室</t>
        </is>
      </c>
      <c r="D35" s="12" t="n">
        <v>1.27</v>
      </c>
      <c r="E35" s="13" t="n">
        <v>2.4</v>
      </c>
      <c r="F35" s="14">
        <f>ROUND(D35*E35,2)</f>
        <v/>
      </c>
      <c r="G35" s="13" t="n">
        <v>0.5</v>
      </c>
      <c r="H35" s="14">
        <f>ROUND(F35*G35,2)</f>
        <v/>
      </c>
      <c r="I35" s="11" t="inlineStr">
        <is>
          <t>排気</t>
        </is>
      </c>
    </row>
    <row r="36">
      <c r="A36" s="10" t="n">
        <v>15</v>
      </c>
      <c r="B36" s="11" t="inlineStr">
        <is>
          <t>便所(男)</t>
        </is>
      </c>
      <c r="C36" s="10" t="inlineStr">
        <is>
          <t>非居室</t>
        </is>
      </c>
      <c r="D36" s="12" t="n">
        <v>1.3</v>
      </c>
      <c r="E36" s="13" t="n">
        <v>2.4</v>
      </c>
      <c r="F36" s="14">
        <f>ROUND(D36*E36,2)</f>
        <v/>
      </c>
      <c r="G36" s="13" t="n">
        <v>0.5</v>
      </c>
      <c r="H36" s="14">
        <f>ROUND(F36*G36,2)</f>
        <v/>
      </c>
      <c r="I36" s="11" t="inlineStr">
        <is>
          <t>排気</t>
        </is>
      </c>
    </row>
    <row r="37">
      <c r="A37" s="10" t="n">
        <v>16</v>
      </c>
      <c r="B37" s="11" t="inlineStr">
        <is>
          <t>パントリー・勝手口</t>
        </is>
      </c>
      <c r="C37" s="10" t="inlineStr">
        <is>
          <t>非居室</t>
        </is>
      </c>
      <c r="D37" s="12" t="n">
        <v>1.21</v>
      </c>
      <c r="E37" s="13" t="n">
        <v>2.4</v>
      </c>
      <c r="F37" s="14">
        <f>ROUND(D37*E37,2)</f>
        <v/>
      </c>
      <c r="G37" s="13" t="n">
        <v>0.5</v>
      </c>
      <c r="H37" s="14">
        <f>ROUND(F37*G37,2)</f>
        <v/>
      </c>
      <c r="I37" s="11" t="inlineStr"/>
    </row>
    <row r="38">
      <c r="A38" s="15" t="inlineStr"/>
      <c r="B38" s="15" t="inlineStr">
        <is>
          <t>合  計</t>
        </is>
      </c>
      <c r="C38" s="15" t="inlineStr"/>
      <c r="D38" s="16">
        <f>SUM(D22:D37)</f>
        <v/>
      </c>
      <c r="E38" s="15" t="inlineStr"/>
      <c r="F38" s="16">
        <f>SUM(F22:F37)</f>
        <v/>
      </c>
      <c r="G38" s="15" t="inlineStr"/>
      <c r="H38" s="17">
        <f>ROUND(SUM(H22:H37),1)</f>
        <v/>
      </c>
      <c r="I38" s="15" t="inlineStr"/>
    </row>
    <row r="39" ht="24" customHeight="1">
      <c r="A39" s="18" t="inlineStr">
        <is>
          <t>※床面積は意匠図（平面図 令和8年7月20日版）の壁芯寸法より算定。天井高は意匠未確定のため仮定値（黄色セル）。確定後に入力し直すと自動で再計算される。</t>
        </is>
      </c>
    </row>
    <row r="40" ht="24" customHeight="1">
      <c r="A40" s="18" t="inlineStr">
        <is>
          <t>※換気対象外：物置、物入（西）、物入（北廊下）、押入、位牌棚・地袋、前机・地袋（建具で区画された収納。内装はF☆☆☆☆材とする）。</t>
        </is>
      </c>
    </row>
    <row r="42">
      <c r="A42" s="3" t="inlineStr">
        <is>
          <t>4. 有効換気量 Ve（機械換気設備：排気機 パイプ用ファン）</t>
        </is>
      </c>
    </row>
    <row r="43" ht="30" customHeight="1">
      <c r="A43" s="9" t="inlineStr">
        <is>
          <t>記号</t>
        </is>
      </c>
      <c r="B43" s="9" t="inlineStr">
        <is>
          <t>設置室</t>
        </is>
      </c>
      <c r="C43" s="9" t="inlineStr">
        <is>
          <t>台数</t>
        </is>
      </c>
      <c r="D43" s="9" t="inlineStr">
        <is>
          <t>パイプ径</t>
        </is>
      </c>
      <c r="E43" s="9" t="inlineStr">
        <is>
          <t>パイプ実長
L (m)</t>
        </is>
      </c>
      <c r="F43" s="9" t="inlineStr">
        <is>
          <t>曲り数
(個)</t>
        </is>
      </c>
      <c r="G43" s="9" t="inlineStr">
        <is>
          <t>直管相当長
(m)</t>
        </is>
      </c>
      <c r="H43" s="9" t="inlineStr">
        <is>
          <t>有効換気量
(m³/h･台)</t>
        </is>
      </c>
      <c r="I43" s="9" t="inlineStr">
        <is>
          <t>機種・備考</t>
        </is>
      </c>
    </row>
    <row r="44">
      <c r="A44" s="10" t="inlineStr">
        <is>
          <t>EF-1</t>
        </is>
      </c>
      <c r="B44" s="11" t="inlineStr">
        <is>
          <t>便所(女)</t>
        </is>
      </c>
      <c r="C44" s="10" t="n">
        <v>1</v>
      </c>
      <c r="D44" s="10" t="inlineStr">
        <is>
          <t>φ100</t>
        </is>
      </c>
      <c r="E44" s="19" t="n">
        <v>0.5</v>
      </c>
      <c r="F44" s="19" t="n">
        <v>0</v>
      </c>
      <c r="G44" s="10">
        <f>ROUND(E44+F44*$C$48+$F$48,1)</f>
        <v/>
      </c>
      <c r="H44" s="20" t="n">
        <v>80</v>
      </c>
      <c r="I44" s="11" t="inlineStr">
        <is>
          <t>三菱電機 V-08PP8-BL（壁付（外壁貫通）・単相100V）</t>
        </is>
      </c>
    </row>
    <row r="45">
      <c r="A45" s="10" t="inlineStr">
        <is>
          <t>EF-1</t>
        </is>
      </c>
      <c r="B45" s="11" t="inlineStr">
        <is>
          <t>小便所</t>
        </is>
      </c>
      <c r="C45" s="10" t="n">
        <v>1</v>
      </c>
      <c r="D45" s="10" t="inlineStr">
        <is>
          <t>φ100</t>
        </is>
      </c>
      <c r="E45" s="19" t="n">
        <v>0.5</v>
      </c>
      <c r="F45" s="19" t="n">
        <v>0</v>
      </c>
      <c r="G45" s="10">
        <f>ROUND(E45+F45*$C$48+$F$48,1)</f>
        <v/>
      </c>
      <c r="H45" s="20" t="n">
        <v>80</v>
      </c>
      <c r="I45" s="11" t="inlineStr">
        <is>
          <t>三菱電機 V-08PP8-BL（壁付（外壁貫通）・単相100V）</t>
        </is>
      </c>
    </row>
    <row r="46">
      <c r="A46" s="10" t="inlineStr">
        <is>
          <t>EF-1</t>
        </is>
      </c>
      <c r="B46" s="11" t="inlineStr">
        <is>
          <t>便所(男)</t>
        </is>
      </c>
      <c r="C46" s="10" t="n">
        <v>1</v>
      </c>
      <c r="D46" s="10" t="inlineStr">
        <is>
          <t>φ100</t>
        </is>
      </c>
      <c r="E46" s="19" t="n">
        <v>0.5</v>
      </c>
      <c r="F46" s="19" t="n">
        <v>0</v>
      </c>
      <c r="G46" s="10">
        <f>ROUND(E46+F46*$C$48+$F$48,1)</f>
        <v/>
      </c>
      <c r="H46" s="20" t="n">
        <v>80</v>
      </c>
      <c r="I46" s="11" t="inlineStr">
        <is>
          <t>三菱電機 V-08PP8-BL（壁付（外壁貫通）・単相100V）</t>
        </is>
      </c>
    </row>
    <row r="47">
      <c r="A47" s="15" t="inlineStr"/>
      <c r="B47" s="15" t="inlineStr">
        <is>
          <t>合  計</t>
        </is>
      </c>
      <c r="C47" s="15">
        <f>SUM(C44:C46)</f>
        <v/>
      </c>
      <c r="D47" s="15" t="inlineStr"/>
      <c r="E47" s="15" t="inlineStr"/>
      <c r="F47" s="15" t="inlineStr"/>
      <c r="G47" s="15" t="inlineStr"/>
      <c r="H47" s="17">
        <f>SUM(H44:H46)</f>
        <v/>
      </c>
      <c r="I47" s="15" t="inlineStr"/>
    </row>
    <row r="48">
      <c r="A48" s="21" t="inlineStr">
        <is>
          <t>直管相当長の算定</t>
        </is>
      </c>
      <c r="C48" s="22" t="n">
        <v>1.5</v>
      </c>
      <c r="D48" s="21" t="inlineStr">
        <is>
          <t>m／90°曲り1個</t>
        </is>
      </c>
      <c r="F48" s="22" t="n">
        <v>10</v>
      </c>
      <c r="G48" s="21" t="inlineStr">
        <is>
          <t>m／屋外深形フード（防虫網付）</t>
        </is>
      </c>
    </row>
    <row r="50" ht="28" customHeight="1">
      <c r="A50" s="23" t="inlineStr">
        <is>
          <t>有効換気量の算定（V-08PP8-BL P-Q線図 60Hz：送風機静圧と、パイプ抵抗曲線〔VU管φ100・10m〕を直管相当長 10.5m に比例換算した抵抗との交点）</t>
        </is>
      </c>
    </row>
    <row r="51">
      <c r="A51" s="24" t="inlineStr"/>
      <c r="B51" s="24" t="inlineStr">
        <is>
          <t>風量 Q</t>
        </is>
      </c>
      <c r="C51" s="25" t="n"/>
      <c r="D51" s="24" t="inlineStr">
        <is>
          <t>送風機静圧</t>
        </is>
      </c>
      <c r="E51" s="25" t="n"/>
      <c r="F51" s="24" t="inlineStr">
        <is>
          <t>抵抗 L=10.5m</t>
        </is>
      </c>
      <c r="G51" s="25" t="n"/>
      <c r="H51" s="24" t="inlineStr">
        <is>
          <t>差</t>
        </is>
      </c>
      <c r="I51" s="24" t="inlineStr"/>
    </row>
    <row r="52">
      <c r="A52" s="26" t="inlineStr"/>
      <c r="B52" s="26" t="inlineStr">
        <is>
          <t>60 m³/h</t>
        </is>
      </c>
      <c r="C52" s="25" t="n"/>
      <c r="D52" s="26" t="inlineStr">
        <is>
          <t>23.1 Pa</t>
        </is>
      </c>
      <c r="E52" s="25" t="n"/>
      <c r="F52" s="26" t="inlineStr">
        <is>
          <t>6.0 Pa</t>
        </is>
      </c>
      <c r="G52" s="25" t="n"/>
      <c r="H52" s="26" t="inlineStr">
        <is>
          <t>+17.1 Pa</t>
        </is>
      </c>
      <c r="I52" s="27" t="inlineStr"/>
    </row>
    <row r="53">
      <c r="A53" s="26" t="inlineStr"/>
      <c r="B53" s="26" t="inlineStr">
        <is>
          <t>70 m³/h</t>
        </is>
      </c>
      <c r="C53" s="25" t="n"/>
      <c r="D53" s="26" t="inlineStr">
        <is>
          <t>17.9 Pa</t>
        </is>
      </c>
      <c r="E53" s="25" t="n"/>
      <c r="F53" s="26" t="inlineStr">
        <is>
          <t>7.8 Pa</t>
        </is>
      </c>
      <c r="G53" s="25" t="n"/>
      <c r="H53" s="26" t="inlineStr">
        <is>
          <t>+10.1 Pa</t>
        </is>
      </c>
      <c r="I53" s="27" t="inlineStr"/>
    </row>
    <row r="54">
      <c r="A54" s="26" t="inlineStr"/>
      <c r="B54" s="26" t="inlineStr">
        <is>
          <t>75 m³/h</t>
        </is>
      </c>
      <c r="C54" s="25" t="n"/>
      <c r="D54" s="26" t="inlineStr">
        <is>
          <t>14.8 Pa</t>
        </is>
      </c>
      <c r="E54" s="25" t="n"/>
      <c r="F54" s="26" t="inlineStr">
        <is>
          <t>8.8 Pa</t>
        </is>
      </c>
      <c r="G54" s="25" t="n"/>
      <c r="H54" s="26" t="inlineStr">
        <is>
          <t>+6.0 Pa</t>
        </is>
      </c>
      <c r="I54" s="27" t="inlineStr"/>
    </row>
    <row r="55">
      <c r="A55" s="26" t="inlineStr"/>
      <c r="B55" s="26" t="inlineStr">
        <is>
          <t>80 m³/h</t>
        </is>
      </c>
      <c r="C55" s="25" t="n"/>
      <c r="D55" s="26" t="inlineStr">
        <is>
          <t>10.7 Pa</t>
        </is>
      </c>
      <c r="E55" s="25" t="n"/>
      <c r="F55" s="26" t="inlineStr">
        <is>
          <t>9.8 Pa</t>
        </is>
      </c>
      <c r="G55" s="25" t="n"/>
      <c r="H55" s="26" t="inlineStr">
        <is>
          <t>+0.8 Pa</t>
        </is>
      </c>
      <c r="I55" s="27" t="inlineStr">
        <is>
          <t>← 有効換気量（交点・切捨て）</t>
        </is>
      </c>
    </row>
    <row r="56">
      <c r="A56" s="26" t="inlineStr"/>
      <c r="B56" s="26" t="inlineStr">
        <is>
          <t>85 m³/h</t>
        </is>
      </c>
      <c r="C56" s="25" t="n"/>
      <c r="D56" s="26" t="inlineStr">
        <is>
          <t>5.2 Pa</t>
        </is>
      </c>
      <c r="E56" s="25" t="n"/>
      <c r="F56" s="26" t="inlineStr">
        <is>
          <t>10.9 Pa</t>
        </is>
      </c>
      <c r="G56" s="25" t="n"/>
      <c r="H56" s="26" t="inlineStr">
        <is>
          <t>-5.7 Pa</t>
        </is>
      </c>
      <c r="I56" s="27" t="inlineStr"/>
    </row>
    <row r="57" ht="36" customHeight="1">
      <c r="A57" s="18" t="inlineStr">
        <is>
          <t>※建設地（広島県三原市）は中国電力管内のため電源周波数60Hzで算定。参考：50Hzの場合 68 m³/h/台×3台＝204 m³/h（この場合も必要有効換気量以上）。開放風量（機外静圧0Pa）は50Hz 75／60Hz 90 m³/h、消費電力 4.3／5.0 W。</t>
        </is>
      </c>
    </row>
    <row r="58" ht="15" customHeight="1">
      <c r="A58" s="18" t="inlineStr">
        <is>
          <t>※直管相当長を変更した場合は、P-Q線図で有効換気量（H列）を読み直すこと。</t>
        </is>
      </c>
    </row>
    <row r="60">
      <c r="A60" s="3" t="inlineStr">
        <is>
          <t>5. 判  定</t>
        </is>
      </c>
    </row>
    <row r="61">
      <c r="A61" s="4" t="inlineStr">
        <is>
          <t>有効換気量 Ve</t>
        </is>
      </c>
      <c r="B61" s="28" t="n"/>
      <c r="C61" s="25" t="n"/>
      <c r="D61" s="29">
        <f>H47</f>
        <v/>
      </c>
      <c r="E61" s="25" t="n"/>
      <c r="F61" s="30" t="inlineStr">
        <is>
          <t>≧</t>
        </is>
      </c>
      <c r="G61" s="4" t="inlineStr">
        <is>
          <t>必要有効換気量 Vr</t>
        </is>
      </c>
      <c r="H61" s="25" t="n"/>
      <c r="I61" s="29">
        <f>H38</f>
        <v/>
      </c>
    </row>
    <row r="62">
      <c r="A62" s="31" t="inlineStr">
        <is>
          <t>判定</t>
        </is>
      </c>
      <c r="B62" s="28" t="n"/>
      <c r="C62" s="25" t="n"/>
      <c r="D62" s="32">
        <f>IF(D61&gt;=I61,"適合（OK）","不適合（NG）")</f>
        <v/>
      </c>
      <c r="E62" s="28" t="n"/>
      <c r="F62" s="25" t="n"/>
      <c r="G62" s="4" t="inlineStr">
        <is>
          <t>余裕率 Ve/Vr</t>
        </is>
      </c>
      <c r="H62" s="25" t="n"/>
      <c r="I62" s="33">
        <f>ROUND(D61/I61,2)</f>
        <v/>
      </c>
    </row>
    <row r="63">
      <c r="A63" s="21" t="inlineStr">
        <is>
          <t>参考：外陣・内陣・護摩堂の天井高が一律 H(m) のとき適合する上限</t>
        </is>
      </c>
      <c r="H63" s="34">
        <f>ROUNDDOWN((D61-(I61-(H22+H24+H25)))/(0.3*(D22+D24+D25)),2)</f>
        <v/>
      </c>
    </row>
    <row r="65">
      <c r="A65" s="3" t="inlineStr">
        <is>
          <t>6. 給気口（外気導入）</t>
        </is>
      </c>
    </row>
    <row r="66">
      <c r="A66" s="24" t="inlineStr">
        <is>
          <t>記号</t>
        </is>
      </c>
      <c r="B66" s="24" t="inlineStr">
        <is>
          <t>設置室</t>
        </is>
      </c>
      <c r="C66" s="24" t="inlineStr">
        <is>
          <t>台数</t>
        </is>
      </c>
      <c r="D66" s="24" t="inlineStr">
        <is>
          <t>ダクト径</t>
        </is>
      </c>
      <c r="E66" s="24" t="inlineStr">
        <is>
          <t>型式</t>
        </is>
      </c>
      <c r="F66" s="28" t="n"/>
      <c r="G66" s="28" t="n"/>
      <c r="H66" s="25" t="n"/>
      <c r="I66" s="24" t="inlineStr">
        <is>
          <t>仕様</t>
        </is>
      </c>
    </row>
    <row r="67">
      <c r="A67" s="10" t="inlineStr">
        <is>
          <t>SA-1</t>
        </is>
      </c>
      <c r="B67" s="11" t="inlineStr">
        <is>
          <t>外陣（大間）</t>
        </is>
      </c>
      <c r="C67" s="10" t="n">
        <v>3</v>
      </c>
      <c r="D67" s="10" t="inlineStr">
        <is>
          <t>φ200</t>
        </is>
      </c>
      <c r="E67" s="11" t="inlineStr">
        <is>
          <t>三菱電機 P-23GHF5</t>
        </is>
      </c>
      <c r="F67" s="28" t="n"/>
      <c r="G67" s="28" t="n"/>
      <c r="H67" s="25" t="n"/>
      <c r="I67" s="11" t="inlineStr">
        <is>
          <t>ネットフィルター付</t>
        </is>
      </c>
    </row>
    <row r="68">
      <c r="A68" s="10" t="inlineStr">
        <is>
          <t>SA-1</t>
        </is>
      </c>
      <c r="B68" s="11" t="inlineStr">
        <is>
          <t>内陣（本陣・御本尊）</t>
        </is>
      </c>
      <c r="C68" s="10" t="n">
        <v>1</v>
      </c>
      <c r="D68" s="10" t="inlineStr">
        <is>
          <t>φ200</t>
        </is>
      </c>
      <c r="E68" s="11" t="inlineStr">
        <is>
          <t>三菱電機 P-23GHF5</t>
        </is>
      </c>
      <c r="F68" s="28" t="n"/>
      <c r="G68" s="28" t="n"/>
      <c r="H68" s="25" t="n"/>
      <c r="I68" s="11" t="inlineStr">
        <is>
          <t>ネットフィルター付</t>
        </is>
      </c>
    </row>
    <row r="69">
      <c r="A69" s="10" t="inlineStr">
        <is>
          <t>SA-2</t>
        </is>
      </c>
      <c r="B69" s="11" t="inlineStr">
        <is>
          <t>護摩堂</t>
        </is>
      </c>
      <c r="C69" s="10" t="n">
        <v>1</v>
      </c>
      <c r="D69" s="10" t="inlineStr">
        <is>
          <t>φ150</t>
        </is>
      </c>
      <c r="E69" s="11" t="inlineStr">
        <is>
          <t>三菱電機 P-18GHF5</t>
        </is>
      </c>
      <c r="F69" s="28" t="n"/>
      <c r="G69" s="28" t="n"/>
      <c r="H69" s="25" t="n"/>
      <c r="I69" s="11" t="inlineStr">
        <is>
          <t>ネットフィルター付</t>
        </is>
      </c>
    </row>
    <row r="70">
      <c r="A70" s="10" t="inlineStr">
        <is>
          <t>SA-3</t>
        </is>
      </c>
      <c r="B70" s="11" t="inlineStr">
        <is>
          <t>和室(1)</t>
        </is>
      </c>
      <c r="C70" s="10" t="n">
        <v>1</v>
      </c>
      <c r="D70" s="10" t="inlineStr">
        <is>
          <t>φ100</t>
        </is>
      </c>
      <c r="E70" s="11" t="inlineStr">
        <is>
          <t>三菱電機 P-13GHF5</t>
        </is>
      </c>
      <c r="F70" s="28" t="n"/>
      <c r="G70" s="28" t="n"/>
      <c r="H70" s="25" t="n"/>
      <c r="I70" s="11" t="inlineStr">
        <is>
          <t>ネットフィルター付</t>
        </is>
      </c>
    </row>
    <row r="71">
      <c r="A71" s="10" t="inlineStr">
        <is>
          <t>SA-3</t>
        </is>
      </c>
      <c r="B71" s="11" t="inlineStr">
        <is>
          <t>和室(2)</t>
        </is>
      </c>
      <c r="C71" s="10" t="n">
        <v>1</v>
      </c>
      <c r="D71" s="10" t="inlineStr">
        <is>
          <t>φ100</t>
        </is>
      </c>
      <c r="E71" s="11" t="inlineStr">
        <is>
          <t>三菱電機 P-13GHF5</t>
        </is>
      </c>
      <c r="F71" s="28" t="n"/>
      <c r="G71" s="28" t="n"/>
      <c r="H71" s="25" t="n"/>
      <c r="I71" s="11" t="inlineStr">
        <is>
          <t>ネットフィルター付</t>
        </is>
      </c>
    </row>
    <row r="72">
      <c r="A72" s="10" t="inlineStr">
        <is>
          <t>SA-3</t>
        </is>
      </c>
      <c r="B72" s="11" t="inlineStr">
        <is>
          <t>談話室</t>
        </is>
      </c>
      <c r="C72" s="10" t="n">
        <v>1</v>
      </c>
      <c r="D72" s="10" t="inlineStr">
        <is>
          <t>φ100</t>
        </is>
      </c>
      <c r="E72" s="11" t="inlineStr">
        <is>
          <t>三菱電機 P-13GHF5</t>
        </is>
      </c>
      <c r="F72" s="28" t="n"/>
      <c r="G72" s="28" t="n"/>
      <c r="H72" s="25" t="n"/>
      <c r="I72" s="11" t="inlineStr">
        <is>
          <t>ネットフィルター付</t>
        </is>
      </c>
    </row>
    <row r="73" ht="24" customHeight="1">
      <c r="A73" s="18" t="inlineStr">
        <is>
          <t>※給気口は居室の天井付近に設け、外壁貫通部に深型フード（防虫網付）を設けて外気流・雨水の逆流を防止する。</t>
        </is>
      </c>
    </row>
    <row r="75">
      <c r="A75" s="3" t="inlineStr">
        <is>
          <t>7. 換気経路・その他の措置</t>
        </is>
      </c>
    </row>
    <row r="76" ht="27" customHeight="1">
      <c r="A76" s="23" t="inlineStr">
        <is>
          <t>(1) 換気経路：給気口（各居室）→ 居室建具（アンダーカット）→ 廊下・ホール → 便所建具 → 排気機（EF-1）→ 屋外。</t>
        </is>
      </c>
    </row>
    <row r="77" ht="27" customHeight="1">
      <c r="A77" s="23" t="inlineStr">
        <is>
          <t>(2) 建具：居室・廊下の建具はアンダーカット10mm以上（有効開口面積100cm²以上）、便所の建具はアンダーカット20mm以上又はガラリ。</t>
        </is>
      </c>
    </row>
    <row r="78" ht="27" customHeight="1">
      <c r="A78" s="23" t="inlineStr">
        <is>
          <t xml:space="preserve">    障子・襖・格子戸等で常時通気が確保されるものはこれによる。</t>
        </is>
      </c>
    </row>
    <row r="79" ht="27" customHeight="1">
      <c r="A79" s="23" t="inlineStr">
        <is>
          <t>(3) 排気機（EF-1 パイプ用ファン）は24時間常時運転とし、スイッチに「24時間換気（常時運転）」の表示を行う。</t>
        </is>
      </c>
    </row>
    <row r="80" ht="27" customHeight="1">
      <c r="A80" s="23" t="inlineStr">
        <is>
          <t>(4) 内装仕上げの制限（令20条の7）：居室の内装仕上げには第1種・第2種ホルムアルデヒド発散建築材料を使用しない（F☆☆☆☆ 又は規制対象外の材料とする）。</t>
        </is>
      </c>
    </row>
    <row r="81" ht="27" customHeight="1">
      <c r="A81" s="23" t="inlineStr">
        <is>
          <t>(5) 天井裏等の措置（令20条の9・平15国交告第274号）：天井裏・小屋裏・床下・壁内・収納の下地材等にF☆☆☆以上の建築材料を用いる（建材による措置）。※意匠仕様と整合のこと。</t>
        </is>
      </c>
    </row>
    <row r="82" ht="27" customHeight="1">
      <c r="A82" s="23" t="inlineStr">
        <is>
          <t>(6) 換気設備の構造（令129条の2の5）：給気口・排気口は外気流によって換気能力が低下しない構造（深型フード）とし、防虫網を設ける。</t>
        </is>
      </c>
    </row>
    <row r="84">
      <c r="A84" s="3" t="inlineStr">
        <is>
          <t>8. 前提条件・要確認事項</t>
        </is>
      </c>
    </row>
    <row r="85" ht="27" customHeight="1">
      <c r="A85" s="23" t="inlineStr">
        <is>
          <t>・天井高（特に外陣・内陣・護摩堂の格天井・折上天井）は仮定値。矩計図・断面図確定後に本書を更新すること。</t>
        </is>
      </c>
    </row>
    <row r="86" ht="27" customHeight="1">
      <c r="A86" s="23" t="inlineStr">
        <is>
          <t>・機器配置・ダクトルートは設計段階の計画。施工図段階で排気側の直管相当長が変わる場合はP-Q線図で有効換気量を確認する。</t>
        </is>
      </c>
    </row>
    <row r="87" ht="27" customHeight="1">
      <c r="A87" s="23" t="inlineStr">
        <is>
          <t>・換気機器は三菱電機製とする（パナソニック当初提案から変更）。性能値は三菱電機の納入仕様書・P-Q線図による。</t>
        </is>
      </c>
    </row>
    <row r="88" ht="27" customHeight="1">
      <c r="A88" s="23" t="inlineStr">
        <is>
          <t>・電源（EF-1 単相100V 常時通電回路、スイッチは常時運転表示付）は電気設備工事による。</t>
        </is>
      </c>
    </row>
  </sheetData>
  <mergeCells count="81">
    <mergeCell ref="A2:I2"/>
    <mergeCell ref="A85:I85"/>
    <mergeCell ref="A42:I42"/>
    <mergeCell ref="A17:I17"/>
    <mergeCell ref="D61:E61"/>
    <mergeCell ref="E71:H71"/>
    <mergeCell ref="D48:E48"/>
    <mergeCell ref="D5:I5"/>
    <mergeCell ref="A39:I39"/>
    <mergeCell ref="D56:E56"/>
    <mergeCell ref="F56:G56"/>
    <mergeCell ref="B55:C55"/>
    <mergeCell ref="B51:C51"/>
    <mergeCell ref="A6:C6"/>
    <mergeCell ref="D51:E51"/>
    <mergeCell ref="A79:I79"/>
    <mergeCell ref="D6:I6"/>
    <mergeCell ref="A87:I87"/>
    <mergeCell ref="A48:B48"/>
    <mergeCell ref="F54:G54"/>
    <mergeCell ref="G61:H61"/>
    <mergeCell ref="A63:G63"/>
    <mergeCell ref="D7:I7"/>
    <mergeCell ref="A5:C5"/>
    <mergeCell ref="A76:I76"/>
    <mergeCell ref="G62:H62"/>
    <mergeCell ref="E67:H67"/>
    <mergeCell ref="B53:C53"/>
    <mergeCell ref="D8:I8"/>
    <mergeCell ref="D53:E53"/>
    <mergeCell ref="A77:I77"/>
    <mergeCell ref="A1:I1"/>
    <mergeCell ref="A7:C7"/>
    <mergeCell ref="A78:I78"/>
    <mergeCell ref="D11:I11"/>
    <mergeCell ref="A65:I65"/>
    <mergeCell ref="B54:C54"/>
    <mergeCell ref="A75:I75"/>
    <mergeCell ref="A80:I80"/>
    <mergeCell ref="B56:C56"/>
    <mergeCell ref="E66:H66"/>
    <mergeCell ref="B52:C52"/>
    <mergeCell ref="A57:I57"/>
    <mergeCell ref="D52:E52"/>
    <mergeCell ref="A14:I14"/>
    <mergeCell ref="D9:I9"/>
    <mergeCell ref="A62:C62"/>
    <mergeCell ref="E68:H68"/>
    <mergeCell ref="A4:I4"/>
    <mergeCell ref="A40:I40"/>
    <mergeCell ref="A82:I82"/>
    <mergeCell ref="D10:I10"/>
    <mergeCell ref="D55:E55"/>
    <mergeCell ref="A61:C61"/>
    <mergeCell ref="D54:E54"/>
    <mergeCell ref="A16:I16"/>
    <mergeCell ref="E70:H70"/>
    <mergeCell ref="A84:I84"/>
    <mergeCell ref="A18:I18"/>
    <mergeCell ref="E72:H72"/>
    <mergeCell ref="A50:I50"/>
    <mergeCell ref="A86:I86"/>
    <mergeCell ref="F55:G55"/>
    <mergeCell ref="A8:C8"/>
    <mergeCell ref="F51:G51"/>
    <mergeCell ref="D62:F62"/>
    <mergeCell ref="A20:I20"/>
    <mergeCell ref="A10:C10"/>
    <mergeCell ref="A81:I81"/>
    <mergeCell ref="A13:I13"/>
    <mergeCell ref="A9:C9"/>
    <mergeCell ref="A58:I58"/>
    <mergeCell ref="F52:G52"/>
    <mergeCell ref="A15:I15"/>
    <mergeCell ref="A73:I73"/>
    <mergeCell ref="A11:C11"/>
    <mergeCell ref="E69:H69"/>
    <mergeCell ref="A60:I60"/>
    <mergeCell ref="A88:I88"/>
    <mergeCell ref="G48:I48"/>
    <mergeCell ref="F53:G53"/>
  </mergeCells>
  <printOptions horizontalCentered="1"/>
  <pageMargins left="0.5" right="0.4" top="0.6" bottom="0.6" header="0.5" footer="0.5"/>
  <pageSetup orientation="portrait" paperSize="9" fitToHeight="0" fitToWidth="1"/>
  <headerFooter>
    <oddHeader>&amp;R安楽寺 本堂 新築工事　換気設備</oddHeader>
    <oddFooter>&amp;C&amp;P / &amp;N</oddFooter>
    <evenHeader/>
    <evenFooter/>
    <firstHeader/>
    <firstFooter/>
  </headerFooter>
  <rowBreaks count="1" manualBreakCount="1">
    <brk id="74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2026-10-09T00:50:41Z</dcterms:created>
  <dcterms:modified xmlns:dcterms="http://purl.org/dc/terms/" xmlns:xsi="http://www.w3.org/2001/XMLSchema-instance" xsi:type="dcterms:W3CDTF">2026-10-09T00:50:41Z</dcterms:modified>
</cp:coreProperties>
</file>